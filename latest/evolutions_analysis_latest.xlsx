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workbook>
</file>

<file path=xl/styles.xml><?xml version="1.0" encoding="utf-8"?>
<styleSheet xmlns="http://schemas.openxmlformats.org/spreadsheetml/2006/main">
  <numFmts count="0"/>
  <fonts count="8">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s>
  <fills count="8">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s>
  <cellStyleXfs count="1">
    <xf numFmtId="0" fontId="0" fillId="0" borderId="0"/>
  </cellStyleXfs>
  <cellXfs count="4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90"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c r="H2" s="17" t="inlineStr">
        <is>
          <t>1위</t>
        </is>
      </c>
      <c r="I2" s="18" t="inlineStr">
        <is>
          <t>MAX</t>
        </is>
      </c>
      <c r="J2" s="19">
        <f>_xlfn.MAXIFS(INDEX(Unified_Matrix!$A:$ZZ,3,MATCH("Max "&amp;J$1,Unified_Matrix!$1:$1,0)):INDEX(Unified_Matrix!$A:$ZZ,300,MATCH("Max "&amp;J$1,Unified_Matrix!$1:$1,0)),INDEX(Unified_Matrix!$A:$ZZ,3,MATCH("Max "&amp;J$1,Unified_Matrix!$1:$1,0)):INDEX(Unified_Matrix!$A:$ZZ,300,MATCH("Max "&amp;J$1,Unified_Matrix!$1:$1,0)),"&gt;0")</f>
        <v/>
      </c>
      <c r="K2" s="19">
        <f>_xlfn.MAXIFS(INDEX(Unified_Matrix!$A:$ZZ,3,MATCH("Max "&amp;K$1,Unified_Matrix!$1:$1,0)):INDEX(Unified_Matrix!$A:$ZZ,300,MATCH("Max "&amp;K$1,Unified_Matrix!$1:$1,0)),INDEX(Unified_Matrix!$A:$ZZ,3,MATCH("Max "&amp;K$1,Unified_Matrix!$1:$1,0)):INDEX(Unified_Matrix!$A:$ZZ,300,MATCH("Max "&amp;K$1,Unified_Matrix!$1:$1,0)),"&gt;0")</f>
        <v/>
      </c>
      <c r="L2" s="19">
        <f>_xlfn.MAXIFS(INDEX(Unified_Matrix!$A:$ZZ,3,MATCH("Max "&amp;L$1,Unified_Matrix!$1:$1,0)):INDEX(Unified_Matrix!$A:$ZZ,300,MATCH("Max "&amp;L$1,Unified_Matrix!$1:$1,0)),INDEX(Unified_Matrix!$A:$ZZ,3,MATCH("Max "&amp;L$1,Unified_Matrix!$1:$1,0)):INDEX(Unified_Matrix!$A:$ZZ,300,MATCH("Max "&amp;L$1,Unified_Matrix!$1:$1,0)),"&gt;0")</f>
        <v/>
      </c>
      <c r="M2" s="19">
        <f>_xlfn.MAXIFS(INDEX(Unified_Matrix!$A:$ZZ,3,MATCH("Max "&amp;M$1,Unified_Matrix!$1:$1,0)):INDEX(Unified_Matrix!$A:$ZZ,300,MATCH("Max "&amp;M$1,Unified_Matrix!$1:$1,0)),INDEX(Unified_Matrix!$A:$ZZ,3,MATCH("Max "&amp;M$1,Unified_Matrix!$1:$1,0)):INDEX(Unified_Matrix!$A:$ZZ,300,MATCH("Max "&amp;M$1,Unified_Matrix!$1:$1,0)),"&gt;0")</f>
        <v/>
      </c>
      <c r="N2" s="19">
        <f>_xlfn.MAXIFS(INDEX(Unified_Matrix!$A:$ZZ,3,MATCH("Max "&amp;N$1,Unified_Matrix!$1:$1,0)):INDEX(Unified_Matrix!$A:$ZZ,300,MATCH("Max "&amp;N$1,Unified_Matrix!$1:$1,0)),INDEX(Unified_Matrix!$A:$ZZ,3,MATCH("Max "&amp;N$1,Unified_Matrix!$1:$1,0)):INDEX(Unified_Matrix!$A:$ZZ,300,MATCH("Max "&amp;N$1,Unified_Matrix!$1:$1,0)),"&gt;0")</f>
        <v/>
      </c>
      <c r="O2" s="19">
        <f>_xlfn.MAXIFS(INDEX(Unified_Matrix!$A:$ZZ,3,MATCH("Max "&amp;O$1,Unified_Matrix!$1:$1,0)):INDEX(Unified_Matrix!$A:$ZZ,300,MATCH("Max "&amp;O$1,Unified_Matrix!$1:$1,0)),INDEX(Unified_Matrix!$A:$ZZ,3,MATCH("Max "&amp;O$1,Unified_Matrix!$1:$1,0)):INDEX(Unified_Matrix!$A:$ZZ,300,MATCH("Max "&amp;O$1,Unified_Matrix!$1:$1,0)),"&gt;0")</f>
        <v/>
      </c>
      <c r="P2" s="19">
        <f>_xlfn.MAXIFS(INDEX(Unified_Matrix!$A:$ZZ,3,MATCH("Max "&amp;P$1,Unified_Matrix!$1:$1,0)):INDEX(Unified_Matrix!$A:$ZZ,300,MATCH("Max "&amp;P$1,Unified_Matrix!$1:$1,0)),INDEX(Unified_Matrix!$A:$ZZ,3,MATCH("Max "&amp;P$1,Unified_Matrix!$1:$1,0)):INDEX(Unified_Matrix!$A:$ZZ,300,MATCH("Max "&amp;P$1,Unified_Matrix!$1:$1,0)),"&gt;0")</f>
        <v/>
      </c>
      <c r="Q2" s="19">
        <f>_xlfn.MAXIFS(INDEX(Unified_Matrix!$A:$ZZ,3,MATCH("Max "&amp;Q$1,Unified_Matrix!$1:$1,0)):INDEX(Unified_Matrix!$A:$ZZ,300,MATCH("Max "&amp;Q$1,Unified_Matrix!$1:$1,0)),INDEX(Unified_Matrix!$A:$ZZ,3,MATCH("Max "&amp;Q$1,Unified_Matrix!$1:$1,0)):INDEX(Unified_Matrix!$A:$ZZ,300,MATCH("Max "&amp;Q$1,Unified_Matrix!$1:$1,0)),"&gt;0")</f>
        <v/>
      </c>
      <c r="R2" s="19">
        <f>_xlfn.MAXIFS(INDEX(Unified_Matrix!$A:$ZZ,3,MATCH("Max "&amp;R$1,Unified_Matrix!$1:$1,0)):INDEX(Unified_Matrix!$A:$ZZ,300,MATCH("Max "&amp;R$1,Unified_Matrix!$1:$1,0)),INDEX(Unified_Matrix!$A:$ZZ,3,MATCH("Max "&amp;R$1,Unified_Matrix!$1:$1,0)):INDEX(Unified_Matrix!$A:$ZZ,300,MATCH("Max "&amp;R$1,Unified_Matrix!$1:$1,0)),"&gt;0")</f>
        <v/>
      </c>
      <c r="S2" s="19">
        <f>_xlfn.MAXIFS(INDEX(Unified_Matrix!$A:$ZZ,3,MATCH("Max "&amp;S$1,Unified_Matrix!$1:$1,0)):INDEX(Unified_Matrix!$A:$ZZ,300,MATCH("Max "&amp;S$1,Unified_Matrix!$1:$1,0)),INDEX(Unified_Matrix!$A:$ZZ,3,MATCH("Max "&amp;S$1,Unified_Matrix!$1:$1,0)):INDEX(Unified_Matrix!$A:$ZZ,300,MATCH("Max "&amp;S$1,Unified_Matrix!$1:$1,0)),"&gt;0")</f>
        <v/>
      </c>
      <c r="T2" s="19">
        <f>_xlfn.MAXIFS(INDEX(Unified_Matrix!$A:$ZZ,3,MATCH("Max "&amp;T$1,Unified_Matrix!$1:$1,0)):INDEX(Unified_Matrix!$A:$ZZ,300,MATCH("Max "&amp;T$1,Unified_Matrix!$1:$1,0)),INDEX(Unified_Matrix!$A:$ZZ,3,MATCH("Max "&amp;T$1,Unified_Matrix!$1:$1,0)):INDEX(Unified_Matrix!$A:$ZZ,300,MATCH("Max "&amp;T$1,Unified_Matrix!$1:$1,0)),"&gt;0")</f>
        <v/>
      </c>
      <c r="U2" s="19">
        <f>_xlfn.MAXIFS(INDEX(Unified_Matrix!$A:$ZZ,3,MATCH("Max "&amp;U$1,Unified_Matrix!$1:$1,0)):INDEX(Unified_Matrix!$A:$ZZ,300,MATCH("Max "&amp;U$1,Unified_Matrix!$1:$1,0)),INDEX(Unified_Matrix!$A:$ZZ,3,MATCH("Max "&amp;U$1,Unified_Matrix!$1:$1,0)):INDEX(Unified_Matrix!$A:$ZZ,300,MATCH("Max "&amp;U$1,Unified_Matrix!$1:$1,0)),"&gt;0")</f>
        <v/>
      </c>
      <c r="V2" s="19">
        <f>_xlfn.MAXIFS(INDEX(Unified_Matrix!$A:$ZZ,3,MATCH("Max "&amp;V$1,Unified_Matrix!$1:$1,0)):INDEX(Unified_Matrix!$A:$ZZ,300,MATCH("Max "&amp;V$1,Unified_Matrix!$1:$1,0)),INDEX(Unified_Matrix!$A:$ZZ,3,MATCH("Max "&amp;V$1,Unified_Matrix!$1:$1,0)):INDEX(Unified_Matrix!$A:$ZZ,300,MATCH("Max "&amp;V$1,Unified_Matrix!$1:$1,0)),"&gt;0")</f>
        <v/>
      </c>
      <c r="W2" s="19">
        <f>_xlfn.MAXIFS(INDEX(Unified_Matrix!$A:$ZZ,3,MATCH("Max "&amp;W$1,Unified_Matrix!$1:$1,0)):INDEX(Unified_Matrix!$A:$ZZ,300,MATCH("Max "&amp;W$1,Unified_Matrix!$1:$1,0)),INDEX(Unified_Matrix!$A:$ZZ,3,MATCH("Max "&amp;W$1,Unified_Matrix!$1:$1,0)):INDEX(Unified_Matrix!$A:$ZZ,300,MATCH("Max "&amp;W$1,Unified_Matrix!$1:$1,0)),"&gt;0")</f>
        <v/>
      </c>
      <c r="X2" s="19">
        <f>_xlfn.MAXIFS(INDEX(Unified_Matrix!$A:$ZZ,3,MATCH("Max "&amp;X$1,Unified_Matrix!$1:$1,0)):INDEX(Unified_Matrix!$A:$ZZ,300,MATCH("Max "&amp;X$1,Unified_Matrix!$1:$1,0)),INDEX(Unified_Matrix!$A:$ZZ,3,MATCH("Max "&amp;X$1,Unified_Matrix!$1:$1,0)):INDEX(Unified_Matrix!$A:$ZZ,300,MATCH("Max "&amp;X$1,Unified_Matrix!$1:$1,0)),"&gt;0")</f>
        <v/>
      </c>
      <c r="Y2" s="19">
        <f>_xlfn.MAXIFS(INDEX(Unified_Matrix!$A:$ZZ,3,MATCH("Max "&amp;Y$1,Unified_Matrix!$1:$1,0)):INDEX(Unified_Matrix!$A:$ZZ,300,MATCH("Max "&amp;Y$1,Unified_Matrix!$1:$1,0)),INDEX(Unified_Matrix!$A:$ZZ,3,MATCH("Max "&amp;Y$1,Unified_Matrix!$1:$1,0)):INDEX(Unified_Matrix!$A:$ZZ,300,MATCH("Max "&amp;Y$1,Unified_Matrix!$1:$1,0)),"&gt;0")</f>
        <v/>
      </c>
      <c r="Z2" s="19">
        <f>_xlfn.MAXIFS(INDEX(Unified_Matrix!$A:$ZZ,3,MATCH("Max "&amp;Z$1,Unified_Matrix!$1:$1,0)):INDEX(Unified_Matrix!$A:$ZZ,300,MATCH("Max "&amp;Z$1,Unified_Matrix!$1:$1,0)),INDEX(Unified_Matrix!$A:$ZZ,3,MATCH("Max "&amp;Z$1,Unified_Matrix!$1:$1,0)):INDEX(Unified_Matrix!$A:$ZZ,300,MATCH("Max "&amp;Z$1,Unified_Matrix!$1:$1,0)),"&gt;0")</f>
        <v/>
      </c>
      <c r="AA2" s="19">
        <f>_xlfn.MAXIFS(INDEX(Unified_Matrix!$A:$ZZ,3,MATCH("Max "&amp;AA$1,Unified_Matrix!$1:$1,0)):INDEX(Unified_Matrix!$A:$ZZ,300,MATCH("Max "&amp;AA$1,Unified_Matrix!$1:$1,0)),INDEX(Unified_Matrix!$A:$ZZ,3,MATCH("Max "&amp;AA$1,Unified_Matrix!$1:$1,0)):INDEX(Unified_Matrix!$A:$ZZ,300,MATCH("Max "&amp;AA$1,Unified_Matrix!$1:$1,0)),"&gt;0")</f>
        <v/>
      </c>
      <c r="AB2" s="19">
        <f>_xlfn.MAXIFS(INDEX(Unified_Matrix!$A:$ZZ,3,MATCH("Max "&amp;AB$1,Unified_Matrix!$1:$1,0)):INDEX(Unified_Matrix!$A:$ZZ,300,MATCH("Max "&amp;AB$1,Unified_Matrix!$1:$1,0)),INDEX(Unified_Matrix!$A:$ZZ,3,MATCH("Max "&amp;AB$1,Unified_Matrix!$1:$1,0)):INDEX(Unified_Matrix!$A:$ZZ,300,MATCH("Max "&amp;AB$1,Unified_Matrix!$1:$1,0)),"&gt;0")</f>
        <v/>
      </c>
      <c r="AC2" s="19">
        <f>_xlfn.MAXIFS(INDEX(Unified_Matrix!$A:$ZZ,3,MATCH("Max "&amp;AC$1,Unified_Matrix!$1:$1,0)):INDEX(Unified_Matrix!$A:$ZZ,300,MATCH("Max "&amp;AC$1,Unified_Matrix!$1:$1,0)),INDEX(Unified_Matrix!$A:$ZZ,3,MATCH("Max "&amp;AC$1,Unified_Matrix!$1:$1,0)):INDEX(Unified_Matrix!$A:$ZZ,300,MATCH("Max "&amp;AC$1,Unified_Matrix!$1:$1,0)),"&gt;0")</f>
        <v/>
      </c>
      <c r="AD2" s="19">
        <f>_xlfn.MAXIFS(INDEX(Unified_Matrix!$A:$ZZ,3,MATCH("Max "&amp;AD$1,Unified_Matrix!$1:$1,0)):INDEX(Unified_Matrix!$A:$ZZ,300,MATCH("Max "&amp;AD$1,Unified_Matrix!$1:$1,0)),INDEX(Unified_Matrix!$A:$ZZ,3,MATCH("Max "&amp;AD$1,Unified_Matrix!$1:$1,0)):INDEX(Unified_Matrix!$A:$ZZ,300,MATCH("Max "&amp;AD$1,Unified_Matrix!$1:$1,0)),"&gt;0")</f>
        <v/>
      </c>
      <c r="AE2" s="19">
        <f>_xlfn.MAXIFS(INDEX(Unified_Matrix!$A:$ZZ,3,MATCH("Max "&amp;AE$1,Unified_Matrix!$1:$1,0)):INDEX(Unified_Matrix!$A:$ZZ,300,MATCH("Max "&amp;AE$1,Unified_Matrix!$1:$1,0)),INDEX(Unified_Matrix!$A:$ZZ,3,MATCH("Max "&amp;AE$1,Unified_Matrix!$1:$1,0)):INDEX(Unified_Matrix!$A:$ZZ,300,MATCH("Max "&amp;AE$1,Unified_Matrix!$1:$1,0)),"&gt;0")</f>
        <v/>
      </c>
      <c r="AF2" s="19">
        <f>_xlfn.MAXIFS(INDEX(Unified_Matrix!$A:$ZZ,3,MATCH("Max "&amp;AF$1,Unified_Matrix!$1:$1,0)):INDEX(Unified_Matrix!$A:$ZZ,300,MATCH("Max "&amp;AF$1,Unified_Matrix!$1:$1,0)),INDEX(Unified_Matrix!$A:$ZZ,3,MATCH("Max "&amp;AF$1,Unified_Matrix!$1:$1,0)):INDEX(Unified_Matrix!$A:$ZZ,300,MATCH("Max "&amp;AF$1,Unified_Matrix!$1:$1,0)),"&gt;0")</f>
        <v/>
      </c>
      <c r="AG2" s="19">
        <f>_xlfn.MAXIFS(INDEX(Unified_Matrix!$A:$ZZ,3,MATCH("Max "&amp;AG$1,Unified_Matrix!$1:$1,0)):INDEX(Unified_Matrix!$A:$ZZ,300,MATCH("Max "&amp;AG$1,Unified_Matrix!$1:$1,0)),INDEX(Unified_Matrix!$A:$ZZ,3,MATCH("Max "&amp;AG$1,Unified_Matrix!$1:$1,0)):INDEX(Unified_Matrix!$A:$ZZ,300,MATCH("Max "&amp;AG$1,Unified_Matrix!$1:$1,0)),"&gt;0")</f>
        <v/>
      </c>
      <c r="AH2" s="19">
        <f>_xlfn.MAXIFS(INDEX(Unified_Matrix!$A:$ZZ,3,MATCH("Max "&amp;AH$1,Unified_Matrix!$1:$1,0)):INDEX(Unified_Matrix!$A:$ZZ,300,MATCH("Max "&amp;AH$1,Unified_Matrix!$1:$1,0)),INDEX(Unified_Matrix!$A:$ZZ,3,MATCH("Max "&amp;AH$1,Unified_Matrix!$1:$1,0)):INDEX(Unified_Matrix!$A:$ZZ,300,MATCH("Max "&amp;AH$1,Unified_Matrix!$1:$1,0)),"&gt;0")</f>
        <v/>
      </c>
      <c r="AI2" s="19">
        <f>_xlfn.MAXIFS(INDEX(Unified_Matrix!$A:$ZZ,3,MATCH("Max "&amp;AI$1,Unified_Matrix!$1:$1,0)):INDEX(Unified_Matrix!$A:$ZZ,300,MATCH("Max "&amp;AI$1,Unified_Matrix!$1:$1,0)),INDEX(Unified_Matrix!$A:$ZZ,3,MATCH("Max "&amp;AI$1,Unified_Matrix!$1:$1,0)):INDEX(Unified_Matrix!$A:$ZZ,300,MATCH("Max "&amp;AI$1,Unified_Matrix!$1:$1,0)),"&gt;0")</f>
        <v/>
      </c>
      <c r="AJ2" s="19">
        <f>_xlfn.MAXIFS(INDEX(Unified_Matrix!$A:$ZZ,3,MATCH("Max "&amp;AJ$1,Unified_Matrix!$1:$1,0)):INDEX(Unified_Matrix!$A:$ZZ,300,MATCH("Max "&amp;AJ$1,Unified_Matrix!$1:$1,0)),INDEX(Unified_Matrix!$A:$ZZ,3,MATCH("Max "&amp;AJ$1,Unified_Matrix!$1:$1,0)):INDEX(Unified_Matrix!$A:$ZZ,300,MATCH("Max "&amp;AJ$1,Unified_Matrix!$1:$1,0)),"&gt;0")</f>
        <v/>
      </c>
      <c r="AK2" s="19">
        <f>_xlfn.MAXIFS(INDEX(Unified_Matrix!$A:$ZZ,3,MATCH("Max "&amp;AK$1,Unified_Matrix!$1:$1,0)):INDEX(Unified_Matrix!$A:$ZZ,300,MATCH("Max "&amp;AK$1,Unified_Matrix!$1:$1,0)),INDEX(Unified_Matrix!$A:$ZZ,3,MATCH("Max "&amp;AK$1,Unified_Matrix!$1:$1,0)):INDEX(Unified_Matrix!$A:$ZZ,300,MATCH("Max "&amp;AK$1,Unified_Matrix!$1:$1,0)),"&gt;0")</f>
        <v/>
      </c>
      <c r="AL2" s="19">
        <f>_xlfn.MAXIFS(INDEX(Unified_Matrix!$A:$ZZ,3,MATCH("Max "&amp;AL$1,Unified_Matrix!$1:$1,0)):INDEX(Unified_Matrix!$A:$ZZ,300,MATCH("Max "&amp;AL$1,Unified_Matrix!$1:$1,0)),INDEX(Unified_Matrix!$A:$ZZ,3,MATCH("Max "&amp;AL$1,Unified_Matrix!$1:$1,0)):INDEX(Unified_Matrix!$A:$ZZ,300,MATCH("Max "&amp;AL$1,Unified_Matrix!$1:$1,0)),"&gt;0")</f>
        <v/>
      </c>
      <c r="AM2" s="19">
        <f>_xlfn.MAXIFS(INDEX(Unified_Matrix!$A:$ZZ,3,MATCH("Max "&amp;AM$1,Unified_Matrix!$1:$1,0)):INDEX(Unified_Matrix!$A:$ZZ,300,MATCH("Max "&amp;AM$1,Unified_Matrix!$1:$1,0)),INDEX(Unified_Matrix!$A:$ZZ,3,MATCH("Max "&amp;AM$1,Unified_Matrix!$1:$1,0)):INDEX(Unified_Matrix!$A:$ZZ,300,MATCH("Max "&amp;AM$1,Unified_Matrix!$1:$1,0)),"&gt;0")</f>
        <v/>
      </c>
      <c r="AN2" s="19">
        <f>_xlfn.MAXIFS(INDEX(Unified_Matrix!$A:$ZZ,3,MATCH("Max "&amp;AN$1,Unified_Matrix!$1:$1,0)):INDEX(Unified_Matrix!$A:$ZZ,300,MATCH("Max "&amp;AN$1,Unified_Matrix!$1:$1,0)),INDEX(Unified_Matrix!$A:$ZZ,3,MATCH("Max "&amp;AN$1,Unified_Matrix!$1:$1,0)):INDEX(Unified_Matrix!$A:$ZZ,300,MATCH("Max "&amp;AN$1,Unified_Matrix!$1:$1,0)),"&gt;0")</f>
        <v/>
      </c>
      <c r="AO2" s="19">
        <f>_xlfn.MAXIFS(INDEX(Unified_Matrix!$A:$ZZ,3,MATCH("Max "&amp;AO$1,Unified_Matrix!$1:$1,0)):INDEX(Unified_Matrix!$A:$ZZ,300,MATCH("Max "&amp;AO$1,Unified_Matrix!$1:$1,0)),INDEX(Unified_Matrix!$A:$ZZ,3,MATCH("Max "&amp;AO$1,Unified_Matrix!$1:$1,0)):INDEX(Unified_Matrix!$A:$ZZ,300,MATCH("Max "&amp;AO$1,Unified_Matrix!$1:$1,0)),"&gt;0")</f>
        <v/>
      </c>
      <c r="AP2" s="19">
        <f>_xlfn.MAXIFS(INDEX(Unified_Matrix!$A:$ZZ,3,MATCH("Max "&amp;AP$1,Unified_Matrix!$1:$1,0)):INDEX(Unified_Matrix!$A:$ZZ,300,MATCH("Max "&amp;AP$1,Unified_Matrix!$1:$1,0)),INDEX(Unified_Matrix!$A:$ZZ,3,MATCH("Max "&amp;AP$1,Unified_Matrix!$1:$1,0)):INDEX(Unified_Matrix!$A:$ZZ,300,MATCH("Max "&amp;AP$1,Unified_Matrix!$1:$1,0)),"&gt;0")</f>
        <v/>
      </c>
      <c r="AQ2" s="19">
        <f>_xlfn.MAXIFS(INDEX(Unified_Matrix!$A:$ZZ,3,MATCH("Max "&amp;AQ$1,Unified_Matrix!$1:$1,0)):INDEX(Unified_Matrix!$A:$ZZ,300,MATCH("Max "&amp;AQ$1,Unified_Matrix!$1:$1,0)),INDEX(Unified_Matrix!$A:$ZZ,3,MATCH("Max "&amp;AQ$1,Unified_Matrix!$1:$1,0)):INDEX(Unified_Matrix!$A:$ZZ,300,MATCH("Max "&amp;AQ$1,Unified_Matrix!$1:$1,0)),"&gt;0")</f>
        <v/>
      </c>
      <c r="AR2" s="19">
        <f>_xlfn.MAXIFS(INDEX(Unified_Matrix!$A:$ZZ,3,MATCH("Max "&amp;AR$1,Unified_Matrix!$1:$1,0)):INDEX(Unified_Matrix!$A:$ZZ,300,MATCH("Max "&amp;AR$1,Unified_Matrix!$1:$1,0)),INDEX(Unified_Matrix!$A:$ZZ,3,MATCH("Max "&amp;AR$1,Unified_Matrix!$1:$1,0)):INDEX(Unified_Matrix!$A:$ZZ,300,MATCH("Max "&amp;AR$1,Unified_Matrix!$1:$1,0)),"&gt;0")</f>
        <v/>
      </c>
      <c r="AS2" s="19">
        <f>_xlfn.MAXIFS(INDEX(Unified_Matrix!$A:$ZZ,3,MATCH("Max "&amp;AS$1,Unified_Matrix!$1:$1,0)):INDEX(Unified_Matrix!$A:$ZZ,300,MATCH("Max "&amp;AS$1,Unified_Matrix!$1:$1,0)),INDEX(Unified_Matrix!$A:$ZZ,3,MATCH("Max "&amp;AS$1,Unified_Matrix!$1:$1,0)):INDEX(Unified_Matrix!$A:$ZZ,300,MATCH("Max "&amp;AS$1,Unified_Matrix!$1:$1,0)),"&gt;0")</f>
        <v/>
      </c>
      <c r="AT2" s="19">
        <f>_xlfn.MAXIFS(INDEX(Unified_Matrix!$A:$ZZ,3,MATCH("Max "&amp;AT$1,Unified_Matrix!$1:$1,0)):INDEX(Unified_Matrix!$A:$ZZ,300,MATCH("Max "&amp;AT$1,Unified_Matrix!$1:$1,0)),INDEX(Unified_Matrix!$A:$ZZ,3,MATCH("Max "&amp;AT$1,Unified_Matrix!$1:$1,0)):INDEX(Unified_Matrix!$A:$ZZ,300,MATCH("Max "&amp;AT$1,Unified_Matrix!$1:$1,0)),"&gt;0")</f>
        <v/>
      </c>
    </row>
    <row r="3" ht="78" customHeight="1">
      <c r="H3" s="38" t="n"/>
      <c r="I3" s="18" t="inlineStr">
        <is>
          <t>진화명</t>
        </is>
      </c>
      <c r="J3" s="20">
        <f t="array" ref="J3">IF(J2=0,"",_xlfn.TEXTJOIN(CHAR(10),TRUE,IF((INDEX(Unified_Matrix!$A:$ZZ,3,MATCH("Max "&amp;J$1,Unified_Matrix!$1:$1,0)):INDEX(Unified_Matrix!$A:$ZZ,300,MATCH("Max "&amp;J$1,Unified_Matrix!$1:$1,0))=J2)*(INDEX(Unified_Matrix!$A:$ZZ,3,MATCH("Max "&amp;J$1,Unified_Matrix!$1:$1,0)):INDEX(Unified_Matrix!$A:$ZZ,300,MATCH("Max "&amp;J$1,Unified_Matrix!$1:$1,0))&gt;0),INDEX(Unified_Matrix!$A:$ZZ,3,MATCH("Evolution_Name",Unified_Matrix!$1:$1,0)):INDEX(Unified_Matrix!$A:$ZZ,300,MATCH("Evolution_Name",Unified_Matrix!$1:$1,0)),"")))</f>
        <v/>
      </c>
      <c r="K3" s="20">
        <f t="array" ref="K3">IF(K2=0,"",_xlfn.TEXTJOIN(CHAR(10),TRUE,IF((INDEX(Unified_Matrix!$A:$ZZ,3,MATCH("Max "&amp;K$1,Unified_Matrix!$1:$1,0)):INDEX(Unified_Matrix!$A:$ZZ,300,MATCH("Max "&amp;K$1,Unified_Matrix!$1:$1,0))=K2)*(INDEX(Unified_Matrix!$A:$ZZ,3,MATCH("Max "&amp;K$1,Unified_Matrix!$1:$1,0)):INDEX(Unified_Matrix!$A:$ZZ,300,MATCH("Max "&amp;K$1,Unified_Matrix!$1:$1,0))&gt;0),INDEX(Unified_Matrix!$A:$ZZ,3,MATCH("Evolution_Name",Unified_Matrix!$1:$1,0)):INDEX(Unified_Matrix!$A:$ZZ,300,MATCH("Evolution_Name",Unified_Matrix!$1:$1,0)),"")))</f>
        <v/>
      </c>
      <c r="L3" s="20">
        <f t="array" ref="L3">IF(L2=0,"",_xlfn.TEXTJOIN(CHAR(10),TRUE,IF((INDEX(Unified_Matrix!$A:$ZZ,3,MATCH("Max "&amp;L$1,Unified_Matrix!$1:$1,0)):INDEX(Unified_Matrix!$A:$ZZ,300,MATCH("Max "&amp;L$1,Unified_Matrix!$1:$1,0))=L2)*(INDEX(Unified_Matrix!$A:$ZZ,3,MATCH("Max "&amp;L$1,Unified_Matrix!$1:$1,0)):INDEX(Unified_Matrix!$A:$ZZ,300,MATCH("Max "&amp;L$1,Unified_Matrix!$1:$1,0))&gt;0),INDEX(Unified_Matrix!$A:$ZZ,3,MATCH("Evolution_Name",Unified_Matrix!$1:$1,0)):INDEX(Unified_Matrix!$A:$ZZ,300,MATCH("Evolution_Name",Unified_Matrix!$1:$1,0)),"")))</f>
        <v/>
      </c>
      <c r="M3" s="20">
        <f t="array" ref="M3">IF(M2=0,"",_xlfn.TEXTJOIN(CHAR(10),TRUE,IF((INDEX(Unified_Matrix!$A:$ZZ,3,MATCH("Max "&amp;M$1,Unified_Matrix!$1:$1,0)):INDEX(Unified_Matrix!$A:$ZZ,300,MATCH("Max "&amp;M$1,Unified_Matrix!$1:$1,0))=M2)*(INDEX(Unified_Matrix!$A:$ZZ,3,MATCH("Max "&amp;M$1,Unified_Matrix!$1:$1,0)):INDEX(Unified_Matrix!$A:$ZZ,300,MATCH("Max "&amp;M$1,Unified_Matrix!$1:$1,0))&gt;0),INDEX(Unified_Matrix!$A:$ZZ,3,MATCH("Evolution_Name",Unified_Matrix!$1:$1,0)):INDEX(Unified_Matrix!$A:$ZZ,300,MATCH("Evolution_Name",Unified_Matrix!$1:$1,0)),"")))</f>
        <v/>
      </c>
      <c r="N3" s="20">
        <f t="array" ref="N3">IF(N2=0,"",_xlfn.TEXTJOIN(CHAR(10),TRUE,IF((INDEX(Unified_Matrix!$A:$ZZ,3,MATCH("Max "&amp;N$1,Unified_Matrix!$1:$1,0)):INDEX(Unified_Matrix!$A:$ZZ,300,MATCH("Max "&amp;N$1,Unified_Matrix!$1:$1,0))=N2)*(INDEX(Unified_Matrix!$A:$ZZ,3,MATCH("Max "&amp;N$1,Unified_Matrix!$1:$1,0)):INDEX(Unified_Matrix!$A:$ZZ,300,MATCH("Max "&amp;N$1,Unified_Matrix!$1:$1,0))&gt;0),INDEX(Unified_Matrix!$A:$ZZ,3,MATCH("Evolution_Name",Unified_Matrix!$1:$1,0)):INDEX(Unified_Matrix!$A:$ZZ,300,MATCH("Evolution_Name",Unified_Matrix!$1:$1,0)),"")))</f>
        <v/>
      </c>
      <c r="O3" s="20">
        <f t="array" ref="O3">IF(O2=0,"",_xlfn.TEXTJOIN(CHAR(10),TRUE,IF((INDEX(Unified_Matrix!$A:$ZZ,3,MATCH("Max "&amp;O$1,Unified_Matrix!$1:$1,0)):INDEX(Unified_Matrix!$A:$ZZ,300,MATCH("Max "&amp;O$1,Unified_Matrix!$1:$1,0))=O2)*(INDEX(Unified_Matrix!$A:$ZZ,3,MATCH("Max "&amp;O$1,Unified_Matrix!$1:$1,0)):INDEX(Unified_Matrix!$A:$ZZ,300,MATCH("Max "&amp;O$1,Unified_Matrix!$1:$1,0))&gt;0),INDEX(Unified_Matrix!$A:$ZZ,3,MATCH("Evolution_Name",Unified_Matrix!$1:$1,0)):INDEX(Unified_Matrix!$A:$ZZ,300,MATCH("Evolution_Name",Unified_Matrix!$1:$1,0)),"")))</f>
        <v/>
      </c>
      <c r="P3" s="20">
        <f t="array" ref="P3">IF(P2=0,"",_xlfn.TEXTJOIN(CHAR(10),TRUE,IF((INDEX(Unified_Matrix!$A:$ZZ,3,MATCH("Max "&amp;P$1,Unified_Matrix!$1:$1,0)):INDEX(Unified_Matrix!$A:$ZZ,300,MATCH("Max "&amp;P$1,Unified_Matrix!$1:$1,0))=P2)*(INDEX(Unified_Matrix!$A:$ZZ,3,MATCH("Max "&amp;P$1,Unified_Matrix!$1:$1,0)):INDEX(Unified_Matrix!$A:$ZZ,300,MATCH("Max "&amp;P$1,Unified_Matrix!$1:$1,0))&gt;0),INDEX(Unified_Matrix!$A:$ZZ,3,MATCH("Evolution_Name",Unified_Matrix!$1:$1,0)):INDEX(Unified_Matrix!$A:$ZZ,300,MATCH("Evolution_Name",Unified_Matrix!$1:$1,0)),"")))</f>
        <v/>
      </c>
      <c r="Q3" s="20">
        <f t="array" ref="Q3">IF(Q2=0,"",_xlfn.TEXTJOIN(CHAR(10),TRUE,IF((INDEX(Unified_Matrix!$A:$ZZ,3,MATCH("Max "&amp;Q$1,Unified_Matrix!$1:$1,0)):INDEX(Unified_Matrix!$A:$ZZ,300,MATCH("Max "&amp;Q$1,Unified_Matrix!$1:$1,0))=Q2)*(INDEX(Unified_Matrix!$A:$ZZ,3,MATCH("Max "&amp;Q$1,Unified_Matrix!$1:$1,0)):INDEX(Unified_Matrix!$A:$ZZ,300,MATCH("Max "&amp;Q$1,Unified_Matrix!$1:$1,0))&gt;0),INDEX(Unified_Matrix!$A:$ZZ,3,MATCH("Evolution_Name",Unified_Matrix!$1:$1,0)):INDEX(Unified_Matrix!$A:$ZZ,300,MATCH("Evolution_Name",Unified_Matrix!$1:$1,0)),"")))</f>
        <v/>
      </c>
      <c r="R3" s="20">
        <f t="array" ref="R3">IF(R2=0,"",_xlfn.TEXTJOIN(CHAR(10),TRUE,IF((INDEX(Unified_Matrix!$A:$ZZ,3,MATCH("Max "&amp;R$1,Unified_Matrix!$1:$1,0)):INDEX(Unified_Matrix!$A:$ZZ,300,MATCH("Max "&amp;R$1,Unified_Matrix!$1:$1,0))=R2)*(INDEX(Unified_Matrix!$A:$ZZ,3,MATCH("Max "&amp;R$1,Unified_Matrix!$1:$1,0)):INDEX(Unified_Matrix!$A:$ZZ,300,MATCH("Max "&amp;R$1,Unified_Matrix!$1:$1,0))&gt;0),INDEX(Unified_Matrix!$A:$ZZ,3,MATCH("Evolution_Name",Unified_Matrix!$1:$1,0)):INDEX(Unified_Matrix!$A:$ZZ,300,MATCH("Evolution_Name",Unified_Matrix!$1:$1,0)),"")))</f>
        <v/>
      </c>
      <c r="S3" s="20">
        <f t="array" ref="S3">IF(S2=0,"",_xlfn.TEXTJOIN(CHAR(10),TRUE,IF((INDEX(Unified_Matrix!$A:$ZZ,3,MATCH("Max "&amp;S$1,Unified_Matrix!$1:$1,0)):INDEX(Unified_Matrix!$A:$ZZ,300,MATCH("Max "&amp;S$1,Unified_Matrix!$1:$1,0))=S2)*(INDEX(Unified_Matrix!$A:$ZZ,3,MATCH("Max "&amp;S$1,Unified_Matrix!$1:$1,0)):INDEX(Unified_Matrix!$A:$ZZ,300,MATCH("Max "&amp;S$1,Unified_Matrix!$1:$1,0))&gt;0),INDEX(Unified_Matrix!$A:$ZZ,3,MATCH("Evolution_Name",Unified_Matrix!$1:$1,0)):INDEX(Unified_Matrix!$A:$ZZ,300,MATCH("Evolution_Name",Unified_Matrix!$1:$1,0)),"")))</f>
        <v/>
      </c>
      <c r="T3" s="20">
        <f t="array" ref="T3">IF(T2=0,"",_xlfn.TEXTJOIN(CHAR(10),TRUE,IF((INDEX(Unified_Matrix!$A:$ZZ,3,MATCH("Max "&amp;T$1,Unified_Matrix!$1:$1,0)):INDEX(Unified_Matrix!$A:$ZZ,300,MATCH("Max "&amp;T$1,Unified_Matrix!$1:$1,0))=T2)*(INDEX(Unified_Matrix!$A:$ZZ,3,MATCH("Max "&amp;T$1,Unified_Matrix!$1:$1,0)):INDEX(Unified_Matrix!$A:$ZZ,300,MATCH("Max "&amp;T$1,Unified_Matrix!$1:$1,0))&gt;0),INDEX(Unified_Matrix!$A:$ZZ,3,MATCH("Evolution_Name",Unified_Matrix!$1:$1,0)):INDEX(Unified_Matrix!$A:$ZZ,300,MATCH("Evolution_Name",Unified_Matrix!$1:$1,0)),"")))</f>
        <v/>
      </c>
      <c r="U3" s="20">
        <f t="array" ref="U3">IF(U2=0,"",_xlfn.TEXTJOIN(CHAR(10),TRUE,IF((INDEX(Unified_Matrix!$A:$ZZ,3,MATCH("Max "&amp;U$1,Unified_Matrix!$1:$1,0)):INDEX(Unified_Matrix!$A:$ZZ,300,MATCH("Max "&amp;U$1,Unified_Matrix!$1:$1,0))=U2)*(INDEX(Unified_Matrix!$A:$ZZ,3,MATCH("Max "&amp;U$1,Unified_Matrix!$1:$1,0)):INDEX(Unified_Matrix!$A:$ZZ,300,MATCH("Max "&amp;U$1,Unified_Matrix!$1:$1,0))&gt;0),INDEX(Unified_Matrix!$A:$ZZ,3,MATCH("Evolution_Name",Unified_Matrix!$1:$1,0)):INDEX(Unified_Matrix!$A:$ZZ,300,MATCH("Evolution_Name",Unified_Matrix!$1:$1,0)),"")))</f>
        <v/>
      </c>
      <c r="V3" s="20">
        <f t="array" ref="V3">IF(V2=0,"",_xlfn.TEXTJOIN(CHAR(10),TRUE,IF((INDEX(Unified_Matrix!$A:$ZZ,3,MATCH("Max "&amp;V$1,Unified_Matrix!$1:$1,0)):INDEX(Unified_Matrix!$A:$ZZ,300,MATCH("Max "&amp;V$1,Unified_Matrix!$1:$1,0))=V2)*(INDEX(Unified_Matrix!$A:$ZZ,3,MATCH("Max "&amp;V$1,Unified_Matrix!$1:$1,0)):INDEX(Unified_Matrix!$A:$ZZ,300,MATCH("Max "&amp;V$1,Unified_Matrix!$1:$1,0))&gt;0),INDEX(Unified_Matrix!$A:$ZZ,3,MATCH("Evolution_Name",Unified_Matrix!$1:$1,0)):INDEX(Unified_Matrix!$A:$ZZ,300,MATCH("Evolution_Name",Unified_Matrix!$1:$1,0)),"")))</f>
        <v/>
      </c>
      <c r="W3" s="20">
        <f t="array" ref="W3">IF(W2=0,"",_xlfn.TEXTJOIN(CHAR(10),TRUE,IF((INDEX(Unified_Matrix!$A:$ZZ,3,MATCH("Max "&amp;W$1,Unified_Matrix!$1:$1,0)):INDEX(Unified_Matrix!$A:$ZZ,300,MATCH("Max "&amp;W$1,Unified_Matrix!$1:$1,0))=W2)*(INDEX(Unified_Matrix!$A:$ZZ,3,MATCH("Max "&amp;W$1,Unified_Matrix!$1:$1,0)):INDEX(Unified_Matrix!$A:$ZZ,300,MATCH("Max "&amp;W$1,Unified_Matrix!$1:$1,0))&gt;0),INDEX(Unified_Matrix!$A:$ZZ,3,MATCH("Evolution_Name",Unified_Matrix!$1:$1,0)):INDEX(Unified_Matrix!$A:$ZZ,300,MATCH("Evolution_Name",Unified_Matrix!$1:$1,0)),"")))</f>
        <v/>
      </c>
      <c r="X3" s="20">
        <f t="array" ref="X3">IF(X2=0,"",_xlfn.TEXTJOIN(CHAR(10),TRUE,IF((INDEX(Unified_Matrix!$A:$ZZ,3,MATCH("Max "&amp;X$1,Unified_Matrix!$1:$1,0)):INDEX(Unified_Matrix!$A:$ZZ,300,MATCH("Max "&amp;X$1,Unified_Matrix!$1:$1,0))=X2)*(INDEX(Unified_Matrix!$A:$ZZ,3,MATCH("Max "&amp;X$1,Unified_Matrix!$1:$1,0)):INDEX(Unified_Matrix!$A:$ZZ,300,MATCH("Max "&amp;X$1,Unified_Matrix!$1:$1,0))&gt;0),INDEX(Unified_Matrix!$A:$ZZ,3,MATCH("Evolution_Name",Unified_Matrix!$1:$1,0)):INDEX(Unified_Matrix!$A:$ZZ,300,MATCH("Evolution_Name",Unified_Matrix!$1:$1,0)),"")))</f>
        <v/>
      </c>
      <c r="Y3" s="20">
        <f t="array" ref="Y3">IF(Y2=0,"",_xlfn.TEXTJOIN(CHAR(10),TRUE,IF((INDEX(Unified_Matrix!$A:$ZZ,3,MATCH("Max "&amp;Y$1,Unified_Matrix!$1:$1,0)):INDEX(Unified_Matrix!$A:$ZZ,300,MATCH("Max "&amp;Y$1,Unified_Matrix!$1:$1,0))=Y2)*(INDEX(Unified_Matrix!$A:$ZZ,3,MATCH("Max "&amp;Y$1,Unified_Matrix!$1:$1,0)):INDEX(Unified_Matrix!$A:$ZZ,300,MATCH("Max "&amp;Y$1,Unified_Matrix!$1:$1,0))&gt;0),INDEX(Unified_Matrix!$A:$ZZ,3,MATCH("Evolution_Name",Unified_Matrix!$1:$1,0)):INDEX(Unified_Matrix!$A:$ZZ,300,MATCH("Evolution_Name",Unified_Matrix!$1:$1,0)),"")))</f>
        <v/>
      </c>
      <c r="Z3" s="20">
        <f t="array" ref="Z3">IF(Z2=0,"",_xlfn.TEXTJOIN(CHAR(10),TRUE,IF((INDEX(Unified_Matrix!$A:$ZZ,3,MATCH("Max "&amp;Z$1,Unified_Matrix!$1:$1,0)):INDEX(Unified_Matrix!$A:$ZZ,300,MATCH("Max "&amp;Z$1,Unified_Matrix!$1:$1,0))=Z2)*(INDEX(Unified_Matrix!$A:$ZZ,3,MATCH("Max "&amp;Z$1,Unified_Matrix!$1:$1,0)):INDEX(Unified_Matrix!$A:$ZZ,300,MATCH("Max "&amp;Z$1,Unified_Matrix!$1:$1,0))&gt;0),INDEX(Unified_Matrix!$A:$ZZ,3,MATCH("Evolution_Name",Unified_Matrix!$1:$1,0)):INDEX(Unified_Matrix!$A:$ZZ,300,MATCH("Evolution_Name",Unified_Matrix!$1:$1,0)),"")))</f>
        <v/>
      </c>
      <c r="AA3" s="20">
        <f t="array" ref="AA3">IF(AA2=0,"",_xlfn.TEXTJOIN(CHAR(10),TRUE,IF((INDEX(Unified_Matrix!$A:$ZZ,3,MATCH("Max "&amp;AA$1,Unified_Matrix!$1:$1,0)):INDEX(Unified_Matrix!$A:$ZZ,300,MATCH("Max "&amp;AA$1,Unified_Matrix!$1:$1,0))=AA2)*(INDEX(Unified_Matrix!$A:$ZZ,3,MATCH("Max "&amp;AA$1,Unified_Matrix!$1:$1,0)):INDEX(Unified_Matrix!$A:$ZZ,300,MATCH("Max "&amp;AA$1,Unified_Matrix!$1:$1,0))&gt;0),INDEX(Unified_Matrix!$A:$ZZ,3,MATCH("Evolution_Name",Unified_Matrix!$1:$1,0)):INDEX(Unified_Matrix!$A:$ZZ,300,MATCH("Evolution_Name",Unified_Matrix!$1:$1,0)),"")))</f>
        <v/>
      </c>
      <c r="AB3" s="20">
        <f t="array" ref="AB3">IF(AB2=0,"",_xlfn.TEXTJOIN(CHAR(10),TRUE,IF((INDEX(Unified_Matrix!$A:$ZZ,3,MATCH("Max "&amp;AB$1,Unified_Matrix!$1:$1,0)):INDEX(Unified_Matrix!$A:$ZZ,300,MATCH("Max "&amp;AB$1,Unified_Matrix!$1:$1,0))=AB2)*(INDEX(Unified_Matrix!$A:$ZZ,3,MATCH("Max "&amp;AB$1,Unified_Matrix!$1:$1,0)):INDEX(Unified_Matrix!$A:$ZZ,300,MATCH("Max "&amp;AB$1,Unified_Matrix!$1:$1,0))&gt;0),INDEX(Unified_Matrix!$A:$ZZ,3,MATCH("Evolution_Name",Unified_Matrix!$1:$1,0)):INDEX(Unified_Matrix!$A:$ZZ,300,MATCH("Evolution_Name",Unified_Matrix!$1:$1,0)),"")))</f>
        <v/>
      </c>
      <c r="AC3" s="20">
        <f t="array" ref="AC3">IF(AC2=0,"",_xlfn.TEXTJOIN(CHAR(10),TRUE,IF((INDEX(Unified_Matrix!$A:$ZZ,3,MATCH("Max "&amp;AC$1,Unified_Matrix!$1:$1,0)):INDEX(Unified_Matrix!$A:$ZZ,300,MATCH("Max "&amp;AC$1,Unified_Matrix!$1:$1,0))=AC2)*(INDEX(Unified_Matrix!$A:$ZZ,3,MATCH("Max "&amp;AC$1,Unified_Matrix!$1:$1,0)):INDEX(Unified_Matrix!$A:$ZZ,300,MATCH("Max "&amp;AC$1,Unified_Matrix!$1:$1,0))&gt;0),INDEX(Unified_Matrix!$A:$ZZ,3,MATCH("Evolution_Name",Unified_Matrix!$1:$1,0)):INDEX(Unified_Matrix!$A:$ZZ,300,MATCH("Evolution_Name",Unified_Matrix!$1:$1,0)),"")))</f>
        <v/>
      </c>
      <c r="AD3" s="20">
        <f t="array" ref="AD3">IF(AD2=0,"",_xlfn.TEXTJOIN(CHAR(10),TRUE,IF((INDEX(Unified_Matrix!$A:$ZZ,3,MATCH("Max "&amp;AD$1,Unified_Matrix!$1:$1,0)):INDEX(Unified_Matrix!$A:$ZZ,300,MATCH("Max "&amp;AD$1,Unified_Matrix!$1:$1,0))=AD2)*(INDEX(Unified_Matrix!$A:$ZZ,3,MATCH("Max "&amp;AD$1,Unified_Matrix!$1:$1,0)):INDEX(Unified_Matrix!$A:$ZZ,300,MATCH("Max "&amp;AD$1,Unified_Matrix!$1:$1,0))&gt;0),INDEX(Unified_Matrix!$A:$ZZ,3,MATCH("Evolution_Name",Unified_Matrix!$1:$1,0)):INDEX(Unified_Matrix!$A:$ZZ,300,MATCH("Evolution_Name",Unified_Matrix!$1:$1,0)),"")))</f>
        <v/>
      </c>
      <c r="AE3" s="20">
        <f t="array" ref="AE3">IF(AE2=0,"",_xlfn.TEXTJOIN(CHAR(10),TRUE,IF((INDEX(Unified_Matrix!$A:$ZZ,3,MATCH("Max "&amp;AE$1,Unified_Matrix!$1:$1,0)):INDEX(Unified_Matrix!$A:$ZZ,300,MATCH("Max "&amp;AE$1,Unified_Matrix!$1:$1,0))=AE2)*(INDEX(Unified_Matrix!$A:$ZZ,3,MATCH("Max "&amp;AE$1,Unified_Matrix!$1:$1,0)):INDEX(Unified_Matrix!$A:$ZZ,300,MATCH("Max "&amp;AE$1,Unified_Matrix!$1:$1,0))&gt;0),INDEX(Unified_Matrix!$A:$ZZ,3,MATCH("Evolution_Name",Unified_Matrix!$1:$1,0)):INDEX(Unified_Matrix!$A:$ZZ,300,MATCH("Evolution_Name",Unified_Matrix!$1:$1,0)),"")))</f>
        <v/>
      </c>
      <c r="AF3" s="20">
        <f t="array" ref="AF3">IF(AF2=0,"",_xlfn.TEXTJOIN(CHAR(10),TRUE,IF((INDEX(Unified_Matrix!$A:$ZZ,3,MATCH("Max "&amp;AF$1,Unified_Matrix!$1:$1,0)):INDEX(Unified_Matrix!$A:$ZZ,300,MATCH("Max "&amp;AF$1,Unified_Matrix!$1:$1,0))=AF2)*(INDEX(Unified_Matrix!$A:$ZZ,3,MATCH("Max "&amp;AF$1,Unified_Matrix!$1:$1,0)):INDEX(Unified_Matrix!$A:$ZZ,300,MATCH("Max "&amp;AF$1,Unified_Matrix!$1:$1,0))&gt;0),INDEX(Unified_Matrix!$A:$ZZ,3,MATCH("Evolution_Name",Unified_Matrix!$1:$1,0)):INDEX(Unified_Matrix!$A:$ZZ,300,MATCH("Evolution_Name",Unified_Matrix!$1:$1,0)),"")))</f>
        <v/>
      </c>
      <c r="AG3" s="20">
        <f t="array" ref="AG3">IF(AG2=0,"",_xlfn.TEXTJOIN(CHAR(10),TRUE,IF((INDEX(Unified_Matrix!$A:$ZZ,3,MATCH("Max "&amp;AG$1,Unified_Matrix!$1:$1,0)):INDEX(Unified_Matrix!$A:$ZZ,300,MATCH("Max "&amp;AG$1,Unified_Matrix!$1:$1,0))=AG2)*(INDEX(Unified_Matrix!$A:$ZZ,3,MATCH("Max "&amp;AG$1,Unified_Matrix!$1:$1,0)):INDEX(Unified_Matrix!$A:$ZZ,300,MATCH("Max "&amp;AG$1,Unified_Matrix!$1:$1,0))&gt;0),INDEX(Unified_Matrix!$A:$ZZ,3,MATCH("Evolution_Name",Unified_Matrix!$1:$1,0)):INDEX(Unified_Matrix!$A:$ZZ,300,MATCH("Evolution_Name",Unified_Matrix!$1:$1,0)),"")))</f>
        <v/>
      </c>
      <c r="AH3" s="20">
        <f t="array" ref="AH3">IF(AH2=0,"",_xlfn.TEXTJOIN(CHAR(10),TRUE,IF((INDEX(Unified_Matrix!$A:$ZZ,3,MATCH("Max "&amp;AH$1,Unified_Matrix!$1:$1,0)):INDEX(Unified_Matrix!$A:$ZZ,300,MATCH("Max "&amp;AH$1,Unified_Matrix!$1:$1,0))=AH2)*(INDEX(Unified_Matrix!$A:$ZZ,3,MATCH("Max "&amp;AH$1,Unified_Matrix!$1:$1,0)):INDEX(Unified_Matrix!$A:$ZZ,300,MATCH("Max "&amp;AH$1,Unified_Matrix!$1:$1,0))&gt;0),INDEX(Unified_Matrix!$A:$ZZ,3,MATCH("Evolution_Name",Unified_Matrix!$1:$1,0)):INDEX(Unified_Matrix!$A:$ZZ,300,MATCH("Evolution_Name",Unified_Matrix!$1:$1,0)),"")))</f>
        <v/>
      </c>
      <c r="AI3" s="20">
        <f t="array" ref="AI3">IF(AI2=0,"",_xlfn.TEXTJOIN(CHAR(10),TRUE,IF((INDEX(Unified_Matrix!$A:$ZZ,3,MATCH("Max "&amp;AI$1,Unified_Matrix!$1:$1,0)):INDEX(Unified_Matrix!$A:$ZZ,300,MATCH("Max "&amp;AI$1,Unified_Matrix!$1:$1,0))=AI2)*(INDEX(Unified_Matrix!$A:$ZZ,3,MATCH("Max "&amp;AI$1,Unified_Matrix!$1:$1,0)):INDEX(Unified_Matrix!$A:$ZZ,300,MATCH("Max "&amp;AI$1,Unified_Matrix!$1:$1,0))&gt;0),INDEX(Unified_Matrix!$A:$ZZ,3,MATCH("Evolution_Name",Unified_Matrix!$1:$1,0)):INDEX(Unified_Matrix!$A:$ZZ,300,MATCH("Evolution_Name",Unified_Matrix!$1:$1,0)),"")))</f>
        <v/>
      </c>
      <c r="AJ3" s="20">
        <f t="array" ref="AJ3">IF(AJ2=0,"",_xlfn.TEXTJOIN(CHAR(10),TRUE,IF((INDEX(Unified_Matrix!$A:$ZZ,3,MATCH("Max "&amp;AJ$1,Unified_Matrix!$1:$1,0)):INDEX(Unified_Matrix!$A:$ZZ,300,MATCH("Max "&amp;AJ$1,Unified_Matrix!$1:$1,0))=AJ2)*(INDEX(Unified_Matrix!$A:$ZZ,3,MATCH("Max "&amp;AJ$1,Unified_Matrix!$1:$1,0)):INDEX(Unified_Matrix!$A:$ZZ,300,MATCH("Max "&amp;AJ$1,Unified_Matrix!$1:$1,0))&gt;0),INDEX(Unified_Matrix!$A:$ZZ,3,MATCH("Evolution_Name",Unified_Matrix!$1:$1,0)):INDEX(Unified_Matrix!$A:$ZZ,300,MATCH("Evolution_Name",Unified_Matrix!$1:$1,0)),"")))</f>
        <v/>
      </c>
      <c r="AK3" s="20">
        <f t="array" ref="AK3">IF(AK2=0,"",_xlfn.TEXTJOIN(CHAR(10),TRUE,IF((INDEX(Unified_Matrix!$A:$ZZ,3,MATCH("Max "&amp;AK$1,Unified_Matrix!$1:$1,0)):INDEX(Unified_Matrix!$A:$ZZ,300,MATCH("Max "&amp;AK$1,Unified_Matrix!$1:$1,0))=AK2)*(INDEX(Unified_Matrix!$A:$ZZ,3,MATCH("Max "&amp;AK$1,Unified_Matrix!$1:$1,0)):INDEX(Unified_Matrix!$A:$ZZ,300,MATCH("Max "&amp;AK$1,Unified_Matrix!$1:$1,0))&gt;0),INDEX(Unified_Matrix!$A:$ZZ,3,MATCH("Evolution_Name",Unified_Matrix!$1:$1,0)):INDEX(Unified_Matrix!$A:$ZZ,300,MATCH("Evolution_Name",Unified_Matrix!$1:$1,0)),"")))</f>
        <v/>
      </c>
      <c r="AL3" s="20">
        <f t="array" ref="AL3">IF(AL2=0,"",_xlfn.TEXTJOIN(CHAR(10),TRUE,IF((INDEX(Unified_Matrix!$A:$ZZ,3,MATCH("Max "&amp;AL$1,Unified_Matrix!$1:$1,0)):INDEX(Unified_Matrix!$A:$ZZ,300,MATCH("Max "&amp;AL$1,Unified_Matrix!$1:$1,0))=AL2)*(INDEX(Unified_Matrix!$A:$ZZ,3,MATCH("Max "&amp;AL$1,Unified_Matrix!$1:$1,0)):INDEX(Unified_Matrix!$A:$ZZ,300,MATCH("Max "&amp;AL$1,Unified_Matrix!$1:$1,0))&gt;0),INDEX(Unified_Matrix!$A:$ZZ,3,MATCH("Evolution_Name",Unified_Matrix!$1:$1,0)):INDEX(Unified_Matrix!$A:$ZZ,300,MATCH("Evolution_Name",Unified_Matrix!$1:$1,0)),"")))</f>
        <v/>
      </c>
      <c r="AM3" s="20">
        <f t="array" ref="AM3">IF(AM2=0,"",_xlfn.TEXTJOIN(CHAR(10),TRUE,IF((INDEX(Unified_Matrix!$A:$ZZ,3,MATCH("Max "&amp;AM$1,Unified_Matrix!$1:$1,0)):INDEX(Unified_Matrix!$A:$ZZ,300,MATCH("Max "&amp;AM$1,Unified_Matrix!$1:$1,0))=AM2)*(INDEX(Unified_Matrix!$A:$ZZ,3,MATCH("Max "&amp;AM$1,Unified_Matrix!$1:$1,0)):INDEX(Unified_Matrix!$A:$ZZ,300,MATCH("Max "&amp;AM$1,Unified_Matrix!$1:$1,0))&gt;0),INDEX(Unified_Matrix!$A:$ZZ,3,MATCH("Evolution_Name",Unified_Matrix!$1:$1,0)):INDEX(Unified_Matrix!$A:$ZZ,300,MATCH("Evolution_Name",Unified_Matrix!$1:$1,0)),"")))</f>
        <v/>
      </c>
      <c r="AN3" s="20">
        <f t="array" ref="AN3">IF(AN2=0,"",_xlfn.TEXTJOIN(CHAR(10),TRUE,IF((INDEX(Unified_Matrix!$A:$ZZ,3,MATCH("Max "&amp;AN$1,Unified_Matrix!$1:$1,0)):INDEX(Unified_Matrix!$A:$ZZ,300,MATCH("Max "&amp;AN$1,Unified_Matrix!$1:$1,0))=AN2)*(INDEX(Unified_Matrix!$A:$ZZ,3,MATCH("Max "&amp;AN$1,Unified_Matrix!$1:$1,0)):INDEX(Unified_Matrix!$A:$ZZ,300,MATCH("Max "&amp;AN$1,Unified_Matrix!$1:$1,0))&gt;0),INDEX(Unified_Matrix!$A:$ZZ,3,MATCH("Evolution_Name",Unified_Matrix!$1:$1,0)):INDEX(Unified_Matrix!$A:$ZZ,300,MATCH("Evolution_Name",Unified_Matrix!$1:$1,0)),"")))</f>
        <v/>
      </c>
      <c r="AO3" s="20">
        <f t="array" ref="AO3">IF(AO2=0,"",_xlfn.TEXTJOIN(CHAR(10),TRUE,IF((INDEX(Unified_Matrix!$A:$ZZ,3,MATCH("Max "&amp;AO$1,Unified_Matrix!$1:$1,0)):INDEX(Unified_Matrix!$A:$ZZ,300,MATCH("Max "&amp;AO$1,Unified_Matrix!$1:$1,0))=AO2)*(INDEX(Unified_Matrix!$A:$ZZ,3,MATCH("Max "&amp;AO$1,Unified_Matrix!$1:$1,0)):INDEX(Unified_Matrix!$A:$ZZ,300,MATCH("Max "&amp;AO$1,Unified_Matrix!$1:$1,0))&gt;0),INDEX(Unified_Matrix!$A:$ZZ,3,MATCH("Evolution_Name",Unified_Matrix!$1:$1,0)):INDEX(Unified_Matrix!$A:$ZZ,300,MATCH("Evolution_Name",Unified_Matrix!$1:$1,0)),"")))</f>
        <v/>
      </c>
      <c r="AP3" s="20">
        <f t="array" ref="AP3">IF(AP2=0,"",_xlfn.TEXTJOIN(CHAR(10),TRUE,IF((INDEX(Unified_Matrix!$A:$ZZ,3,MATCH("Max "&amp;AP$1,Unified_Matrix!$1:$1,0)):INDEX(Unified_Matrix!$A:$ZZ,300,MATCH("Max "&amp;AP$1,Unified_Matrix!$1:$1,0))=AP2)*(INDEX(Unified_Matrix!$A:$ZZ,3,MATCH("Max "&amp;AP$1,Unified_Matrix!$1:$1,0)):INDEX(Unified_Matrix!$A:$ZZ,300,MATCH("Max "&amp;AP$1,Unified_Matrix!$1:$1,0))&gt;0),INDEX(Unified_Matrix!$A:$ZZ,3,MATCH("Evolution_Name",Unified_Matrix!$1:$1,0)):INDEX(Unified_Matrix!$A:$ZZ,300,MATCH("Evolution_Name",Unified_Matrix!$1:$1,0)),"")))</f>
        <v/>
      </c>
      <c r="AQ3" s="20">
        <f t="array" ref="AQ3">IF(AQ2=0,"",_xlfn.TEXTJOIN(CHAR(10),TRUE,IF((INDEX(Unified_Matrix!$A:$ZZ,3,MATCH("Max "&amp;AQ$1,Unified_Matrix!$1:$1,0)):INDEX(Unified_Matrix!$A:$ZZ,300,MATCH("Max "&amp;AQ$1,Unified_Matrix!$1:$1,0))=AQ2)*(INDEX(Unified_Matrix!$A:$ZZ,3,MATCH("Max "&amp;AQ$1,Unified_Matrix!$1:$1,0)):INDEX(Unified_Matrix!$A:$ZZ,300,MATCH("Max "&amp;AQ$1,Unified_Matrix!$1:$1,0))&gt;0),INDEX(Unified_Matrix!$A:$ZZ,3,MATCH("Evolution_Name",Unified_Matrix!$1:$1,0)):INDEX(Unified_Matrix!$A:$ZZ,300,MATCH("Evolution_Name",Unified_Matrix!$1:$1,0)),"")))</f>
        <v/>
      </c>
      <c r="AR3" s="20">
        <f t="array" ref="AR3">IF(AR2=0,"",_xlfn.TEXTJOIN(CHAR(10),TRUE,IF((INDEX(Unified_Matrix!$A:$ZZ,3,MATCH("Max "&amp;AR$1,Unified_Matrix!$1:$1,0)):INDEX(Unified_Matrix!$A:$ZZ,300,MATCH("Max "&amp;AR$1,Unified_Matrix!$1:$1,0))=AR2)*(INDEX(Unified_Matrix!$A:$ZZ,3,MATCH("Max "&amp;AR$1,Unified_Matrix!$1:$1,0)):INDEX(Unified_Matrix!$A:$ZZ,300,MATCH("Max "&amp;AR$1,Unified_Matrix!$1:$1,0))&gt;0),INDEX(Unified_Matrix!$A:$ZZ,3,MATCH("Evolution_Name",Unified_Matrix!$1:$1,0)):INDEX(Unified_Matrix!$A:$ZZ,300,MATCH("Evolution_Name",Unified_Matrix!$1:$1,0)),"")))</f>
        <v/>
      </c>
      <c r="AS3" s="20">
        <f t="array" ref="AS3">IF(AS2=0,"",_xlfn.TEXTJOIN(CHAR(10),TRUE,IF((INDEX(Unified_Matrix!$A:$ZZ,3,MATCH("Max "&amp;AS$1,Unified_Matrix!$1:$1,0)):INDEX(Unified_Matrix!$A:$ZZ,300,MATCH("Max "&amp;AS$1,Unified_Matrix!$1:$1,0))=AS2)*(INDEX(Unified_Matrix!$A:$ZZ,3,MATCH("Max "&amp;AS$1,Unified_Matrix!$1:$1,0)):INDEX(Unified_Matrix!$A:$ZZ,300,MATCH("Max "&amp;AS$1,Unified_Matrix!$1:$1,0))&gt;0),INDEX(Unified_Matrix!$A:$ZZ,3,MATCH("Evolution_Name",Unified_Matrix!$1:$1,0)):INDEX(Unified_Matrix!$A:$ZZ,300,MATCH("Evolution_Name",Unified_Matrix!$1:$1,0)),"")))</f>
        <v/>
      </c>
      <c r="AT3" s="20">
        <f t="array" ref="AT3">IF(AT2=0,"",_xlfn.TEXTJOIN(CHAR(10),TRUE,IF((INDEX(Unified_Matrix!$A:$ZZ,3,MATCH("Max "&amp;AT$1,Unified_Matrix!$1:$1,0)):INDEX(Unified_Matrix!$A:$ZZ,300,MATCH("Max "&amp;AT$1,Unified_Matrix!$1:$1,0))=AT2)*(INDEX(Unified_Matrix!$A:$ZZ,3,MATCH("Max "&amp;AT$1,Unified_Matrix!$1:$1,0)):INDEX(Unified_Matrix!$A:$ZZ,300,MATCH("Max "&amp;AT$1,Unified_Matrix!$1:$1,0))&gt;0),INDEX(Unified_Matrix!$A:$ZZ,3,MATCH("Evolution_Name",Unified_Matrix!$1:$1,0)):INDEX(Unified_Matrix!$A:$ZZ,300,MATCH("Evolution_Name",Unified_Matrix!$1:$1,0)),"")))</f>
        <v/>
      </c>
    </row>
    <row r="4">
      <c r="H4" s="17" t="inlineStr">
        <is>
          <t>2위</t>
        </is>
      </c>
      <c r="I4" s="18" t="inlineStr">
        <is>
          <t>MAX</t>
        </is>
      </c>
      <c r="J4" s="19">
        <f>_xlfn.MAXIFS(INDEX(Unified_Matrix!$A:$ZZ,3,MATCH("Max "&amp;J$1,Unified_Matrix!$1:$1,0)):INDEX(Unified_Matrix!$A:$ZZ,300,MATCH("Max "&amp;J$1,Unified_Matrix!$1:$1,0)),INDEX(Unified_Matrix!$A:$ZZ,3,MATCH("Max "&amp;J$1,Unified_Matrix!$1:$1,0)):INDEX(Unified_Matrix!$A:$ZZ,300,MATCH("Max "&amp;J$1,Unified_Matrix!$1:$1,0)),"&lt;"&amp;J2,INDEX(Unified_Matrix!$A:$ZZ,3,MATCH("Max "&amp;J$1,Unified_Matrix!$1:$1,0)):INDEX(Unified_Matrix!$A:$ZZ,300,MATCH("Max "&amp;J$1,Unified_Matrix!$1:$1,0)),"&gt;0")</f>
        <v/>
      </c>
      <c r="K4" s="19">
        <f>_xlfn.MAXIFS(INDEX(Unified_Matrix!$A:$ZZ,3,MATCH("Max "&amp;K$1,Unified_Matrix!$1:$1,0)):INDEX(Unified_Matrix!$A:$ZZ,300,MATCH("Max "&amp;K$1,Unified_Matrix!$1:$1,0)),INDEX(Unified_Matrix!$A:$ZZ,3,MATCH("Max "&amp;K$1,Unified_Matrix!$1:$1,0)):INDEX(Unified_Matrix!$A:$ZZ,300,MATCH("Max "&amp;K$1,Unified_Matrix!$1:$1,0)),"&lt;"&amp;K2,INDEX(Unified_Matrix!$A:$ZZ,3,MATCH("Max "&amp;K$1,Unified_Matrix!$1:$1,0)):INDEX(Unified_Matrix!$A:$ZZ,300,MATCH("Max "&amp;K$1,Unified_Matrix!$1:$1,0)),"&gt;0")</f>
        <v/>
      </c>
      <c r="L4" s="19">
        <f>_xlfn.MAXIFS(INDEX(Unified_Matrix!$A:$ZZ,3,MATCH("Max "&amp;L$1,Unified_Matrix!$1:$1,0)):INDEX(Unified_Matrix!$A:$ZZ,300,MATCH("Max "&amp;L$1,Unified_Matrix!$1:$1,0)),INDEX(Unified_Matrix!$A:$ZZ,3,MATCH("Max "&amp;L$1,Unified_Matrix!$1:$1,0)):INDEX(Unified_Matrix!$A:$ZZ,300,MATCH("Max "&amp;L$1,Unified_Matrix!$1:$1,0)),"&lt;"&amp;L2,INDEX(Unified_Matrix!$A:$ZZ,3,MATCH("Max "&amp;L$1,Unified_Matrix!$1:$1,0)):INDEX(Unified_Matrix!$A:$ZZ,300,MATCH("Max "&amp;L$1,Unified_Matrix!$1:$1,0)),"&gt;0")</f>
        <v/>
      </c>
      <c r="M4" s="19">
        <f>_xlfn.MAXIFS(INDEX(Unified_Matrix!$A:$ZZ,3,MATCH("Max "&amp;M$1,Unified_Matrix!$1:$1,0)):INDEX(Unified_Matrix!$A:$ZZ,300,MATCH("Max "&amp;M$1,Unified_Matrix!$1:$1,0)),INDEX(Unified_Matrix!$A:$ZZ,3,MATCH("Max "&amp;M$1,Unified_Matrix!$1:$1,0)):INDEX(Unified_Matrix!$A:$ZZ,300,MATCH("Max "&amp;M$1,Unified_Matrix!$1:$1,0)),"&lt;"&amp;M2,INDEX(Unified_Matrix!$A:$ZZ,3,MATCH("Max "&amp;M$1,Unified_Matrix!$1:$1,0)):INDEX(Unified_Matrix!$A:$ZZ,300,MATCH("Max "&amp;M$1,Unified_Matrix!$1:$1,0)),"&gt;0")</f>
        <v/>
      </c>
      <c r="N4" s="19">
        <f>_xlfn.MAXIFS(INDEX(Unified_Matrix!$A:$ZZ,3,MATCH("Max "&amp;N$1,Unified_Matrix!$1:$1,0)):INDEX(Unified_Matrix!$A:$ZZ,300,MATCH("Max "&amp;N$1,Unified_Matrix!$1:$1,0)),INDEX(Unified_Matrix!$A:$ZZ,3,MATCH("Max "&amp;N$1,Unified_Matrix!$1:$1,0)):INDEX(Unified_Matrix!$A:$ZZ,300,MATCH("Max "&amp;N$1,Unified_Matrix!$1:$1,0)),"&lt;"&amp;N2,INDEX(Unified_Matrix!$A:$ZZ,3,MATCH("Max "&amp;N$1,Unified_Matrix!$1:$1,0)):INDEX(Unified_Matrix!$A:$ZZ,300,MATCH("Max "&amp;N$1,Unified_Matrix!$1:$1,0)),"&gt;0")</f>
        <v/>
      </c>
      <c r="O4" s="19">
        <f>_xlfn.MAXIFS(INDEX(Unified_Matrix!$A:$ZZ,3,MATCH("Max "&amp;O$1,Unified_Matrix!$1:$1,0)):INDEX(Unified_Matrix!$A:$ZZ,300,MATCH("Max "&amp;O$1,Unified_Matrix!$1:$1,0)),INDEX(Unified_Matrix!$A:$ZZ,3,MATCH("Max "&amp;O$1,Unified_Matrix!$1:$1,0)):INDEX(Unified_Matrix!$A:$ZZ,300,MATCH("Max "&amp;O$1,Unified_Matrix!$1:$1,0)),"&lt;"&amp;O2,INDEX(Unified_Matrix!$A:$ZZ,3,MATCH("Max "&amp;O$1,Unified_Matrix!$1:$1,0)):INDEX(Unified_Matrix!$A:$ZZ,300,MATCH("Max "&amp;O$1,Unified_Matrix!$1:$1,0)),"&gt;0")</f>
        <v/>
      </c>
      <c r="P4" s="19">
        <f>_xlfn.MAXIFS(INDEX(Unified_Matrix!$A:$ZZ,3,MATCH("Max "&amp;P$1,Unified_Matrix!$1:$1,0)):INDEX(Unified_Matrix!$A:$ZZ,300,MATCH("Max "&amp;P$1,Unified_Matrix!$1:$1,0)),INDEX(Unified_Matrix!$A:$ZZ,3,MATCH("Max "&amp;P$1,Unified_Matrix!$1:$1,0)):INDEX(Unified_Matrix!$A:$ZZ,300,MATCH("Max "&amp;P$1,Unified_Matrix!$1:$1,0)),"&lt;"&amp;P2,INDEX(Unified_Matrix!$A:$ZZ,3,MATCH("Max "&amp;P$1,Unified_Matrix!$1:$1,0)):INDEX(Unified_Matrix!$A:$ZZ,300,MATCH("Max "&amp;P$1,Unified_Matrix!$1:$1,0)),"&gt;0")</f>
        <v/>
      </c>
      <c r="Q4" s="19">
        <f>_xlfn.MAXIFS(INDEX(Unified_Matrix!$A:$ZZ,3,MATCH("Max "&amp;Q$1,Unified_Matrix!$1:$1,0)):INDEX(Unified_Matrix!$A:$ZZ,300,MATCH("Max "&amp;Q$1,Unified_Matrix!$1:$1,0)),INDEX(Unified_Matrix!$A:$ZZ,3,MATCH("Max "&amp;Q$1,Unified_Matrix!$1:$1,0)):INDEX(Unified_Matrix!$A:$ZZ,300,MATCH("Max "&amp;Q$1,Unified_Matrix!$1:$1,0)),"&lt;"&amp;Q2,INDEX(Unified_Matrix!$A:$ZZ,3,MATCH("Max "&amp;Q$1,Unified_Matrix!$1:$1,0)):INDEX(Unified_Matrix!$A:$ZZ,300,MATCH("Max "&amp;Q$1,Unified_Matrix!$1:$1,0)),"&gt;0")</f>
        <v/>
      </c>
      <c r="R4" s="19">
        <f>_xlfn.MAXIFS(INDEX(Unified_Matrix!$A:$ZZ,3,MATCH("Max "&amp;R$1,Unified_Matrix!$1:$1,0)):INDEX(Unified_Matrix!$A:$ZZ,300,MATCH("Max "&amp;R$1,Unified_Matrix!$1:$1,0)),INDEX(Unified_Matrix!$A:$ZZ,3,MATCH("Max "&amp;R$1,Unified_Matrix!$1:$1,0)):INDEX(Unified_Matrix!$A:$ZZ,300,MATCH("Max "&amp;R$1,Unified_Matrix!$1:$1,0)),"&lt;"&amp;R2,INDEX(Unified_Matrix!$A:$ZZ,3,MATCH("Max "&amp;R$1,Unified_Matrix!$1:$1,0)):INDEX(Unified_Matrix!$A:$ZZ,300,MATCH("Max "&amp;R$1,Unified_Matrix!$1:$1,0)),"&gt;0")</f>
        <v/>
      </c>
      <c r="S4" s="19">
        <f>_xlfn.MAXIFS(INDEX(Unified_Matrix!$A:$ZZ,3,MATCH("Max "&amp;S$1,Unified_Matrix!$1:$1,0)):INDEX(Unified_Matrix!$A:$ZZ,300,MATCH("Max "&amp;S$1,Unified_Matrix!$1:$1,0)),INDEX(Unified_Matrix!$A:$ZZ,3,MATCH("Max "&amp;S$1,Unified_Matrix!$1:$1,0)):INDEX(Unified_Matrix!$A:$ZZ,300,MATCH("Max "&amp;S$1,Unified_Matrix!$1:$1,0)),"&lt;"&amp;S2,INDEX(Unified_Matrix!$A:$ZZ,3,MATCH("Max "&amp;S$1,Unified_Matrix!$1:$1,0)):INDEX(Unified_Matrix!$A:$ZZ,300,MATCH("Max "&amp;S$1,Unified_Matrix!$1:$1,0)),"&gt;0")</f>
        <v/>
      </c>
      <c r="T4" s="19">
        <f>_xlfn.MAXIFS(INDEX(Unified_Matrix!$A:$ZZ,3,MATCH("Max "&amp;T$1,Unified_Matrix!$1:$1,0)):INDEX(Unified_Matrix!$A:$ZZ,300,MATCH("Max "&amp;T$1,Unified_Matrix!$1:$1,0)),INDEX(Unified_Matrix!$A:$ZZ,3,MATCH("Max "&amp;T$1,Unified_Matrix!$1:$1,0)):INDEX(Unified_Matrix!$A:$ZZ,300,MATCH("Max "&amp;T$1,Unified_Matrix!$1:$1,0)),"&lt;"&amp;T2,INDEX(Unified_Matrix!$A:$ZZ,3,MATCH("Max "&amp;T$1,Unified_Matrix!$1:$1,0)):INDEX(Unified_Matrix!$A:$ZZ,300,MATCH("Max "&amp;T$1,Unified_Matrix!$1:$1,0)),"&gt;0")</f>
        <v/>
      </c>
      <c r="U4" s="19">
        <f>_xlfn.MAXIFS(INDEX(Unified_Matrix!$A:$ZZ,3,MATCH("Max "&amp;U$1,Unified_Matrix!$1:$1,0)):INDEX(Unified_Matrix!$A:$ZZ,300,MATCH("Max "&amp;U$1,Unified_Matrix!$1:$1,0)),INDEX(Unified_Matrix!$A:$ZZ,3,MATCH("Max "&amp;U$1,Unified_Matrix!$1:$1,0)):INDEX(Unified_Matrix!$A:$ZZ,300,MATCH("Max "&amp;U$1,Unified_Matrix!$1:$1,0)),"&lt;"&amp;U2,INDEX(Unified_Matrix!$A:$ZZ,3,MATCH("Max "&amp;U$1,Unified_Matrix!$1:$1,0)):INDEX(Unified_Matrix!$A:$ZZ,300,MATCH("Max "&amp;U$1,Unified_Matrix!$1:$1,0)),"&gt;0")</f>
        <v/>
      </c>
      <c r="V4" s="19">
        <f>_xlfn.MAXIFS(INDEX(Unified_Matrix!$A:$ZZ,3,MATCH("Max "&amp;V$1,Unified_Matrix!$1:$1,0)):INDEX(Unified_Matrix!$A:$ZZ,300,MATCH("Max "&amp;V$1,Unified_Matrix!$1:$1,0)),INDEX(Unified_Matrix!$A:$ZZ,3,MATCH("Max "&amp;V$1,Unified_Matrix!$1:$1,0)):INDEX(Unified_Matrix!$A:$ZZ,300,MATCH("Max "&amp;V$1,Unified_Matrix!$1:$1,0)),"&lt;"&amp;V2,INDEX(Unified_Matrix!$A:$ZZ,3,MATCH("Max "&amp;V$1,Unified_Matrix!$1:$1,0)):INDEX(Unified_Matrix!$A:$ZZ,300,MATCH("Max "&amp;V$1,Unified_Matrix!$1:$1,0)),"&gt;0")</f>
        <v/>
      </c>
      <c r="W4" s="19">
        <f>_xlfn.MAXIFS(INDEX(Unified_Matrix!$A:$ZZ,3,MATCH("Max "&amp;W$1,Unified_Matrix!$1:$1,0)):INDEX(Unified_Matrix!$A:$ZZ,300,MATCH("Max "&amp;W$1,Unified_Matrix!$1:$1,0)),INDEX(Unified_Matrix!$A:$ZZ,3,MATCH("Max "&amp;W$1,Unified_Matrix!$1:$1,0)):INDEX(Unified_Matrix!$A:$ZZ,300,MATCH("Max "&amp;W$1,Unified_Matrix!$1:$1,0)),"&lt;"&amp;W2,INDEX(Unified_Matrix!$A:$ZZ,3,MATCH("Max "&amp;W$1,Unified_Matrix!$1:$1,0)):INDEX(Unified_Matrix!$A:$ZZ,300,MATCH("Max "&amp;W$1,Unified_Matrix!$1:$1,0)),"&gt;0")</f>
        <v/>
      </c>
      <c r="X4" s="19">
        <f>_xlfn.MAXIFS(INDEX(Unified_Matrix!$A:$ZZ,3,MATCH("Max "&amp;X$1,Unified_Matrix!$1:$1,0)):INDEX(Unified_Matrix!$A:$ZZ,300,MATCH("Max "&amp;X$1,Unified_Matrix!$1:$1,0)),INDEX(Unified_Matrix!$A:$ZZ,3,MATCH("Max "&amp;X$1,Unified_Matrix!$1:$1,0)):INDEX(Unified_Matrix!$A:$ZZ,300,MATCH("Max "&amp;X$1,Unified_Matrix!$1:$1,0)),"&lt;"&amp;X2,INDEX(Unified_Matrix!$A:$ZZ,3,MATCH("Max "&amp;X$1,Unified_Matrix!$1:$1,0)):INDEX(Unified_Matrix!$A:$ZZ,300,MATCH("Max "&amp;X$1,Unified_Matrix!$1:$1,0)),"&gt;0")</f>
        <v/>
      </c>
      <c r="Y4" s="19">
        <f>_xlfn.MAXIFS(INDEX(Unified_Matrix!$A:$ZZ,3,MATCH("Max "&amp;Y$1,Unified_Matrix!$1:$1,0)):INDEX(Unified_Matrix!$A:$ZZ,300,MATCH("Max "&amp;Y$1,Unified_Matrix!$1:$1,0)),INDEX(Unified_Matrix!$A:$ZZ,3,MATCH("Max "&amp;Y$1,Unified_Matrix!$1:$1,0)):INDEX(Unified_Matrix!$A:$ZZ,300,MATCH("Max "&amp;Y$1,Unified_Matrix!$1:$1,0)),"&lt;"&amp;Y2,INDEX(Unified_Matrix!$A:$ZZ,3,MATCH("Max "&amp;Y$1,Unified_Matrix!$1:$1,0)):INDEX(Unified_Matrix!$A:$ZZ,300,MATCH("Max "&amp;Y$1,Unified_Matrix!$1:$1,0)),"&gt;0")</f>
        <v/>
      </c>
      <c r="Z4" s="19">
        <f>_xlfn.MAXIFS(INDEX(Unified_Matrix!$A:$ZZ,3,MATCH("Max "&amp;Z$1,Unified_Matrix!$1:$1,0)):INDEX(Unified_Matrix!$A:$ZZ,300,MATCH("Max "&amp;Z$1,Unified_Matrix!$1:$1,0)),INDEX(Unified_Matrix!$A:$ZZ,3,MATCH("Max "&amp;Z$1,Unified_Matrix!$1:$1,0)):INDEX(Unified_Matrix!$A:$ZZ,300,MATCH("Max "&amp;Z$1,Unified_Matrix!$1:$1,0)),"&lt;"&amp;Z2,INDEX(Unified_Matrix!$A:$ZZ,3,MATCH("Max "&amp;Z$1,Unified_Matrix!$1:$1,0)):INDEX(Unified_Matrix!$A:$ZZ,300,MATCH("Max "&amp;Z$1,Unified_Matrix!$1:$1,0)),"&gt;0")</f>
        <v/>
      </c>
      <c r="AA4" s="19">
        <f>_xlfn.MAXIFS(INDEX(Unified_Matrix!$A:$ZZ,3,MATCH("Max "&amp;AA$1,Unified_Matrix!$1:$1,0)):INDEX(Unified_Matrix!$A:$ZZ,300,MATCH("Max "&amp;AA$1,Unified_Matrix!$1:$1,0)),INDEX(Unified_Matrix!$A:$ZZ,3,MATCH("Max "&amp;AA$1,Unified_Matrix!$1:$1,0)):INDEX(Unified_Matrix!$A:$ZZ,300,MATCH("Max "&amp;AA$1,Unified_Matrix!$1:$1,0)),"&lt;"&amp;AA2,INDEX(Unified_Matrix!$A:$ZZ,3,MATCH("Max "&amp;AA$1,Unified_Matrix!$1:$1,0)):INDEX(Unified_Matrix!$A:$ZZ,300,MATCH("Max "&amp;AA$1,Unified_Matrix!$1:$1,0)),"&gt;0")</f>
        <v/>
      </c>
      <c r="AB4" s="19">
        <f>_xlfn.MAXIFS(INDEX(Unified_Matrix!$A:$ZZ,3,MATCH("Max "&amp;AB$1,Unified_Matrix!$1:$1,0)):INDEX(Unified_Matrix!$A:$ZZ,300,MATCH("Max "&amp;AB$1,Unified_Matrix!$1:$1,0)),INDEX(Unified_Matrix!$A:$ZZ,3,MATCH("Max "&amp;AB$1,Unified_Matrix!$1:$1,0)):INDEX(Unified_Matrix!$A:$ZZ,300,MATCH("Max "&amp;AB$1,Unified_Matrix!$1:$1,0)),"&lt;"&amp;AB2,INDEX(Unified_Matrix!$A:$ZZ,3,MATCH("Max "&amp;AB$1,Unified_Matrix!$1:$1,0)):INDEX(Unified_Matrix!$A:$ZZ,300,MATCH("Max "&amp;AB$1,Unified_Matrix!$1:$1,0)),"&gt;0")</f>
        <v/>
      </c>
      <c r="AC4" s="19">
        <f>_xlfn.MAXIFS(INDEX(Unified_Matrix!$A:$ZZ,3,MATCH("Max "&amp;AC$1,Unified_Matrix!$1:$1,0)):INDEX(Unified_Matrix!$A:$ZZ,300,MATCH("Max "&amp;AC$1,Unified_Matrix!$1:$1,0)),INDEX(Unified_Matrix!$A:$ZZ,3,MATCH("Max "&amp;AC$1,Unified_Matrix!$1:$1,0)):INDEX(Unified_Matrix!$A:$ZZ,300,MATCH("Max "&amp;AC$1,Unified_Matrix!$1:$1,0)),"&lt;"&amp;AC2,INDEX(Unified_Matrix!$A:$ZZ,3,MATCH("Max "&amp;AC$1,Unified_Matrix!$1:$1,0)):INDEX(Unified_Matrix!$A:$ZZ,300,MATCH("Max "&amp;AC$1,Unified_Matrix!$1:$1,0)),"&gt;0")</f>
        <v/>
      </c>
      <c r="AD4" s="19">
        <f>_xlfn.MAXIFS(INDEX(Unified_Matrix!$A:$ZZ,3,MATCH("Max "&amp;AD$1,Unified_Matrix!$1:$1,0)):INDEX(Unified_Matrix!$A:$ZZ,300,MATCH("Max "&amp;AD$1,Unified_Matrix!$1:$1,0)),INDEX(Unified_Matrix!$A:$ZZ,3,MATCH("Max "&amp;AD$1,Unified_Matrix!$1:$1,0)):INDEX(Unified_Matrix!$A:$ZZ,300,MATCH("Max "&amp;AD$1,Unified_Matrix!$1:$1,0)),"&lt;"&amp;AD2,INDEX(Unified_Matrix!$A:$ZZ,3,MATCH("Max "&amp;AD$1,Unified_Matrix!$1:$1,0)):INDEX(Unified_Matrix!$A:$ZZ,300,MATCH("Max "&amp;AD$1,Unified_Matrix!$1:$1,0)),"&gt;0")</f>
        <v/>
      </c>
      <c r="AE4" s="19">
        <f>_xlfn.MAXIFS(INDEX(Unified_Matrix!$A:$ZZ,3,MATCH("Max "&amp;AE$1,Unified_Matrix!$1:$1,0)):INDEX(Unified_Matrix!$A:$ZZ,300,MATCH("Max "&amp;AE$1,Unified_Matrix!$1:$1,0)),INDEX(Unified_Matrix!$A:$ZZ,3,MATCH("Max "&amp;AE$1,Unified_Matrix!$1:$1,0)):INDEX(Unified_Matrix!$A:$ZZ,300,MATCH("Max "&amp;AE$1,Unified_Matrix!$1:$1,0)),"&lt;"&amp;AE2,INDEX(Unified_Matrix!$A:$ZZ,3,MATCH("Max "&amp;AE$1,Unified_Matrix!$1:$1,0)):INDEX(Unified_Matrix!$A:$ZZ,300,MATCH("Max "&amp;AE$1,Unified_Matrix!$1:$1,0)),"&gt;0")</f>
        <v/>
      </c>
      <c r="AF4" s="19">
        <f>_xlfn.MAXIFS(INDEX(Unified_Matrix!$A:$ZZ,3,MATCH("Max "&amp;AF$1,Unified_Matrix!$1:$1,0)):INDEX(Unified_Matrix!$A:$ZZ,300,MATCH("Max "&amp;AF$1,Unified_Matrix!$1:$1,0)),INDEX(Unified_Matrix!$A:$ZZ,3,MATCH("Max "&amp;AF$1,Unified_Matrix!$1:$1,0)):INDEX(Unified_Matrix!$A:$ZZ,300,MATCH("Max "&amp;AF$1,Unified_Matrix!$1:$1,0)),"&lt;"&amp;AF2,INDEX(Unified_Matrix!$A:$ZZ,3,MATCH("Max "&amp;AF$1,Unified_Matrix!$1:$1,0)):INDEX(Unified_Matrix!$A:$ZZ,300,MATCH("Max "&amp;AF$1,Unified_Matrix!$1:$1,0)),"&gt;0")</f>
        <v/>
      </c>
      <c r="AG4" s="19">
        <f>_xlfn.MAXIFS(INDEX(Unified_Matrix!$A:$ZZ,3,MATCH("Max "&amp;AG$1,Unified_Matrix!$1:$1,0)):INDEX(Unified_Matrix!$A:$ZZ,300,MATCH("Max "&amp;AG$1,Unified_Matrix!$1:$1,0)),INDEX(Unified_Matrix!$A:$ZZ,3,MATCH("Max "&amp;AG$1,Unified_Matrix!$1:$1,0)):INDEX(Unified_Matrix!$A:$ZZ,300,MATCH("Max "&amp;AG$1,Unified_Matrix!$1:$1,0)),"&lt;"&amp;AG2,INDEX(Unified_Matrix!$A:$ZZ,3,MATCH("Max "&amp;AG$1,Unified_Matrix!$1:$1,0)):INDEX(Unified_Matrix!$A:$ZZ,300,MATCH("Max "&amp;AG$1,Unified_Matrix!$1:$1,0)),"&gt;0")</f>
        <v/>
      </c>
      <c r="AH4" s="19">
        <f>_xlfn.MAXIFS(INDEX(Unified_Matrix!$A:$ZZ,3,MATCH("Max "&amp;AH$1,Unified_Matrix!$1:$1,0)):INDEX(Unified_Matrix!$A:$ZZ,300,MATCH("Max "&amp;AH$1,Unified_Matrix!$1:$1,0)),INDEX(Unified_Matrix!$A:$ZZ,3,MATCH("Max "&amp;AH$1,Unified_Matrix!$1:$1,0)):INDEX(Unified_Matrix!$A:$ZZ,300,MATCH("Max "&amp;AH$1,Unified_Matrix!$1:$1,0)),"&lt;"&amp;AH2,INDEX(Unified_Matrix!$A:$ZZ,3,MATCH("Max "&amp;AH$1,Unified_Matrix!$1:$1,0)):INDEX(Unified_Matrix!$A:$ZZ,300,MATCH("Max "&amp;AH$1,Unified_Matrix!$1:$1,0)),"&gt;0")</f>
        <v/>
      </c>
      <c r="AI4" s="19">
        <f>_xlfn.MAXIFS(INDEX(Unified_Matrix!$A:$ZZ,3,MATCH("Max "&amp;AI$1,Unified_Matrix!$1:$1,0)):INDEX(Unified_Matrix!$A:$ZZ,300,MATCH("Max "&amp;AI$1,Unified_Matrix!$1:$1,0)),INDEX(Unified_Matrix!$A:$ZZ,3,MATCH("Max "&amp;AI$1,Unified_Matrix!$1:$1,0)):INDEX(Unified_Matrix!$A:$ZZ,300,MATCH("Max "&amp;AI$1,Unified_Matrix!$1:$1,0)),"&lt;"&amp;AI2,INDEX(Unified_Matrix!$A:$ZZ,3,MATCH("Max "&amp;AI$1,Unified_Matrix!$1:$1,0)):INDEX(Unified_Matrix!$A:$ZZ,300,MATCH("Max "&amp;AI$1,Unified_Matrix!$1:$1,0)),"&gt;0")</f>
        <v/>
      </c>
      <c r="AJ4" s="19">
        <f>_xlfn.MAXIFS(INDEX(Unified_Matrix!$A:$ZZ,3,MATCH("Max "&amp;AJ$1,Unified_Matrix!$1:$1,0)):INDEX(Unified_Matrix!$A:$ZZ,300,MATCH("Max "&amp;AJ$1,Unified_Matrix!$1:$1,0)),INDEX(Unified_Matrix!$A:$ZZ,3,MATCH("Max "&amp;AJ$1,Unified_Matrix!$1:$1,0)):INDEX(Unified_Matrix!$A:$ZZ,300,MATCH("Max "&amp;AJ$1,Unified_Matrix!$1:$1,0)),"&lt;"&amp;AJ2,INDEX(Unified_Matrix!$A:$ZZ,3,MATCH("Max "&amp;AJ$1,Unified_Matrix!$1:$1,0)):INDEX(Unified_Matrix!$A:$ZZ,300,MATCH("Max "&amp;AJ$1,Unified_Matrix!$1:$1,0)),"&gt;0")</f>
        <v/>
      </c>
      <c r="AK4" s="19">
        <f>_xlfn.MAXIFS(INDEX(Unified_Matrix!$A:$ZZ,3,MATCH("Max "&amp;AK$1,Unified_Matrix!$1:$1,0)):INDEX(Unified_Matrix!$A:$ZZ,300,MATCH("Max "&amp;AK$1,Unified_Matrix!$1:$1,0)),INDEX(Unified_Matrix!$A:$ZZ,3,MATCH("Max "&amp;AK$1,Unified_Matrix!$1:$1,0)):INDEX(Unified_Matrix!$A:$ZZ,300,MATCH("Max "&amp;AK$1,Unified_Matrix!$1:$1,0)),"&lt;"&amp;AK2,INDEX(Unified_Matrix!$A:$ZZ,3,MATCH("Max "&amp;AK$1,Unified_Matrix!$1:$1,0)):INDEX(Unified_Matrix!$A:$ZZ,300,MATCH("Max "&amp;AK$1,Unified_Matrix!$1:$1,0)),"&gt;0")</f>
        <v/>
      </c>
      <c r="AL4" s="19">
        <f>_xlfn.MAXIFS(INDEX(Unified_Matrix!$A:$ZZ,3,MATCH("Max "&amp;AL$1,Unified_Matrix!$1:$1,0)):INDEX(Unified_Matrix!$A:$ZZ,300,MATCH("Max "&amp;AL$1,Unified_Matrix!$1:$1,0)),INDEX(Unified_Matrix!$A:$ZZ,3,MATCH("Max "&amp;AL$1,Unified_Matrix!$1:$1,0)):INDEX(Unified_Matrix!$A:$ZZ,300,MATCH("Max "&amp;AL$1,Unified_Matrix!$1:$1,0)),"&lt;"&amp;AL2,INDEX(Unified_Matrix!$A:$ZZ,3,MATCH("Max "&amp;AL$1,Unified_Matrix!$1:$1,0)):INDEX(Unified_Matrix!$A:$ZZ,300,MATCH("Max "&amp;AL$1,Unified_Matrix!$1:$1,0)),"&gt;0")</f>
        <v/>
      </c>
      <c r="AM4" s="19">
        <f>_xlfn.MAXIFS(INDEX(Unified_Matrix!$A:$ZZ,3,MATCH("Max "&amp;AM$1,Unified_Matrix!$1:$1,0)):INDEX(Unified_Matrix!$A:$ZZ,300,MATCH("Max "&amp;AM$1,Unified_Matrix!$1:$1,0)),INDEX(Unified_Matrix!$A:$ZZ,3,MATCH("Max "&amp;AM$1,Unified_Matrix!$1:$1,0)):INDEX(Unified_Matrix!$A:$ZZ,300,MATCH("Max "&amp;AM$1,Unified_Matrix!$1:$1,0)),"&lt;"&amp;AM2,INDEX(Unified_Matrix!$A:$ZZ,3,MATCH("Max "&amp;AM$1,Unified_Matrix!$1:$1,0)):INDEX(Unified_Matrix!$A:$ZZ,300,MATCH("Max "&amp;AM$1,Unified_Matrix!$1:$1,0)),"&gt;0")</f>
        <v/>
      </c>
      <c r="AN4" s="19">
        <f>_xlfn.MAXIFS(INDEX(Unified_Matrix!$A:$ZZ,3,MATCH("Max "&amp;AN$1,Unified_Matrix!$1:$1,0)):INDEX(Unified_Matrix!$A:$ZZ,300,MATCH("Max "&amp;AN$1,Unified_Matrix!$1:$1,0)),INDEX(Unified_Matrix!$A:$ZZ,3,MATCH("Max "&amp;AN$1,Unified_Matrix!$1:$1,0)):INDEX(Unified_Matrix!$A:$ZZ,300,MATCH("Max "&amp;AN$1,Unified_Matrix!$1:$1,0)),"&lt;"&amp;AN2,INDEX(Unified_Matrix!$A:$ZZ,3,MATCH("Max "&amp;AN$1,Unified_Matrix!$1:$1,0)):INDEX(Unified_Matrix!$A:$ZZ,300,MATCH("Max "&amp;AN$1,Unified_Matrix!$1:$1,0)),"&gt;0")</f>
        <v/>
      </c>
      <c r="AO4" s="19">
        <f>_xlfn.MAXIFS(INDEX(Unified_Matrix!$A:$ZZ,3,MATCH("Max "&amp;AO$1,Unified_Matrix!$1:$1,0)):INDEX(Unified_Matrix!$A:$ZZ,300,MATCH("Max "&amp;AO$1,Unified_Matrix!$1:$1,0)),INDEX(Unified_Matrix!$A:$ZZ,3,MATCH("Max "&amp;AO$1,Unified_Matrix!$1:$1,0)):INDEX(Unified_Matrix!$A:$ZZ,300,MATCH("Max "&amp;AO$1,Unified_Matrix!$1:$1,0)),"&lt;"&amp;AO2,INDEX(Unified_Matrix!$A:$ZZ,3,MATCH("Max "&amp;AO$1,Unified_Matrix!$1:$1,0)):INDEX(Unified_Matrix!$A:$ZZ,300,MATCH("Max "&amp;AO$1,Unified_Matrix!$1:$1,0)),"&gt;0")</f>
        <v/>
      </c>
      <c r="AP4" s="19">
        <f>_xlfn.MAXIFS(INDEX(Unified_Matrix!$A:$ZZ,3,MATCH("Max "&amp;AP$1,Unified_Matrix!$1:$1,0)):INDEX(Unified_Matrix!$A:$ZZ,300,MATCH("Max "&amp;AP$1,Unified_Matrix!$1:$1,0)),INDEX(Unified_Matrix!$A:$ZZ,3,MATCH("Max "&amp;AP$1,Unified_Matrix!$1:$1,0)):INDEX(Unified_Matrix!$A:$ZZ,300,MATCH("Max "&amp;AP$1,Unified_Matrix!$1:$1,0)),"&lt;"&amp;AP2,INDEX(Unified_Matrix!$A:$ZZ,3,MATCH("Max "&amp;AP$1,Unified_Matrix!$1:$1,0)):INDEX(Unified_Matrix!$A:$ZZ,300,MATCH("Max "&amp;AP$1,Unified_Matrix!$1:$1,0)),"&gt;0")</f>
        <v/>
      </c>
      <c r="AQ4" s="19">
        <f>_xlfn.MAXIFS(INDEX(Unified_Matrix!$A:$ZZ,3,MATCH("Max "&amp;AQ$1,Unified_Matrix!$1:$1,0)):INDEX(Unified_Matrix!$A:$ZZ,300,MATCH("Max "&amp;AQ$1,Unified_Matrix!$1:$1,0)),INDEX(Unified_Matrix!$A:$ZZ,3,MATCH("Max "&amp;AQ$1,Unified_Matrix!$1:$1,0)):INDEX(Unified_Matrix!$A:$ZZ,300,MATCH("Max "&amp;AQ$1,Unified_Matrix!$1:$1,0)),"&lt;"&amp;AQ2,INDEX(Unified_Matrix!$A:$ZZ,3,MATCH("Max "&amp;AQ$1,Unified_Matrix!$1:$1,0)):INDEX(Unified_Matrix!$A:$ZZ,300,MATCH("Max "&amp;AQ$1,Unified_Matrix!$1:$1,0)),"&gt;0")</f>
        <v/>
      </c>
      <c r="AR4" s="19">
        <f>_xlfn.MAXIFS(INDEX(Unified_Matrix!$A:$ZZ,3,MATCH("Max "&amp;AR$1,Unified_Matrix!$1:$1,0)):INDEX(Unified_Matrix!$A:$ZZ,300,MATCH("Max "&amp;AR$1,Unified_Matrix!$1:$1,0)),INDEX(Unified_Matrix!$A:$ZZ,3,MATCH("Max "&amp;AR$1,Unified_Matrix!$1:$1,0)):INDEX(Unified_Matrix!$A:$ZZ,300,MATCH("Max "&amp;AR$1,Unified_Matrix!$1:$1,0)),"&lt;"&amp;AR2,INDEX(Unified_Matrix!$A:$ZZ,3,MATCH("Max "&amp;AR$1,Unified_Matrix!$1:$1,0)):INDEX(Unified_Matrix!$A:$ZZ,300,MATCH("Max "&amp;AR$1,Unified_Matrix!$1:$1,0)),"&gt;0")</f>
        <v/>
      </c>
      <c r="AS4" s="19">
        <f>_xlfn.MAXIFS(INDEX(Unified_Matrix!$A:$ZZ,3,MATCH("Max "&amp;AS$1,Unified_Matrix!$1:$1,0)):INDEX(Unified_Matrix!$A:$ZZ,300,MATCH("Max "&amp;AS$1,Unified_Matrix!$1:$1,0)),INDEX(Unified_Matrix!$A:$ZZ,3,MATCH("Max "&amp;AS$1,Unified_Matrix!$1:$1,0)):INDEX(Unified_Matrix!$A:$ZZ,300,MATCH("Max "&amp;AS$1,Unified_Matrix!$1:$1,0)),"&lt;"&amp;AS2,INDEX(Unified_Matrix!$A:$ZZ,3,MATCH("Max "&amp;AS$1,Unified_Matrix!$1:$1,0)):INDEX(Unified_Matrix!$A:$ZZ,300,MATCH("Max "&amp;AS$1,Unified_Matrix!$1:$1,0)),"&gt;0")</f>
        <v/>
      </c>
      <c r="AT4" s="19">
        <f>_xlfn.MAXIFS(INDEX(Unified_Matrix!$A:$ZZ,3,MATCH("Max "&amp;AT$1,Unified_Matrix!$1:$1,0)):INDEX(Unified_Matrix!$A:$ZZ,300,MATCH("Max "&amp;AT$1,Unified_Matrix!$1:$1,0)),INDEX(Unified_Matrix!$A:$ZZ,3,MATCH("Max "&amp;AT$1,Unified_Matrix!$1:$1,0)):INDEX(Unified_Matrix!$A:$ZZ,300,MATCH("Max "&amp;AT$1,Unified_Matrix!$1:$1,0)),"&lt;"&amp;AT2,INDEX(Unified_Matrix!$A:$ZZ,3,MATCH("Max "&amp;AT$1,Unified_Matrix!$1:$1,0)):INDEX(Unified_Matrix!$A:$ZZ,300,MATCH("Max "&amp;AT$1,Unified_Matrix!$1:$1,0)),"&gt;0")</f>
        <v/>
      </c>
    </row>
    <row r="5" ht="97.5" customHeight="1">
      <c r="H5" s="38" t="n"/>
      <c r="I5" s="18" t="inlineStr">
        <is>
          <t>진화명</t>
        </is>
      </c>
      <c r="J5" s="20">
        <f t="array" ref="J5">IF(J4=0,"",_xlfn.TEXTJOIN(CHAR(10),TRUE,IF((INDEX(Unified_Matrix!$A:$ZZ,3,MATCH("Max "&amp;J$1,Unified_Matrix!$1:$1,0)):INDEX(Unified_Matrix!$A:$ZZ,300,MATCH("Max "&amp;J$1,Unified_Matrix!$1:$1,0))=J4)*(INDEX(Unified_Matrix!$A:$ZZ,3,MATCH("Max "&amp;J$1,Unified_Matrix!$1:$1,0)):INDEX(Unified_Matrix!$A:$ZZ,300,MATCH("Max "&amp;J$1,Unified_Matrix!$1:$1,0))&gt;0),INDEX(Unified_Matrix!$A:$ZZ,3,MATCH("Evolution_Name",Unified_Matrix!$1:$1,0)):INDEX(Unified_Matrix!$A:$ZZ,300,MATCH("Evolution_Name",Unified_Matrix!$1:$1,0)),"")))</f>
        <v/>
      </c>
      <c r="K5" s="20">
        <f t="array" ref="K5">IF(K4=0,"",_xlfn.TEXTJOIN(CHAR(10),TRUE,IF((INDEX(Unified_Matrix!$A:$ZZ,3,MATCH("Max "&amp;K$1,Unified_Matrix!$1:$1,0)):INDEX(Unified_Matrix!$A:$ZZ,300,MATCH("Max "&amp;K$1,Unified_Matrix!$1:$1,0))=K4)*(INDEX(Unified_Matrix!$A:$ZZ,3,MATCH("Max "&amp;K$1,Unified_Matrix!$1:$1,0)):INDEX(Unified_Matrix!$A:$ZZ,300,MATCH("Max "&amp;K$1,Unified_Matrix!$1:$1,0))&gt;0),INDEX(Unified_Matrix!$A:$ZZ,3,MATCH("Evolution_Name",Unified_Matrix!$1:$1,0)):INDEX(Unified_Matrix!$A:$ZZ,300,MATCH("Evolution_Name",Unified_Matrix!$1:$1,0)),"")))</f>
        <v/>
      </c>
      <c r="L5" s="20">
        <f t="array" ref="L5">IF(L4=0,"",_xlfn.TEXTJOIN(CHAR(10),TRUE,IF((INDEX(Unified_Matrix!$A:$ZZ,3,MATCH("Max "&amp;L$1,Unified_Matrix!$1:$1,0)):INDEX(Unified_Matrix!$A:$ZZ,300,MATCH("Max "&amp;L$1,Unified_Matrix!$1:$1,0))=L4)*(INDEX(Unified_Matrix!$A:$ZZ,3,MATCH("Max "&amp;L$1,Unified_Matrix!$1:$1,0)):INDEX(Unified_Matrix!$A:$ZZ,300,MATCH("Max "&amp;L$1,Unified_Matrix!$1:$1,0))&gt;0),INDEX(Unified_Matrix!$A:$ZZ,3,MATCH("Evolution_Name",Unified_Matrix!$1:$1,0)):INDEX(Unified_Matrix!$A:$ZZ,300,MATCH("Evolution_Name",Unified_Matrix!$1:$1,0)),"")))</f>
        <v/>
      </c>
      <c r="M5" s="20">
        <f t="array" ref="M5">IF(M4=0,"",_xlfn.TEXTJOIN(CHAR(10),TRUE,IF((INDEX(Unified_Matrix!$A:$ZZ,3,MATCH("Max "&amp;M$1,Unified_Matrix!$1:$1,0)):INDEX(Unified_Matrix!$A:$ZZ,300,MATCH("Max "&amp;M$1,Unified_Matrix!$1:$1,0))=M4)*(INDEX(Unified_Matrix!$A:$ZZ,3,MATCH("Max "&amp;M$1,Unified_Matrix!$1:$1,0)):INDEX(Unified_Matrix!$A:$ZZ,300,MATCH("Max "&amp;M$1,Unified_Matrix!$1:$1,0))&gt;0),INDEX(Unified_Matrix!$A:$ZZ,3,MATCH("Evolution_Name",Unified_Matrix!$1:$1,0)):INDEX(Unified_Matrix!$A:$ZZ,300,MATCH("Evolution_Name",Unified_Matrix!$1:$1,0)),"")))</f>
        <v/>
      </c>
      <c r="N5" s="20">
        <f t="array" ref="N5">IF(N4=0,"",_xlfn.TEXTJOIN(CHAR(10),TRUE,IF((INDEX(Unified_Matrix!$A:$ZZ,3,MATCH("Max "&amp;N$1,Unified_Matrix!$1:$1,0)):INDEX(Unified_Matrix!$A:$ZZ,300,MATCH("Max "&amp;N$1,Unified_Matrix!$1:$1,0))=N4)*(INDEX(Unified_Matrix!$A:$ZZ,3,MATCH("Max "&amp;N$1,Unified_Matrix!$1:$1,0)):INDEX(Unified_Matrix!$A:$ZZ,300,MATCH("Max "&amp;N$1,Unified_Matrix!$1:$1,0))&gt;0),INDEX(Unified_Matrix!$A:$ZZ,3,MATCH("Evolution_Name",Unified_Matrix!$1:$1,0)):INDEX(Unified_Matrix!$A:$ZZ,300,MATCH("Evolution_Name",Unified_Matrix!$1:$1,0)),"")))</f>
        <v/>
      </c>
      <c r="O5" s="20">
        <f t="array" ref="O5">IF(O4=0,"",_xlfn.TEXTJOIN(CHAR(10),TRUE,IF((INDEX(Unified_Matrix!$A:$ZZ,3,MATCH("Max "&amp;O$1,Unified_Matrix!$1:$1,0)):INDEX(Unified_Matrix!$A:$ZZ,300,MATCH("Max "&amp;O$1,Unified_Matrix!$1:$1,0))=O4)*(INDEX(Unified_Matrix!$A:$ZZ,3,MATCH("Max "&amp;O$1,Unified_Matrix!$1:$1,0)):INDEX(Unified_Matrix!$A:$ZZ,300,MATCH("Max "&amp;O$1,Unified_Matrix!$1:$1,0))&gt;0),INDEX(Unified_Matrix!$A:$ZZ,3,MATCH("Evolution_Name",Unified_Matrix!$1:$1,0)):INDEX(Unified_Matrix!$A:$ZZ,300,MATCH("Evolution_Name",Unified_Matrix!$1:$1,0)),"")))</f>
        <v/>
      </c>
      <c r="P5" s="20">
        <f t="array" ref="P5">IF(P4=0,"",_xlfn.TEXTJOIN(CHAR(10),TRUE,IF((INDEX(Unified_Matrix!$A:$ZZ,3,MATCH("Max "&amp;P$1,Unified_Matrix!$1:$1,0)):INDEX(Unified_Matrix!$A:$ZZ,300,MATCH("Max "&amp;P$1,Unified_Matrix!$1:$1,0))=P4)*(INDEX(Unified_Matrix!$A:$ZZ,3,MATCH("Max "&amp;P$1,Unified_Matrix!$1:$1,0)):INDEX(Unified_Matrix!$A:$ZZ,300,MATCH("Max "&amp;P$1,Unified_Matrix!$1:$1,0))&gt;0),INDEX(Unified_Matrix!$A:$ZZ,3,MATCH("Evolution_Name",Unified_Matrix!$1:$1,0)):INDEX(Unified_Matrix!$A:$ZZ,300,MATCH("Evolution_Name",Unified_Matrix!$1:$1,0)),"")))</f>
        <v/>
      </c>
      <c r="Q5" s="20">
        <f t="array" ref="Q5">IF(Q4=0,"",_xlfn.TEXTJOIN(CHAR(10),TRUE,IF((INDEX(Unified_Matrix!$A:$ZZ,3,MATCH("Max "&amp;Q$1,Unified_Matrix!$1:$1,0)):INDEX(Unified_Matrix!$A:$ZZ,300,MATCH("Max "&amp;Q$1,Unified_Matrix!$1:$1,0))=Q4)*(INDEX(Unified_Matrix!$A:$ZZ,3,MATCH("Max "&amp;Q$1,Unified_Matrix!$1:$1,0)):INDEX(Unified_Matrix!$A:$ZZ,300,MATCH("Max "&amp;Q$1,Unified_Matrix!$1:$1,0))&gt;0),INDEX(Unified_Matrix!$A:$ZZ,3,MATCH("Evolution_Name",Unified_Matrix!$1:$1,0)):INDEX(Unified_Matrix!$A:$ZZ,300,MATCH("Evolution_Name",Unified_Matrix!$1:$1,0)),"")))</f>
        <v/>
      </c>
      <c r="R5" s="20">
        <f t="array" ref="R5">IF(R4=0,"",_xlfn.TEXTJOIN(CHAR(10),TRUE,IF((INDEX(Unified_Matrix!$A:$ZZ,3,MATCH("Max "&amp;R$1,Unified_Matrix!$1:$1,0)):INDEX(Unified_Matrix!$A:$ZZ,300,MATCH("Max "&amp;R$1,Unified_Matrix!$1:$1,0))=R4)*(INDEX(Unified_Matrix!$A:$ZZ,3,MATCH("Max "&amp;R$1,Unified_Matrix!$1:$1,0)):INDEX(Unified_Matrix!$A:$ZZ,300,MATCH("Max "&amp;R$1,Unified_Matrix!$1:$1,0))&gt;0),INDEX(Unified_Matrix!$A:$ZZ,3,MATCH("Evolution_Name",Unified_Matrix!$1:$1,0)):INDEX(Unified_Matrix!$A:$ZZ,300,MATCH("Evolution_Name",Unified_Matrix!$1:$1,0)),"")))</f>
        <v/>
      </c>
      <c r="S5" s="20">
        <f t="array" ref="S5">IF(S4=0,"",_xlfn.TEXTJOIN(CHAR(10),TRUE,IF((INDEX(Unified_Matrix!$A:$ZZ,3,MATCH("Max "&amp;S$1,Unified_Matrix!$1:$1,0)):INDEX(Unified_Matrix!$A:$ZZ,300,MATCH("Max "&amp;S$1,Unified_Matrix!$1:$1,0))=S4)*(INDEX(Unified_Matrix!$A:$ZZ,3,MATCH("Max "&amp;S$1,Unified_Matrix!$1:$1,0)):INDEX(Unified_Matrix!$A:$ZZ,300,MATCH("Max "&amp;S$1,Unified_Matrix!$1:$1,0))&gt;0),INDEX(Unified_Matrix!$A:$ZZ,3,MATCH("Evolution_Name",Unified_Matrix!$1:$1,0)):INDEX(Unified_Matrix!$A:$ZZ,300,MATCH("Evolution_Name",Unified_Matrix!$1:$1,0)),"")))</f>
        <v/>
      </c>
      <c r="T5" s="20">
        <f t="array" ref="T5">IF(T4=0,"",_xlfn.TEXTJOIN(CHAR(10),TRUE,IF((INDEX(Unified_Matrix!$A:$ZZ,3,MATCH("Max "&amp;T$1,Unified_Matrix!$1:$1,0)):INDEX(Unified_Matrix!$A:$ZZ,300,MATCH("Max "&amp;T$1,Unified_Matrix!$1:$1,0))=T4)*(INDEX(Unified_Matrix!$A:$ZZ,3,MATCH("Max "&amp;T$1,Unified_Matrix!$1:$1,0)):INDEX(Unified_Matrix!$A:$ZZ,300,MATCH("Max "&amp;T$1,Unified_Matrix!$1:$1,0))&gt;0),INDEX(Unified_Matrix!$A:$ZZ,3,MATCH("Evolution_Name",Unified_Matrix!$1:$1,0)):INDEX(Unified_Matrix!$A:$ZZ,300,MATCH("Evolution_Name",Unified_Matrix!$1:$1,0)),"")))</f>
        <v/>
      </c>
      <c r="U5" s="20">
        <f t="array" ref="U5">IF(U4=0,"",_xlfn.TEXTJOIN(CHAR(10),TRUE,IF((INDEX(Unified_Matrix!$A:$ZZ,3,MATCH("Max "&amp;U$1,Unified_Matrix!$1:$1,0)):INDEX(Unified_Matrix!$A:$ZZ,300,MATCH("Max "&amp;U$1,Unified_Matrix!$1:$1,0))=U4)*(INDEX(Unified_Matrix!$A:$ZZ,3,MATCH("Max "&amp;U$1,Unified_Matrix!$1:$1,0)):INDEX(Unified_Matrix!$A:$ZZ,300,MATCH("Max "&amp;U$1,Unified_Matrix!$1:$1,0))&gt;0),INDEX(Unified_Matrix!$A:$ZZ,3,MATCH("Evolution_Name",Unified_Matrix!$1:$1,0)):INDEX(Unified_Matrix!$A:$ZZ,300,MATCH("Evolution_Name",Unified_Matrix!$1:$1,0)),"")))</f>
        <v/>
      </c>
      <c r="V5" s="20">
        <f t="array" ref="V5">IF(V4=0,"",_xlfn.TEXTJOIN(CHAR(10),TRUE,IF((INDEX(Unified_Matrix!$A:$ZZ,3,MATCH("Max "&amp;V$1,Unified_Matrix!$1:$1,0)):INDEX(Unified_Matrix!$A:$ZZ,300,MATCH("Max "&amp;V$1,Unified_Matrix!$1:$1,0))=V4)*(INDEX(Unified_Matrix!$A:$ZZ,3,MATCH("Max "&amp;V$1,Unified_Matrix!$1:$1,0)):INDEX(Unified_Matrix!$A:$ZZ,300,MATCH("Max "&amp;V$1,Unified_Matrix!$1:$1,0))&gt;0),INDEX(Unified_Matrix!$A:$ZZ,3,MATCH("Evolution_Name",Unified_Matrix!$1:$1,0)):INDEX(Unified_Matrix!$A:$ZZ,300,MATCH("Evolution_Name",Unified_Matrix!$1:$1,0)),"")))</f>
        <v/>
      </c>
      <c r="W5" s="20">
        <f t="array" ref="W5">IF(W4=0,"",_xlfn.TEXTJOIN(CHAR(10),TRUE,IF((INDEX(Unified_Matrix!$A:$ZZ,3,MATCH("Max "&amp;W$1,Unified_Matrix!$1:$1,0)):INDEX(Unified_Matrix!$A:$ZZ,300,MATCH("Max "&amp;W$1,Unified_Matrix!$1:$1,0))=W4)*(INDEX(Unified_Matrix!$A:$ZZ,3,MATCH("Max "&amp;W$1,Unified_Matrix!$1:$1,0)):INDEX(Unified_Matrix!$A:$ZZ,300,MATCH("Max "&amp;W$1,Unified_Matrix!$1:$1,0))&gt;0),INDEX(Unified_Matrix!$A:$ZZ,3,MATCH("Evolution_Name",Unified_Matrix!$1:$1,0)):INDEX(Unified_Matrix!$A:$ZZ,300,MATCH("Evolution_Name",Unified_Matrix!$1:$1,0)),"")))</f>
        <v/>
      </c>
      <c r="X5" s="20">
        <f t="array" ref="X5">IF(X4=0,"",_xlfn.TEXTJOIN(CHAR(10),TRUE,IF((INDEX(Unified_Matrix!$A:$ZZ,3,MATCH("Max "&amp;X$1,Unified_Matrix!$1:$1,0)):INDEX(Unified_Matrix!$A:$ZZ,300,MATCH("Max "&amp;X$1,Unified_Matrix!$1:$1,0))=X4)*(INDEX(Unified_Matrix!$A:$ZZ,3,MATCH("Max "&amp;X$1,Unified_Matrix!$1:$1,0)):INDEX(Unified_Matrix!$A:$ZZ,300,MATCH("Max "&amp;X$1,Unified_Matrix!$1:$1,0))&gt;0),INDEX(Unified_Matrix!$A:$ZZ,3,MATCH("Evolution_Name",Unified_Matrix!$1:$1,0)):INDEX(Unified_Matrix!$A:$ZZ,300,MATCH("Evolution_Name",Unified_Matrix!$1:$1,0)),"")))</f>
        <v/>
      </c>
      <c r="Y5" s="20">
        <f t="array" ref="Y5">IF(Y4=0,"",_xlfn.TEXTJOIN(CHAR(10),TRUE,IF((INDEX(Unified_Matrix!$A:$ZZ,3,MATCH("Max "&amp;Y$1,Unified_Matrix!$1:$1,0)):INDEX(Unified_Matrix!$A:$ZZ,300,MATCH("Max "&amp;Y$1,Unified_Matrix!$1:$1,0))=Y4)*(INDEX(Unified_Matrix!$A:$ZZ,3,MATCH("Max "&amp;Y$1,Unified_Matrix!$1:$1,0)):INDEX(Unified_Matrix!$A:$ZZ,300,MATCH("Max "&amp;Y$1,Unified_Matrix!$1:$1,0))&gt;0),INDEX(Unified_Matrix!$A:$ZZ,3,MATCH("Evolution_Name",Unified_Matrix!$1:$1,0)):INDEX(Unified_Matrix!$A:$ZZ,300,MATCH("Evolution_Name",Unified_Matrix!$1:$1,0)),"")))</f>
        <v/>
      </c>
      <c r="Z5" s="20">
        <f t="array" ref="Z5">IF(Z4=0,"",_xlfn.TEXTJOIN(CHAR(10),TRUE,IF((INDEX(Unified_Matrix!$A:$ZZ,3,MATCH("Max "&amp;Z$1,Unified_Matrix!$1:$1,0)):INDEX(Unified_Matrix!$A:$ZZ,300,MATCH("Max "&amp;Z$1,Unified_Matrix!$1:$1,0))=Z4)*(INDEX(Unified_Matrix!$A:$ZZ,3,MATCH("Max "&amp;Z$1,Unified_Matrix!$1:$1,0)):INDEX(Unified_Matrix!$A:$ZZ,300,MATCH("Max "&amp;Z$1,Unified_Matrix!$1:$1,0))&gt;0),INDEX(Unified_Matrix!$A:$ZZ,3,MATCH("Evolution_Name",Unified_Matrix!$1:$1,0)):INDEX(Unified_Matrix!$A:$ZZ,300,MATCH("Evolution_Name",Unified_Matrix!$1:$1,0)),"")))</f>
        <v/>
      </c>
      <c r="AA5" s="20">
        <f t="array" ref="AA5">IF(AA4=0,"",_xlfn.TEXTJOIN(CHAR(10),TRUE,IF((INDEX(Unified_Matrix!$A:$ZZ,3,MATCH("Max "&amp;AA$1,Unified_Matrix!$1:$1,0)):INDEX(Unified_Matrix!$A:$ZZ,300,MATCH("Max "&amp;AA$1,Unified_Matrix!$1:$1,0))=AA4)*(INDEX(Unified_Matrix!$A:$ZZ,3,MATCH("Max "&amp;AA$1,Unified_Matrix!$1:$1,0)):INDEX(Unified_Matrix!$A:$ZZ,300,MATCH("Max "&amp;AA$1,Unified_Matrix!$1:$1,0))&gt;0),INDEX(Unified_Matrix!$A:$ZZ,3,MATCH("Evolution_Name",Unified_Matrix!$1:$1,0)):INDEX(Unified_Matrix!$A:$ZZ,300,MATCH("Evolution_Name",Unified_Matrix!$1:$1,0)),"")))</f>
        <v/>
      </c>
      <c r="AB5" s="20">
        <f t="array" ref="AB5">IF(AB4=0,"",_xlfn.TEXTJOIN(CHAR(10),TRUE,IF((INDEX(Unified_Matrix!$A:$ZZ,3,MATCH("Max "&amp;AB$1,Unified_Matrix!$1:$1,0)):INDEX(Unified_Matrix!$A:$ZZ,300,MATCH("Max "&amp;AB$1,Unified_Matrix!$1:$1,0))=AB4)*(INDEX(Unified_Matrix!$A:$ZZ,3,MATCH("Max "&amp;AB$1,Unified_Matrix!$1:$1,0)):INDEX(Unified_Matrix!$A:$ZZ,300,MATCH("Max "&amp;AB$1,Unified_Matrix!$1:$1,0))&gt;0),INDEX(Unified_Matrix!$A:$ZZ,3,MATCH("Evolution_Name",Unified_Matrix!$1:$1,0)):INDEX(Unified_Matrix!$A:$ZZ,300,MATCH("Evolution_Name",Unified_Matrix!$1:$1,0)),"")))</f>
        <v/>
      </c>
      <c r="AC5" s="20">
        <f t="array" ref="AC5">IF(AC4=0,"",_xlfn.TEXTJOIN(CHAR(10),TRUE,IF((INDEX(Unified_Matrix!$A:$ZZ,3,MATCH("Max "&amp;AC$1,Unified_Matrix!$1:$1,0)):INDEX(Unified_Matrix!$A:$ZZ,300,MATCH("Max "&amp;AC$1,Unified_Matrix!$1:$1,0))=AC4)*(INDEX(Unified_Matrix!$A:$ZZ,3,MATCH("Max "&amp;AC$1,Unified_Matrix!$1:$1,0)):INDEX(Unified_Matrix!$A:$ZZ,300,MATCH("Max "&amp;AC$1,Unified_Matrix!$1:$1,0))&gt;0),INDEX(Unified_Matrix!$A:$ZZ,3,MATCH("Evolution_Name",Unified_Matrix!$1:$1,0)):INDEX(Unified_Matrix!$A:$ZZ,300,MATCH("Evolution_Name",Unified_Matrix!$1:$1,0)),"")))</f>
        <v/>
      </c>
      <c r="AD5" s="20">
        <f t="array" ref="AD5">IF(AD4=0,"",_xlfn.TEXTJOIN(CHAR(10),TRUE,IF((INDEX(Unified_Matrix!$A:$ZZ,3,MATCH("Max "&amp;AD$1,Unified_Matrix!$1:$1,0)):INDEX(Unified_Matrix!$A:$ZZ,300,MATCH("Max "&amp;AD$1,Unified_Matrix!$1:$1,0))=AD4)*(INDEX(Unified_Matrix!$A:$ZZ,3,MATCH("Max "&amp;AD$1,Unified_Matrix!$1:$1,0)):INDEX(Unified_Matrix!$A:$ZZ,300,MATCH("Max "&amp;AD$1,Unified_Matrix!$1:$1,0))&gt;0),INDEX(Unified_Matrix!$A:$ZZ,3,MATCH("Evolution_Name",Unified_Matrix!$1:$1,0)):INDEX(Unified_Matrix!$A:$ZZ,300,MATCH("Evolution_Name",Unified_Matrix!$1:$1,0)),"")))</f>
        <v/>
      </c>
      <c r="AE5" s="20">
        <f t="array" ref="AE5">IF(AE4=0,"",_xlfn.TEXTJOIN(CHAR(10),TRUE,IF((INDEX(Unified_Matrix!$A:$ZZ,3,MATCH("Max "&amp;AE$1,Unified_Matrix!$1:$1,0)):INDEX(Unified_Matrix!$A:$ZZ,300,MATCH("Max "&amp;AE$1,Unified_Matrix!$1:$1,0))=AE4)*(INDEX(Unified_Matrix!$A:$ZZ,3,MATCH("Max "&amp;AE$1,Unified_Matrix!$1:$1,0)):INDEX(Unified_Matrix!$A:$ZZ,300,MATCH("Max "&amp;AE$1,Unified_Matrix!$1:$1,0))&gt;0),INDEX(Unified_Matrix!$A:$ZZ,3,MATCH("Evolution_Name",Unified_Matrix!$1:$1,0)):INDEX(Unified_Matrix!$A:$ZZ,300,MATCH("Evolution_Name",Unified_Matrix!$1:$1,0)),"")))</f>
        <v/>
      </c>
      <c r="AF5" s="20">
        <f t="array" ref="AF5">IF(AF4=0,"",_xlfn.TEXTJOIN(CHAR(10),TRUE,IF((INDEX(Unified_Matrix!$A:$ZZ,3,MATCH("Max "&amp;AF$1,Unified_Matrix!$1:$1,0)):INDEX(Unified_Matrix!$A:$ZZ,300,MATCH("Max "&amp;AF$1,Unified_Matrix!$1:$1,0))=AF4)*(INDEX(Unified_Matrix!$A:$ZZ,3,MATCH("Max "&amp;AF$1,Unified_Matrix!$1:$1,0)):INDEX(Unified_Matrix!$A:$ZZ,300,MATCH("Max "&amp;AF$1,Unified_Matrix!$1:$1,0))&gt;0),INDEX(Unified_Matrix!$A:$ZZ,3,MATCH("Evolution_Name",Unified_Matrix!$1:$1,0)):INDEX(Unified_Matrix!$A:$ZZ,300,MATCH("Evolution_Name",Unified_Matrix!$1:$1,0)),"")))</f>
        <v/>
      </c>
      <c r="AG5" s="20">
        <f t="array" ref="AG5">IF(AG4=0,"",_xlfn.TEXTJOIN(CHAR(10),TRUE,IF((INDEX(Unified_Matrix!$A:$ZZ,3,MATCH("Max "&amp;AG$1,Unified_Matrix!$1:$1,0)):INDEX(Unified_Matrix!$A:$ZZ,300,MATCH("Max "&amp;AG$1,Unified_Matrix!$1:$1,0))=AG4)*(INDEX(Unified_Matrix!$A:$ZZ,3,MATCH("Max "&amp;AG$1,Unified_Matrix!$1:$1,0)):INDEX(Unified_Matrix!$A:$ZZ,300,MATCH("Max "&amp;AG$1,Unified_Matrix!$1:$1,0))&gt;0),INDEX(Unified_Matrix!$A:$ZZ,3,MATCH("Evolution_Name",Unified_Matrix!$1:$1,0)):INDEX(Unified_Matrix!$A:$ZZ,300,MATCH("Evolution_Name",Unified_Matrix!$1:$1,0)),"")))</f>
        <v/>
      </c>
      <c r="AH5" s="20">
        <f t="array" ref="AH5">IF(AH4=0,"",_xlfn.TEXTJOIN(CHAR(10),TRUE,IF((INDEX(Unified_Matrix!$A:$ZZ,3,MATCH("Max "&amp;AH$1,Unified_Matrix!$1:$1,0)):INDEX(Unified_Matrix!$A:$ZZ,300,MATCH("Max "&amp;AH$1,Unified_Matrix!$1:$1,0))=AH4)*(INDEX(Unified_Matrix!$A:$ZZ,3,MATCH("Max "&amp;AH$1,Unified_Matrix!$1:$1,0)):INDEX(Unified_Matrix!$A:$ZZ,300,MATCH("Max "&amp;AH$1,Unified_Matrix!$1:$1,0))&gt;0),INDEX(Unified_Matrix!$A:$ZZ,3,MATCH("Evolution_Name",Unified_Matrix!$1:$1,0)):INDEX(Unified_Matrix!$A:$ZZ,300,MATCH("Evolution_Name",Unified_Matrix!$1:$1,0)),"")))</f>
        <v/>
      </c>
      <c r="AI5" s="20">
        <f t="array" ref="AI5">IF(AI4=0,"",_xlfn.TEXTJOIN(CHAR(10),TRUE,IF((INDEX(Unified_Matrix!$A:$ZZ,3,MATCH("Max "&amp;AI$1,Unified_Matrix!$1:$1,0)):INDEX(Unified_Matrix!$A:$ZZ,300,MATCH("Max "&amp;AI$1,Unified_Matrix!$1:$1,0))=AI4)*(INDEX(Unified_Matrix!$A:$ZZ,3,MATCH("Max "&amp;AI$1,Unified_Matrix!$1:$1,0)):INDEX(Unified_Matrix!$A:$ZZ,300,MATCH("Max "&amp;AI$1,Unified_Matrix!$1:$1,0))&gt;0),INDEX(Unified_Matrix!$A:$ZZ,3,MATCH("Evolution_Name",Unified_Matrix!$1:$1,0)):INDEX(Unified_Matrix!$A:$ZZ,300,MATCH("Evolution_Name",Unified_Matrix!$1:$1,0)),"")))</f>
        <v/>
      </c>
      <c r="AJ5" s="20">
        <f t="array" ref="AJ5">IF(AJ4=0,"",_xlfn.TEXTJOIN(CHAR(10),TRUE,IF((INDEX(Unified_Matrix!$A:$ZZ,3,MATCH("Max "&amp;AJ$1,Unified_Matrix!$1:$1,0)):INDEX(Unified_Matrix!$A:$ZZ,300,MATCH("Max "&amp;AJ$1,Unified_Matrix!$1:$1,0))=AJ4)*(INDEX(Unified_Matrix!$A:$ZZ,3,MATCH("Max "&amp;AJ$1,Unified_Matrix!$1:$1,0)):INDEX(Unified_Matrix!$A:$ZZ,300,MATCH("Max "&amp;AJ$1,Unified_Matrix!$1:$1,0))&gt;0),INDEX(Unified_Matrix!$A:$ZZ,3,MATCH("Evolution_Name",Unified_Matrix!$1:$1,0)):INDEX(Unified_Matrix!$A:$ZZ,300,MATCH("Evolution_Name",Unified_Matrix!$1:$1,0)),"")))</f>
        <v/>
      </c>
      <c r="AK5" s="20">
        <f t="array" ref="AK5">IF(AK4=0,"",_xlfn.TEXTJOIN(CHAR(10),TRUE,IF((INDEX(Unified_Matrix!$A:$ZZ,3,MATCH("Max "&amp;AK$1,Unified_Matrix!$1:$1,0)):INDEX(Unified_Matrix!$A:$ZZ,300,MATCH("Max "&amp;AK$1,Unified_Matrix!$1:$1,0))=AK4)*(INDEX(Unified_Matrix!$A:$ZZ,3,MATCH("Max "&amp;AK$1,Unified_Matrix!$1:$1,0)):INDEX(Unified_Matrix!$A:$ZZ,300,MATCH("Max "&amp;AK$1,Unified_Matrix!$1:$1,0))&gt;0),INDEX(Unified_Matrix!$A:$ZZ,3,MATCH("Evolution_Name",Unified_Matrix!$1:$1,0)):INDEX(Unified_Matrix!$A:$ZZ,300,MATCH("Evolution_Name",Unified_Matrix!$1:$1,0)),"")))</f>
        <v/>
      </c>
      <c r="AL5" s="20">
        <f t="array" ref="AL5">IF(AL4=0,"",_xlfn.TEXTJOIN(CHAR(10),TRUE,IF((INDEX(Unified_Matrix!$A:$ZZ,3,MATCH("Max "&amp;AL$1,Unified_Matrix!$1:$1,0)):INDEX(Unified_Matrix!$A:$ZZ,300,MATCH("Max "&amp;AL$1,Unified_Matrix!$1:$1,0))=AL4)*(INDEX(Unified_Matrix!$A:$ZZ,3,MATCH("Max "&amp;AL$1,Unified_Matrix!$1:$1,0)):INDEX(Unified_Matrix!$A:$ZZ,300,MATCH("Max "&amp;AL$1,Unified_Matrix!$1:$1,0))&gt;0),INDEX(Unified_Matrix!$A:$ZZ,3,MATCH("Evolution_Name",Unified_Matrix!$1:$1,0)):INDEX(Unified_Matrix!$A:$ZZ,300,MATCH("Evolution_Name",Unified_Matrix!$1:$1,0)),"")))</f>
        <v/>
      </c>
      <c r="AM5" s="20">
        <f t="array" ref="AM5">IF(AM4=0,"",_xlfn.TEXTJOIN(CHAR(10),TRUE,IF((INDEX(Unified_Matrix!$A:$ZZ,3,MATCH("Max "&amp;AM$1,Unified_Matrix!$1:$1,0)):INDEX(Unified_Matrix!$A:$ZZ,300,MATCH("Max "&amp;AM$1,Unified_Matrix!$1:$1,0))=AM4)*(INDEX(Unified_Matrix!$A:$ZZ,3,MATCH("Max "&amp;AM$1,Unified_Matrix!$1:$1,0)):INDEX(Unified_Matrix!$A:$ZZ,300,MATCH("Max "&amp;AM$1,Unified_Matrix!$1:$1,0))&gt;0),INDEX(Unified_Matrix!$A:$ZZ,3,MATCH("Evolution_Name",Unified_Matrix!$1:$1,0)):INDEX(Unified_Matrix!$A:$ZZ,300,MATCH("Evolution_Name",Unified_Matrix!$1:$1,0)),"")))</f>
        <v/>
      </c>
      <c r="AN5" s="20">
        <f t="array" ref="AN5">IF(AN4=0,"",_xlfn.TEXTJOIN(CHAR(10),TRUE,IF((INDEX(Unified_Matrix!$A:$ZZ,3,MATCH("Max "&amp;AN$1,Unified_Matrix!$1:$1,0)):INDEX(Unified_Matrix!$A:$ZZ,300,MATCH("Max "&amp;AN$1,Unified_Matrix!$1:$1,0))=AN4)*(INDEX(Unified_Matrix!$A:$ZZ,3,MATCH("Max "&amp;AN$1,Unified_Matrix!$1:$1,0)):INDEX(Unified_Matrix!$A:$ZZ,300,MATCH("Max "&amp;AN$1,Unified_Matrix!$1:$1,0))&gt;0),INDEX(Unified_Matrix!$A:$ZZ,3,MATCH("Evolution_Name",Unified_Matrix!$1:$1,0)):INDEX(Unified_Matrix!$A:$ZZ,300,MATCH("Evolution_Name",Unified_Matrix!$1:$1,0)),"")))</f>
        <v/>
      </c>
      <c r="AO5" s="20">
        <f t="array" ref="AO5">IF(AO4=0,"",_xlfn.TEXTJOIN(CHAR(10),TRUE,IF((INDEX(Unified_Matrix!$A:$ZZ,3,MATCH("Max "&amp;AO$1,Unified_Matrix!$1:$1,0)):INDEX(Unified_Matrix!$A:$ZZ,300,MATCH("Max "&amp;AO$1,Unified_Matrix!$1:$1,0))=AO4)*(INDEX(Unified_Matrix!$A:$ZZ,3,MATCH("Max "&amp;AO$1,Unified_Matrix!$1:$1,0)):INDEX(Unified_Matrix!$A:$ZZ,300,MATCH("Max "&amp;AO$1,Unified_Matrix!$1:$1,0))&gt;0),INDEX(Unified_Matrix!$A:$ZZ,3,MATCH("Evolution_Name",Unified_Matrix!$1:$1,0)):INDEX(Unified_Matrix!$A:$ZZ,300,MATCH("Evolution_Name",Unified_Matrix!$1:$1,0)),"")))</f>
        <v/>
      </c>
      <c r="AP5" s="20">
        <f t="array" ref="AP5">IF(AP4=0,"",_xlfn.TEXTJOIN(CHAR(10),TRUE,IF((INDEX(Unified_Matrix!$A:$ZZ,3,MATCH("Max "&amp;AP$1,Unified_Matrix!$1:$1,0)):INDEX(Unified_Matrix!$A:$ZZ,300,MATCH("Max "&amp;AP$1,Unified_Matrix!$1:$1,0))=AP4)*(INDEX(Unified_Matrix!$A:$ZZ,3,MATCH("Max "&amp;AP$1,Unified_Matrix!$1:$1,0)):INDEX(Unified_Matrix!$A:$ZZ,300,MATCH("Max "&amp;AP$1,Unified_Matrix!$1:$1,0))&gt;0),INDEX(Unified_Matrix!$A:$ZZ,3,MATCH("Evolution_Name",Unified_Matrix!$1:$1,0)):INDEX(Unified_Matrix!$A:$ZZ,300,MATCH("Evolution_Name",Unified_Matrix!$1:$1,0)),"")))</f>
        <v/>
      </c>
      <c r="AQ5" s="20">
        <f t="array" ref="AQ5">IF(AQ4=0,"",_xlfn.TEXTJOIN(CHAR(10),TRUE,IF((INDEX(Unified_Matrix!$A:$ZZ,3,MATCH("Max "&amp;AQ$1,Unified_Matrix!$1:$1,0)):INDEX(Unified_Matrix!$A:$ZZ,300,MATCH("Max "&amp;AQ$1,Unified_Matrix!$1:$1,0))=AQ4)*(INDEX(Unified_Matrix!$A:$ZZ,3,MATCH("Max "&amp;AQ$1,Unified_Matrix!$1:$1,0)):INDEX(Unified_Matrix!$A:$ZZ,300,MATCH("Max "&amp;AQ$1,Unified_Matrix!$1:$1,0))&gt;0),INDEX(Unified_Matrix!$A:$ZZ,3,MATCH("Evolution_Name",Unified_Matrix!$1:$1,0)):INDEX(Unified_Matrix!$A:$ZZ,300,MATCH("Evolution_Name",Unified_Matrix!$1:$1,0)),"")))</f>
        <v/>
      </c>
      <c r="AR5" s="20">
        <f t="array" ref="AR5">IF(AR4=0,"",_xlfn.TEXTJOIN(CHAR(10),TRUE,IF((INDEX(Unified_Matrix!$A:$ZZ,3,MATCH("Max "&amp;AR$1,Unified_Matrix!$1:$1,0)):INDEX(Unified_Matrix!$A:$ZZ,300,MATCH("Max "&amp;AR$1,Unified_Matrix!$1:$1,0))=AR4)*(INDEX(Unified_Matrix!$A:$ZZ,3,MATCH("Max "&amp;AR$1,Unified_Matrix!$1:$1,0)):INDEX(Unified_Matrix!$A:$ZZ,300,MATCH("Max "&amp;AR$1,Unified_Matrix!$1:$1,0))&gt;0),INDEX(Unified_Matrix!$A:$ZZ,3,MATCH("Evolution_Name",Unified_Matrix!$1:$1,0)):INDEX(Unified_Matrix!$A:$ZZ,300,MATCH("Evolution_Name",Unified_Matrix!$1:$1,0)),"")))</f>
        <v/>
      </c>
      <c r="AS5" s="20">
        <f t="array" ref="AS5">IF(AS4=0,"",_xlfn.TEXTJOIN(CHAR(10),TRUE,IF((INDEX(Unified_Matrix!$A:$ZZ,3,MATCH("Max "&amp;AS$1,Unified_Matrix!$1:$1,0)):INDEX(Unified_Matrix!$A:$ZZ,300,MATCH("Max "&amp;AS$1,Unified_Matrix!$1:$1,0))=AS4)*(INDEX(Unified_Matrix!$A:$ZZ,3,MATCH("Max "&amp;AS$1,Unified_Matrix!$1:$1,0)):INDEX(Unified_Matrix!$A:$ZZ,300,MATCH("Max "&amp;AS$1,Unified_Matrix!$1:$1,0))&gt;0),INDEX(Unified_Matrix!$A:$ZZ,3,MATCH("Evolution_Name",Unified_Matrix!$1:$1,0)):INDEX(Unified_Matrix!$A:$ZZ,300,MATCH("Evolution_Name",Unified_Matrix!$1:$1,0)),"")))</f>
        <v/>
      </c>
      <c r="AT5" s="20">
        <f t="array" ref="AT5">IF(AT4=0,"",_xlfn.TEXTJOIN(CHAR(10),TRUE,IF((INDEX(Unified_Matrix!$A:$ZZ,3,MATCH("Max "&amp;AT$1,Unified_Matrix!$1:$1,0)):INDEX(Unified_Matrix!$A:$ZZ,300,MATCH("Max "&amp;AT$1,Unified_Matrix!$1:$1,0))=AT4)*(INDEX(Unified_Matrix!$A:$ZZ,3,MATCH("Max "&amp;AT$1,Unified_Matrix!$1:$1,0)):INDEX(Unified_Matrix!$A:$ZZ,300,MATCH("Max "&amp;AT$1,Unified_Matrix!$1:$1,0))&gt;0),INDEX(Unified_Matrix!$A:$ZZ,3,MATCH("Evolution_Name",Unified_Matrix!$1:$1,0)):INDEX(Unified_Matrix!$A:$ZZ,300,MATCH("Evolution_Name",Unified_Matrix!$1:$1,0)),"")))</f>
        <v/>
      </c>
    </row>
    <row r="6">
      <c r="H6" s="17" t="inlineStr">
        <is>
          <t>3위</t>
        </is>
      </c>
      <c r="I6" s="18" t="inlineStr">
        <is>
          <t>MAX</t>
        </is>
      </c>
      <c r="J6" s="20">
        <f>_xlfn.MAXIFS(INDEX(Unified_Matrix!$A:$ZZ,3,MATCH("Max "&amp;J$1,Unified_Matrix!$1:$1,0)):INDEX(Unified_Matrix!$A:$ZZ,300,MATCH("Max "&amp;J$1,Unified_Matrix!$1:$1,0)),INDEX(Unified_Matrix!$A:$ZZ,3,MATCH("Max "&amp;J$1,Unified_Matrix!$1:$1,0)):INDEX(Unified_Matrix!$A:$ZZ,300,MATCH("Max "&amp;J$1,Unified_Matrix!$1:$1,0)),"&lt;"&amp;J4,INDEX(Unified_Matrix!$A:$ZZ,3,MATCH("Max "&amp;J$1,Unified_Matrix!$1:$1,0)):INDEX(Unified_Matrix!$A:$ZZ,300,MATCH("Max "&amp;J$1,Unified_Matrix!$1:$1,0)),"&gt;0")</f>
        <v/>
      </c>
      <c r="K6" s="20">
        <f>_xlfn.MAXIFS(INDEX(Unified_Matrix!$A:$ZZ,3,MATCH("Max "&amp;K$1,Unified_Matrix!$1:$1,0)):INDEX(Unified_Matrix!$A:$ZZ,300,MATCH("Max "&amp;K$1,Unified_Matrix!$1:$1,0)),INDEX(Unified_Matrix!$A:$ZZ,3,MATCH("Max "&amp;K$1,Unified_Matrix!$1:$1,0)):INDEX(Unified_Matrix!$A:$ZZ,300,MATCH("Max "&amp;K$1,Unified_Matrix!$1:$1,0)),"&lt;"&amp;K4,INDEX(Unified_Matrix!$A:$ZZ,3,MATCH("Max "&amp;K$1,Unified_Matrix!$1:$1,0)):INDEX(Unified_Matrix!$A:$ZZ,300,MATCH("Max "&amp;K$1,Unified_Matrix!$1:$1,0)),"&gt;0")</f>
        <v/>
      </c>
      <c r="L6" s="20">
        <f>_xlfn.MAXIFS(INDEX(Unified_Matrix!$A:$ZZ,3,MATCH("Max "&amp;L$1,Unified_Matrix!$1:$1,0)):INDEX(Unified_Matrix!$A:$ZZ,300,MATCH("Max "&amp;L$1,Unified_Matrix!$1:$1,0)),INDEX(Unified_Matrix!$A:$ZZ,3,MATCH("Max "&amp;L$1,Unified_Matrix!$1:$1,0)):INDEX(Unified_Matrix!$A:$ZZ,300,MATCH("Max "&amp;L$1,Unified_Matrix!$1:$1,0)),"&lt;"&amp;L4,INDEX(Unified_Matrix!$A:$ZZ,3,MATCH("Max "&amp;L$1,Unified_Matrix!$1:$1,0)):INDEX(Unified_Matrix!$A:$ZZ,300,MATCH("Max "&amp;L$1,Unified_Matrix!$1:$1,0)),"&gt;0")</f>
        <v/>
      </c>
      <c r="M6" s="20">
        <f>_xlfn.MAXIFS(INDEX(Unified_Matrix!$A:$ZZ,3,MATCH("Max "&amp;M$1,Unified_Matrix!$1:$1,0)):INDEX(Unified_Matrix!$A:$ZZ,300,MATCH("Max "&amp;M$1,Unified_Matrix!$1:$1,0)),INDEX(Unified_Matrix!$A:$ZZ,3,MATCH("Max "&amp;M$1,Unified_Matrix!$1:$1,0)):INDEX(Unified_Matrix!$A:$ZZ,300,MATCH("Max "&amp;M$1,Unified_Matrix!$1:$1,0)),"&lt;"&amp;M4,INDEX(Unified_Matrix!$A:$ZZ,3,MATCH("Max "&amp;M$1,Unified_Matrix!$1:$1,0)):INDEX(Unified_Matrix!$A:$ZZ,300,MATCH("Max "&amp;M$1,Unified_Matrix!$1:$1,0)),"&gt;0")</f>
        <v/>
      </c>
      <c r="N6" s="20">
        <f>_xlfn.MAXIFS(INDEX(Unified_Matrix!$A:$ZZ,3,MATCH("Max "&amp;N$1,Unified_Matrix!$1:$1,0)):INDEX(Unified_Matrix!$A:$ZZ,300,MATCH("Max "&amp;N$1,Unified_Matrix!$1:$1,0)),INDEX(Unified_Matrix!$A:$ZZ,3,MATCH("Max "&amp;N$1,Unified_Matrix!$1:$1,0)):INDEX(Unified_Matrix!$A:$ZZ,300,MATCH("Max "&amp;N$1,Unified_Matrix!$1:$1,0)),"&lt;"&amp;N4,INDEX(Unified_Matrix!$A:$ZZ,3,MATCH("Max "&amp;N$1,Unified_Matrix!$1:$1,0)):INDEX(Unified_Matrix!$A:$ZZ,300,MATCH("Max "&amp;N$1,Unified_Matrix!$1:$1,0)),"&gt;0")</f>
        <v/>
      </c>
      <c r="O6" s="20">
        <f>_xlfn.MAXIFS(INDEX(Unified_Matrix!$A:$ZZ,3,MATCH("Max "&amp;O$1,Unified_Matrix!$1:$1,0)):INDEX(Unified_Matrix!$A:$ZZ,300,MATCH("Max "&amp;O$1,Unified_Matrix!$1:$1,0)),INDEX(Unified_Matrix!$A:$ZZ,3,MATCH("Max "&amp;O$1,Unified_Matrix!$1:$1,0)):INDEX(Unified_Matrix!$A:$ZZ,300,MATCH("Max "&amp;O$1,Unified_Matrix!$1:$1,0)),"&lt;"&amp;O4,INDEX(Unified_Matrix!$A:$ZZ,3,MATCH("Max "&amp;O$1,Unified_Matrix!$1:$1,0)):INDEX(Unified_Matrix!$A:$ZZ,300,MATCH("Max "&amp;O$1,Unified_Matrix!$1:$1,0)),"&gt;0")</f>
        <v/>
      </c>
      <c r="P6" s="20">
        <f>_xlfn.MAXIFS(INDEX(Unified_Matrix!$A:$ZZ,3,MATCH("Max "&amp;P$1,Unified_Matrix!$1:$1,0)):INDEX(Unified_Matrix!$A:$ZZ,300,MATCH("Max "&amp;P$1,Unified_Matrix!$1:$1,0)),INDEX(Unified_Matrix!$A:$ZZ,3,MATCH("Max "&amp;P$1,Unified_Matrix!$1:$1,0)):INDEX(Unified_Matrix!$A:$ZZ,300,MATCH("Max "&amp;P$1,Unified_Matrix!$1:$1,0)),"&lt;"&amp;P4,INDEX(Unified_Matrix!$A:$ZZ,3,MATCH("Max "&amp;P$1,Unified_Matrix!$1:$1,0)):INDEX(Unified_Matrix!$A:$ZZ,300,MATCH("Max "&amp;P$1,Unified_Matrix!$1:$1,0)),"&gt;0")</f>
        <v/>
      </c>
      <c r="Q6" s="20">
        <f>_xlfn.MAXIFS(INDEX(Unified_Matrix!$A:$ZZ,3,MATCH("Max "&amp;Q$1,Unified_Matrix!$1:$1,0)):INDEX(Unified_Matrix!$A:$ZZ,300,MATCH("Max "&amp;Q$1,Unified_Matrix!$1:$1,0)),INDEX(Unified_Matrix!$A:$ZZ,3,MATCH("Max "&amp;Q$1,Unified_Matrix!$1:$1,0)):INDEX(Unified_Matrix!$A:$ZZ,300,MATCH("Max "&amp;Q$1,Unified_Matrix!$1:$1,0)),"&lt;"&amp;Q4,INDEX(Unified_Matrix!$A:$ZZ,3,MATCH("Max "&amp;Q$1,Unified_Matrix!$1:$1,0)):INDEX(Unified_Matrix!$A:$ZZ,300,MATCH("Max "&amp;Q$1,Unified_Matrix!$1:$1,0)),"&gt;0")</f>
        <v/>
      </c>
      <c r="R6" s="20">
        <f>_xlfn.MAXIFS(INDEX(Unified_Matrix!$A:$ZZ,3,MATCH("Max "&amp;R$1,Unified_Matrix!$1:$1,0)):INDEX(Unified_Matrix!$A:$ZZ,300,MATCH("Max "&amp;R$1,Unified_Matrix!$1:$1,0)),INDEX(Unified_Matrix!$A:$ZZ,3,MATCH("Max "&amp;R$1,Unified_Matrix!$1:$1,0)):INDEX(Unified_Matrix!$A:$ZZ,300,MATCH("Max "&amp;R$1,Unified_Matrix!$1:$1,0)),"&lt;"&amp;R4,INDEX(Unified_Matrix!$A:$ZZ,3,MATCH("Max "&amp;R$1,Unified_Matrix!$1:$1,0)):INDEX(Unified_Matrix!$A:$ZZ,300,MATCH("Max "&amp;R$1,Unified_Matrix!$1:$1,0)),"&gt;0")</f>
        <v/>
      </c>
      <c r="S6" s="20">
        <f>_xlfn.MAXIFS(INDEX(Unified_Matrix!$A:$ZZ,3,MATCH("Max "&amp;S$1,Unified_Matrix!$1:$1,0)):INDEX(Unified_Matrix!$A:$ZZ,300,MATCH("Max "&amp;S$1,Unified_Matrix!$1:$1,0)),INDEX(Unified_Matrix!$A:$ZZ,3,MATCH("Max "&amp;S$1,Unified_Matrix!$1:$1,0)):INDEX(Unified_Matrix!$A:$ZZ,300,MATCH("Max "&amp;S$1,Unified_Matrix!$1:$1,0)),"&lt;"&amp;S4,INDEX(Unified_Matrix!$A:$ZZ,3,MATCH("Max "&amp;S$1,Unified_Matrix!$1:$1,0)):INDEX(Unified_Matrix!$A:$ZZ,300,MATCH("Max "&amp;S$1,Unified_Matrix!$1:$1,0)),"&gt;0")</f>
        <v/>
      </c>
      <c r="T6" s="20">
        <f>_xlfn.MAXIFS(INDEX(Unified_Matrix!$A:$ZZ,3,MATCH("Max "&amp;T$1,Unified_Matrix!$1:$1,0)):INDEX(Unified_Matrix!$A:$ZZ,300,MATCH("Max "&amp;T$1,Unified_Matrix!$1:$1,0)),INDEX(Unified_Matrix!$A:$ZZ,3,MATCH("Max "&amp;T$1,Unified_Matrix!$1:$1,0)):INDEX(Unified_Matrix!$A:$ZZ,300,MATCH("Max "&amp;T$1,Unified_Matrix!$1:$1,0)),"&lt;"&amp;T4,INDEX(Unified_Matrix!$A:$ZZ,3,MATCH("Max "&amp;T$1,Unified_Matrix!$1:$1,0)):INDEX(Unified_Matrix!$A:$ZZ,300,MATCH("Max "&amp;T$1,Unified_Matrix!$1:$1,0)),"&gt;0")</f>
        <v/>
      </c>
      <c r="U6" s="20">
        <f>_xlfn.MAXIFS(INDEX(Unified_Matrix!$A:$ZZ,3,MATCH("Max "&amp;U$1,Unified_Matrix!$1:$1,0)):INDEX(Unified_Matrix!$A:$ZZ,300,MATCH("Max "&amp;U$1,Unified_Matrix!$1:$1,0)),INDEX(Unified_Matrix!$A:$ZZ,3,MATCH("Max "&amp;U$1,Unified_Matrix!$1:$1,0)):INDEX(Unified_Matrix!$A:$ZZ,300,MATCH("Max "&amp;U$1,Unified_Matrix!$1:$1,0)),"&lt;"&amp;U4,INDEX(Unified_Matrix!$A:$ZZ,3,MATCH("Max "&amp;U$1,Unified_Matrix!$1:$1,0)):INDEX(Unified_Matrix!$A:$ZZ,300,MATCH("Max "&amp;U$1,Unified_Matrix!$1:$1,0)),"&gt;0")</f>
        <v/>
      </c>
      <c r="V6" s="20">
        <f>_xlfn.MAXIFS(INDEX(Unified_Matrix!$A:$ZZ,3,MATCH("Max "&amp;V$1,Unified_Matrix!$1:$1,0)):INDEX(Unified_Matrix!$A:$ZZ,300,MATCH("Max "&amp;V$1,Unified_Matrix!$1:$1,0)),INDEX(Unified_Matrix!$A:$ZZ,3,MATCH("Max "&amp;V$1,Unified_Matrix!$1:$1,0)):INDEX(Unified_Matrix!$A:$ZZ,300,MATCH("Max "&amp;V$1,Unified_Matrix!$1:$1,0)),"&lt;"&amp;V4,INDEX(Unified_Matrix!$A:$ZZ,3,MATCH("Max "&amp;V$1,Unified_Matrix!$1:$1,0)):INDEX(Unified_Matrix!$A:$ZZ,300,MATCH("Max "&amp;V$1,Unified_Matrix!$1:$1,0)),"&gt;0")</f>
        <v/>
      </c>
      <c r="W6" s="20">
        <f>_xlfn.MAXIFS(INDEX(Unified_Matrix!$A:$ZZ,3,MATCH("Max "&amp;W$1,Unified_Matrix!$1:$1,0)):INDEX(Unified_Matrix!$A:$ZZ,300,MATCH("Max "&amp;W$1,Unified_Matrix!$1:$1,0)),INDEX(Unified_Matrix!$A:$ZZ,3,MATCH("Max "&amp;W$1,Unified_Matrix!$1:$1,0)):INDEX(Unified_Matrix!$A:$ZZ,300,MATCH("Max "&amp;W$1,Unified_Matrix!$1:$1,0)),"&lt;"&amp;W4,INDEX(Unified_Matrix!$A:$ZZ,3,MATCH("Max "&amp;W$1,Unified_Matrix!$1:$1,0)):INDEX(Unified_Matrix!$A:$ZZ,300,MATCH("Max "&amp;W$1,Unified_Matrix!$1:$1,0)),"&gt;0")</f>
        <v/>
      </c>
      <c r="X6" s="20">
        <f>_xlfn.MAXIFS(INDEX(Unified_Matrix!$A:$ZZ,3,MATCH("Max "&amp;X$1,Unified_Matrix!$1:$1,0)):INDEX(Unified_Matrix!$A:$ZZ,300,MATCH("Max "&amp;X$1,Unified_Matrix!$1:$1,0)),INDEX(Unified_Matrix!$A:$ZZ,3,MATCH("Max "&amp;X$1,Unified_Matrix!$1:$1,0)):INDEX(Unified_Matrix!$A:$ZZ,300,MATCH("Max "&amp;X$1,Unified_Matrix!$1:$1,0)),"&lt;"&amp;X4,INDEX(Unified_Matrix!$A:$ZZ,3,MATCH("Max "&amp;X$1,Unified_Matrix!$1:$1,0)):INDEX(Unified_Matrix!$A:$ZZ,300,MATCH("Max "&amp;X$1,Unified_Matrix!$1:$1,0)),"&gt;0")</f>
        <v/>
      </c>
      <c r="Y6" s="20">
        <f>_xlfn.MAXIFS(INDEX(Unified_Matrix!$A:$ZZ,3,MATCH("Max "&amp;Y$1,Unified_Matrix!$1:$1,0)):INDEX(Unified_Matrix!$A:$ZZ,300,MATCH("Max "&amp;Y$1,Unified_Matrix!$1:$1,0)),INDEX(Unified_Matrix!$A:$ZZ,3,MATCH("Max "&amp;Y$1,Unified_Matrix!$1:$1,0)):INDEX(Unified_Matrix!$A:$ZZ,300,MATCH("Max "&amp;Y$1,Unified_Matrix!$1:$1,0)),"&lt;"&amp;Y4,INDEX(Unified_Matrix!$A:$ZZ,3,MATCH("Max "&amp;Y$1,Unified_Matrix!$1:$1,0)):INDEX(Unified_Matrix!$A:$ZZ,300,MATCH("Max "&amp;Y$1,Unified_Matrix!$1:$1,0)),"&gt;0")</f>
        <v/>
      </c>
      <c r="Z6" s="20">
        <f>_xlfn.MAXIFS(INDEX(Unified_Matrix!$A:$ZZ,3,MATCH("Max "&amp;Z$1,Unified_Matrix!$1:$1,0)):INDEX(Unified_Matrix!$A:$ZZ,300,MATCH("Max "&amp;Z$1,Unified_Matrix!$1:$1,0)),INDEX(Unified_Matrix!$A:$ZZ,3,MATCH("Max "&amp;Z$1,Unified_Matrix!$1:$1,0)):INDEX(Unified_Matrix!$A:$ZZ,300,MATCH("Max "&amp;Z$1,Unified_Matrix!$1:$1,0)),"&lt;"&amp;Z4,INDEX(Unified_Matrix!$A:$ZZ,3,MATCH("Max "&amp;Z$1,Unified_Matrix!$1:$1,0)):INDEX(Unified_Matrix!$A:$ZZ,300,MATCH("Max "&amp;Z$1,Unified_Matrix!$1:$1,0)),"&gt;0")</f>
        <v/>
      </c>
      <c r="AA6" s="20">
        <f>_xlfn.MAXIFS(INDEX(Unified_Matrix!$A:$ZZ,3,MATCH("Max "&amp;AA$1,Unified_Matrix!$1:$1,0)):INDEX(Unified_Matrix!$A:$ZZ,300,MATCH("Max "&amp;AA$1,Unified_Matrix!$1:$1,0)),INDEX(Unified_Matrix!$A:$ZZ,3,MATCH("Max "&amp;AA$1,Unified_Matrix!$1:$1,0)):INDEX(Unified_Matrix!$A:$ZZ,300,MATCH("Max "&amp;AA$1,Unified_Matrix!$1:$1,0)),"&lt;"&amp;AA4,INDEX(Unified_Matrix!$A:$ZZ,3,MATCH("Max "&amp;AA$1,Unified_Matrix!$1:$1,0)):INDEX(Unified_Matrix!$A:$ZZ,300,MATCH("Max "&amp;AA$1,Unified_Matrix!$1:$1,0)),"&gt;0")</f>
        <v/>
      </c>
      <c r="AB6" s="20">
        <f>_xlfn.MAXIFS(INDEX(Unified_Matrix!$A:$ZZ,3,MATCH("Max "&amp;AB$1,Unified_Matrix!$1:$1,0)):INDEX(Unified_Matrix!$A:$ZZ,300,MATCH("Max "&amp;AB$1,Unified_Matrix!$1:$1,0)),INDEX(Unified_Matrix!$A:$ZZ,3,MATCH("Max "&amp;AB$1,Unified_Matrix!$1:$1,0)):INDEX(Unified_Matrix!$A:$ZZ,300,MATCH("Max "&amp;AB$1,Unified_Matrix!$1:$1,0)),"&lt;"&amp;AB4,INDEX(Unified_Matrix!$A:$ZZ,3,MATCH("Max "&amp;AB$1,Unified_Matrix!$1:$1,0)):INDEX(Unified_Matrix!$A:$ZZ,300,MATCH("Max "&amp;AB$1,Unified_Matrix!$1:$1,0)),"&gt;0")</f>
        <v/>
      </c>
      <c r="AC6" s="20">
        <f>_xlfn.MAXIFS(INDEX(Unified_Matrix!$A:$ZZ,3,MATCH("Max "&amp;AC$1,Unified_Matrix!$1:$1,0)):INDEX(Unified_Matrix!$A:$ZZ,300,MATCH("Max "&amp;AC$1,Unified_Matrix!$1:$1,0)),INDEX(Unified_Matrix!$A:$ZZ,3,MATCH("Max "&amp;AC$1,Unified_Matrix!$1:$1,0)):INDEX(Unified_Matrix!$A:$ZZ,300,MATCH("Max "&amp;AC$1,Unified_Matrix!$1:$1,0)),"&lt;"&amp;AC4,INDEX(Unified_Matrix!$A:$ZZ,3,MATCH("Max "&amp;AC$1,Unified_Matrix!$1:$1,0)):INDEX(Unified_Matrix!$A:$ZZ,300,MATCH("Max "&amp;AC$1,Unified_Matrix!$1:$1,0)),"&gt;0")</f>
        <v/>
      </c>
      <c r="AD6" s="20">
        <f>_xlfn.MAXIFS(INDEX(Unified_Matrix!$A:$ZZ,3,MATCH("Max "&amp;AD$1,Unified_Matrix!$1:$1,0)):INDEX(Unified_Matrix!$A:$ZZ,300,MATCH("Max "&amp;AD$1,Unified_Matrix!$1:$1,0)),INDEX(Unified_Matrix!$A:$ZZ,3,MATCH("Max "&amp;AD$1,Unified_Matrix!$1:$1,0)):INDEX(Unified_Matrix!$A:$ZZ,300,MATCH("Max "&amp;AD$1,Unified_Matrix!$1:$1,0)),"&lt;"&amp;AD4,INDEX(Unified_Matrix!$A:$ZZ,3,MATCH("Max "&amp;AD$1,Unified_Matrix!$1:$1,0)):INDEX(Unified_Matrix!$A:$ZZ,300,MATCH("Max "&amp;AD$1,Unified_Matrix!$1:$1,0)),"&gt;0")</f>
        <v/>
      </c>
      <c r="AE6" s="20">
        <f>_xlfn.MAXIFS(INDEX(Unified_Matrix!$A:$ZZ,3,MATCH("Max "&amp;AE$1,Unified_Matrix!$1:$1,0)):INDEX(Unified_Matrix!$A:$ZZ,300,MATCH("Max "&amp;AE$1,Unified_Matrix!$1:$1,0)),INDEX(Unified_Matrix!$A:$ZZ,3,MATCH("Max "&amp;AE$1,Unified_Matrix!$1:$1,0)):INDEX(Unified_Matrix!$A:$ZZ,300,MATCH("Max "&amp;AE$1,Unified_Matrix!$1:$1,0)),"&lt;"&amp;AE4,INDEX(Unified_Matrix!$A:$ZZ,3,MATCH("Max "&amp;AE$1,Unified_Matrix!$1:$1,0)):INDEX(Unified_Matrix!$A:$ZZ,300,MATCH("Max "&amp;AE$1,Unified_Matrix!$1:$1,0)),"&gt;0")</f>
        <v/>
      </c>
      <c r="AF6" s="20">
        <f>_xlfn.MAXIFS(INDEX(Unified_Matrix!$A:$ZZ,3,MATCH("Max "&amp;AF$1,Unified_Matrix!$1:$1,0)):INDEX(Unified_Matrix!$A:$ZZ,300,MATCH("Max "&amp;AF$1,Unified_Matrix!$1:$1,0)),INDEX(Unified_Matrix!$A:$ZZ,3,MATCH("Max "&amp;AF$1,Unified_Matrix!$1:$1,0)):INDEX(Unified_Matrix!$A:$ZZ,300,MATCH("Max "&amp;AF$1,Unified_Matrix!$1:$1,0)),"&lt;"&amp;AF4,INDEX(Unified_Matrix!$A:$ZZ,3,MATCH("Max "&amp;AF$1,Unified_Matrix!$1:$1,0)):INDEX(Unified_Matrix!$A:$ZZ,300,MATCH("Max "&amp;AF$1,Unified_Matrix!$1:$1,0)),"&gt;0")</f>
        <v/>
      </c>
      <c r="AG6" s="20">
        <f>_xlfn.MAXIFS(INDEX(Unified_Matrix!$A:$ZZ,3,MATCH("Max "&amp;AG$1,Unified_Matrix!$1:$1,0)):INDEX(Unified_Matrix!$A:$ZZ,300,MATCH("Max "&amp;AG$1,Unified_Matrix!$1:$1,0)),INDEX(Unified_Matrix!$A:$ZZ,3,MATCH("Max "&amp;AG$1,Unified_Matrix!$1:$1,0)):INDEX(Unified_Matrix!$A:$ZZ,300,MATCH("Max "&amp;AG$1,Unified_Matrix!$1:$1,0)),"&lt;"&amp;AG4,INDEX(Unified_Matrix!$A:$ZZ,3,MATCH("Max "&amp;AG$1,Unified_Matrix!$1:$1,0)):INDEX(Unified_Matrix!$A:$ZZ,300,MATCH("Max "&amp;AG$1,Unified_Matrix!$1:$1,0)),"&gt;0")</f>
        <v/>
      </c>
      <c r="AH6" s="20">
        <f>_xlfn.MAXIFS(INDEX(Unified_Matrix!$A:$ZZ,3,MATCH("Max "&amp;AH$1,Unified_Matrix!$1:$1,0)):INDEX(Unified_Matrix!$A:$ZZ,300,MATCH("Max "&amp;AH$1,Unified_Matrix!$1:$1,0)),INDEX(Unified_Matrix!$A:$ZZ,3,MATCH("Max "&amp;AH$1,Unified_Matrix!$1:$1,0)):INDEX(Unified_Matrix!$A:$ZZ,300,MATCH("Max "&amp;AH$1,Unified_Matrix!$1:$1,0)),"&lt;"&amp;AH4,INDEX(Unified_Matrix!$A:$ZZ,3,MATCH("Max "&amp;AH$1,Unified_Matrix!$1:$1,0)):INDEX(Unified_Matrix!$A:$ZZ,300,MATCH("Max "&amp;AH$1,Unified_Matrix!$1:$1,0)),"&gt;0")</f>
        <v/>
      </c>
      <c r="AI6" s="20">
        <f>_xlfn.MAXIFS(INDEX(Unified_Matrix!$A:$ZZ,3,MATCH("Max "&amp;AI$1,Unified_Matrix!$1:$1,0)):INDEX(Unified_Matrix!$A:$ZZ,300,MATCH("Max "&amp;AI$1,Unified_Matrix!$1:$1,0)),INDEX(Unified_Matrix!$A:$ZZ,3,MATCH("Max "&amp;AI$1,Unified_Matrix!$1:$1,0)):INDEX(Unified_Matrix!$A:$ZZ,300,MATCH("Max "&amp;AI$1,Unified_Matrix!$1:$1,0)),"&lt;"&amp;AI4,INDEX(Unified_Matrix!$A:$ZZ,3,MATCH("Max "&amp;AI$1,Unified_Matrix!$1:$1,0)):INDEX(Unified_Matrix!$A:$ZZ,300,MATCH("Max "&amp;AI$1,Unified_Matrix!$1:$1,0)),"&gt;0")</f>
        <v/>
      </c>
      <c r="AJ6" s="20">
        <f>_xlfn.MAXIFS(INDEX(Unified_Matrix!$A:$ZZ,3,MATCH("Max "&amp;AJ$1,Unified_Matrix!$1:$1,0)):INDEX(Unified_Matrix!$A:$ZZ,300,MATCH("Max "&amp;AJ$1,Unified_Matrix!$1:$1,0)),INDEX(Unified_Matrix!$A:$ZZ,3,MATCH("Max "&amp;AJ$1,Unified_Matrix!$1:$1,0)):INDEX(Unified_Matrix!$A:$ZZ,300,MATCH("Max "&amp;AJ$1,Unified_Matrix!$1:$1,0)),"&lt;"&amp;AJ4,INDEX(Unified_Matrix!$A:$ZZ,3,MATCH("Max "&amp;AJ$1,Unified_Matrix!$1:$1,0)):INDEX(Unified_Matrix!$A:$ZZ,300,MATCH("Max "&amp;AJ$1,Unified_Matrix!$1:$1,0)),"&gt;0")</f>
        <v/>
      </c>
      <c r="AK6" s="20">
        <f>_xlfn.MAXIFS(INDEX(Unified_Matrix!$A:$ZZ,3,MATCH("Max "&amp;AK$1,Unified_Matrix!$1:$1,0)):INDEX(Unified_Matrix!$A:$ZZ,300,MATCH("Max "&amp;AK$1,Unified_Matrix!$1:$1,0)),INDEX(Unified_Matrix!$A:$ZZ,3,MATCH("Max "&amp;AK$1,Unified_Matrix!$1:$1,0)):INDEX(Unified_Matrix!$A:$ZZ,300,MATCH("Max "&amp;AK$1,Unified_Matrix!$1:$1,0)),"&lt;"&amp;AK4,INDEX(Unified_Matrix!$A:$ZZ,3,MATCH("Max "&amp;AK$1,Unified_Matrix!$1:$1,0)):INDEX(Unified_Matrix!$A:$ZZ,300,MATCH("Max "&amp;AK$1,Unified_Matrix!$1:$1,0)),"&gt;0")</f>
        <v/>
      </c>
      <c r="AL6" s="20">
        <f>_xlfn.MAXIFS(INDEX(Unified_Matrix!$A:$ZZ,3,MATCH("Max "&amp;AL$1,Unified_Matrix!$1:$1,0)):INDEX(Unified_Matrix!$A:$ZZ,300,MATCH("Max "&amp;AL$1,Unified_Matrix!$1:$1,0)),INDEX(Unified_Matrix!$A:$ZZ,3,MATCH("Max "&amp;AL$1,Unified_Matrix!$1:$1,0)):INDEX(Unified_Matrix!$A:$ZZ,300,MATCH("Max "&amp;AL$1,Unified_Matrix!$1:$1,0)),"&lt;"&amp;AL4,INDEX(Unified_Matrix!$A:$ZZ,3,MATCH("Max "&amp;AL$1,Unified_Matrix!$1:$1,0)):INDEX(Unified_Matrix!$A:$ZZ,300,MATCH("Max "&amp;AL$1,Unified_Matrix!$1:$1,0)),"&gt;0")</f>
        <v/>
      </c>
      <c r="AM6" s="20">
        <f>_xlfn.MAXIFS(INDEX(Unified_Matrix!$A:$ZZ,3,MATCH("Max "&amp;AM$1,Unified_Matrix!$1:$1,0)):INDEX(Unified_Matrix!$A:$ZZ,300,MATCH("Max "&amp;AM$1,Unified_Matrix!$1:$1,0)),INDEX(Unified_Matrix!$A:$ZZ,3,MATCH("Max "&amp;AM$1,Unified_Matrix!$1:$1,0)):INDEX(Unified_Matrix!$A:$ZZ,300,MATCH("Max "&amp;AM$1,Unified_Matrix!$1:$1,0)),"&lt;"&amp;AM4,INDEX(Unified_Matrix!$A:$ZZ,3,MATCH("Max "&amp;AM$1,Unified_Matrix!$1:$1,0)):INDEX(Unified_Matrix!$A:$ZZ,300,MATCH("Max "&amp;AM$1,Unified_Matrix!$1:$1,0)),"&gt;0")</f>
        <v/>
      </c>
      <c r="AN6" s="20">
        <f>_xlfn.MAXIFS(INDEX(Unified_Matrix!$A:$ZZ,3,MATCH("Max "&amp;AN$1,Unified_Matrix!$1:$1,0)):INDEX(Unified_Matrix!$A:$ZZ,300,MATCH("Max "&amp;AN$1,Unified_Matrix!$1:$1,0)),INDEX(Unified_Matrix!$A:$ZZ,3,MATCH("Max "&amp;AN$1,Unified_Matrix!$1:$1,0)):INDEX(Unified_Matrix!$A:$ZZ,300,MATCH("Max "&amp;AN$1,Unified_Matrix!$1:$1,0)),"&lt;"&amp;AN4,INDEX(Unified_Matrix!$A:$ZZ,3,MATCH("Max "&amp;AN$1,Unified_Matrix!$1:$1,0)):INDEX(Unified_Matrix!$A:$ZZ,300,MATCH("Max "&amp;AN$1,Unified_Matrix!$1:$1,0)),"&gt;0")</f>
        <v/>
      </c>
      <c r="AO6" s="20">
        <f>_xlfn.MAXIFS(INDEX(Unified_Matrix!$A:$ZZ,3,MATCH("Max "&amp;AO$1,Unified_Matrix!$1:$1,0)):INDEX(Unified_Matrix!$A:$ZZ,300,MATCH("Max "&amp;AO$1,Unified_Matrix!$1:$1,0)),INDEX(Unified_Matrix!$A:$ZZ,3,MATCH("Max "&amp;AO$1,Unified_Matrix!$1:$1,0)):INDEX(Unified_Matrix!$A:$ZZ,300,MATCH("Max "&amp;AO$1,Unified_Matrix!$1:$1,0)),"&lt;"&amp;AO4,INDEX(Unified_Matrix!$A:$ZZ,3,MATCH("Max "&amp;AO$1,Unified_Matrix!$1:$1,0)):INDEX(Unified_Matrix!$A:$ZZ,300,MATCH("Max "&amp;AO$1,Unified_Matrix!$1:$1,0)),"&gt;0")</f>
        <v/>
      </c>
      <c r="AP6" s="20">
        <f>_xlfn.MAXIFS(INDEX(Unified_Matrix!$A:$ZZ,3,MATCH("Max "&amp;AP$1,Unified_Matrix!$1:$1,0)):INDEX(Unified_Matrix!$A:$ZZ,300,MATCH("Max "&amp;AP$1,Unified_Matrix!$1:$1,0)),INDEX(Unified_Matrix!$A:$ZZ,3,MATCH("Max "&amp;AP$1,Unified_Matrix!$1:$1,0)):INDEX(Unified_Matrix!$A:$ZZ,300,MATCH("Max "&amp;AP$1,Unified_Matrix!$1:$1,0)),"&lt;"&amp;AP4,INDEX(Unified_Matrix!$A:$ZZ,3,MATCH("Max "&amp;AP$1,Unified_Matrix!$1:$1,0)):INDEX(Unified_Matrix!$A:$ZZ,300,MATCH("Max "&amp;AP$1,Unified_Matrix!$1:$1,0)),"&gt;0")</f>
        <v/>
      </c>
      <c r="AQ6" s="20">
        <f>_xlfn.MAXIFS(INDEX(Unified_Matrix!$A:$ZZ,3,MATCH("Max "&amp;AQ$1,Unified_Matrix!$1:$1,0)):INDEX(Unified_Matrix!$A:$ZZ,300,MATCH("Max "&amp;AQ$1,Unified_Matrix!$1:$1,0)),INDEX(Unified_Matrix!$A:$ZZ,3,MATCH("Max "&amp;AQ$1,Unified_Matrix!$1:$1,0)):INDEX(Unified_Matrix!$A:$ZZ,300,MATCH("Max "&amp;AQ$1,Unified_Matrix!$1:$1,0)),"&lt;"&amp;AQ4,INDEX(Unified_Matrix!$A:$ZZ,3,MATCH("Max "&amp;AQ$1,Unified_Matrix!$1:$1,0)):INDEX(Unified_Matrix!$A:$ZZ,300,MATCH("Max "&amp;AQ$1,Unified_Matrix!$1:$1,0)),"&gt;0")</f>
        <v/>
      </c>
      <c r="AR6" s="20">
        <f>_xlfn.MAXIFS(INDEX(Unified_Matrix!$A:$ZZ,3,MATCH("Max "&amp;AR$1,Unified_Matrix!$1:$1,0)):INDEX(Unified_Matrix!$A:$ZZ,300,MATCH("Max "&amp;AR$1,Unified_Matrix!$1:$1,0)),INDEX(Unified_Matrix!$A:$ZZ,3,MATCH("Max "&amp;AR$1,Unified_Matrix!$1:$1,0)):INDEX(Unified_Matrix!$A:$ZZ,300,MATCH("Max "&amp;AR$1,Unified_Matrix!$1:$1,0)),"&lt;"&amp;AR4,INDEX(Unified_Matrix!$A:$ZZ,3,MATCH("Max "&amp;AR$1,Unified_Matrix!$1:$1,0)):INDEX(Unified_Matrix!$A:$ZZ,300,MATCH("Max "&amp;AR$1,Unified_Matrix!$1:$1,0)),"&gt;0")</f>
        <v/>
      </c>
      <c r="AS6" s="20">
        <f>_xlfn.MAXIFS(INDEX(Unified_Matrix!$A:$ZZ,3,MATCH("Max "&amp;AS$1,Unified_Matrix!$1:$1,0)):INDEX(Unified_Matrix!$A:$ZZ,300,MATCH("Max "&amp;AS$1,Unified_Matrix!$1:$1,0)),INDEX(Unified_Matrix!$A:$ZZ,3,MATCH("Max "&amp;AS$1,Unified_Matrix!$1:$1,0)):INDEX(Unified_Matrix!$A:$ZZ,300,MATCH("Max "&amp;AS$1,Unified_Matrix!$1:$1,0)),"&lt;"&amp;AS4,INDEX(Unified_Matrix!$A:$ZZ,3,MATCH("Max "&amp;AS$1,Unified_Matrix!$1:$1,0)):INDEX(Unified_Matrix!$A:$ZZ,300,MATCH("Max "&amp;AS$1,Unified_Matrix!$1:$1,0)),"&gt;0")</f>
        <v/>
      </c>
      <c r="AT6" s="20">
        <f>_xlfn.MAXIFS(INDEX(Unified_Matrix!$A:$ZZ,3,MATCH("Max "&amp;AT$1,Unified_Matrix!$1:$1,0)):INDEX(Unified_Matrix!$A:$ZZ,300,MATCH("Max "&amp;AT$1,Unified_Matrix!$1:$1,0)),INDEX(Unified_Matrix!$A:$ZZ,3,MATCH("Max "&amp;AT$1,Unified_Matrix!$1:$1,0)):INDEX(Unified_Matrix!$A:$ZZ,300,MATCH("Max "&amp;AT$1,Unified_Matrix!$1:$1,0)),"&lt;"&amp;AT4,INDEX(Unified_Matrix!$A:$ZZ,3,MATCH("Max "&amp;AT$1,Unified_Matrix!$1:$1,0)):INDEX(Unified_Matrix!$A:$ZZ,300,MATCH("Max "&amp;AT$1,Unified_Matrix!$1:$1,0)),"&gt;0")</f>
        <v/>
      </c>
    </row>
    <row r="7" ht="156" customHeight="1">
      <c r="H7" s="38" t="n"/>
      <c r="I7" s="18" t="inlineStr">
        <is>
          <t>진화명</t>
        </is>
      </c>
      <c r="J7" s="20">
        <f t="array" ref="J7">IF(J6=0,"",_xlfn.TEXTJOIN(CHAR(10),TRUE,IF((INDEX(Unified_Matrix!$A:$ZZ,3,MATCH("Max "&amp;J$1,Unified_Matrix!$1:$1,0)):INDEX(Unified_Matrix!$A:$ZZ,300,MATCH("Max "&amp;J$1,Unified_Matrix!$1:$1,0))=J6)*(INDEX(Unified_Matrix!$A:$ZZ,3,MATCH("Max "&amp;J$1,Unified_Matrix!$1:$1,0)):INDEX(Unified_Matrix!$A:$ZZ,300,MATCH("Max "&amp;J$1,Unified_Matrix!$1:$1,0))&gt;0),INDEX(Unified_Matrix!$A:$ZZ,3,MATCH("Evolution_Name",Unified_Matrix!$1:$1,0)):INDEX(Unified_Matrix!$A:$ZZ,300,MATCH("Evolution_Name",Unified_Matrix!$1:$1,0)),"")))</f>
        <v/>
      </c>
      <c r="K7" s="20">
        <f t="array" ref="K7">IF(K6=0,"",_xlfn.TEXTJOIN(CHAR(10),TRUE,IF((INDEX(Unified_Matrix!$A:$ZZ,3,MATCH("Max "&amp;K$1,Unified_Matrix!$1:$1,0)):INDEX(Unified_Matrix!$A:$ZZ,300,MATCH("Max "&amp;K$1,Unified_Matrix!$1:$1,0))=K6)*(INDEX(Unified_Matrix!$A:$ZZ,3,MATCH("Max "&amp;K$1,Unified_Matrix!$1:$1,0)):INDEX(Unified_Matrix!$A:$ZZ,300,MATCH("Max "&amp;K$1,Unified_Matrix!$1:$1,0))&gt;0),INDEX(Unified_Matrix!$A:$ZZ,3,MATCH("Evolution_Name",Unified_Matrix!$1:$1,0)):INDEX(Unified_Matrix!$A:$ZZ,300,MATCH("Evolution_Name",Unified_Matrix!$1:$1,0)),"")))</f>
        <v/>
      </c>
      <c r="L7" s="20">
        <f t="array" ref="L7">IF(L6=0,"",_xlfn.TEXTJOIN(CHAR(10),TRUE,IF((INDEX(Unified_Matrix!$A:$ZZ,3,MATCH("Max "&amp;L$1,Unified_Matrix!$1:$1,0)):INDEX(Unified_Matrix!$A:$ZZ,300,MATCH("Max "&amp;L$1,Unified_Matrix!$1:$1,0))=L6)*(INDEX(Unified_Matrix!$A:$ZZ,3,MATCH("Max "&amp;L$1,Unified_Matrix!$1:$1,0)):INDEX(Unified_Matrix!$A:$ZZ,300,MATCH("Max "&amp;L$1,Unified_Matrix!$1:$1,0))&gt;0),INDEX(Unified_Matrix!$A:$ZZ,3,MATCH("Evolution_Name",Unified_Matrix!$1:$1,0)):INDEX(Unified_Matrix!$A:$ZZ,300,MATCH("Evolution_Name",Unified_Matrix!$1:$1,0)),"")))</f>
        <v/>
      </c>
      <c r="M7" s="20">
        <f t="array" ref="M7">IF(M6=0,"",_xlfn.TEXTJOIN(CHAR(10),TRUE,IF((INDEX(Unified_Matrix!$A:$ZZ,3,MATCH("Max "&amp;M$1,Unified_Matrix!$1:$1,0)):INDEX(Unified_Matrix!$A:$ZZ,300,MATCH("Max "&amp;M$1,Unified_Matrix!$1:$1,0))=M6)*(INDEX(Unified_Matrix!$A:$ZZ,3,MATCH("Max "&amp;M$1,Unified_Matrix!$1:$1,0)):INDEX(Unified_Matrix!$A:$ZZ,300,MATCH("Max "&amp;M$1,Unified_Matrix!$1:$1,0))&gt;0),INDEX(Unified_Matrix!$A:$ZZ,3,MATCH("Evolution_Name",Unified_Matrix!$1:$1,0)):INDEX(Unified_Matrix!$A:$ZZ,300,MATCH("Evolution_Name",Unified_Matrix!$1:$1,0)),"")))</f>
        <v/>
      </c>
      <c r="N7" s="20">
        <f t="array" ref="N7">IF(N6=0,"",_xlfn.TEXTJOIN(CHAR(10),TRUE,IF((INDEX(Unified_Matrix!$A:$ZZ,3,MATCH("Max "&amp;N$1,Unified_Matrix!$1:$1,0)):INDEX(Unified_Matrix!$A:$ZZ,300,MATCH("Max "&amp;N$1,Unified_Matrix!$1:$1,0))=N6)*(INDEX(Unified_Matrix!$A:$ZZ,3,MATCH("Max "&amp;N$1,Unified_Matrix!$1:$1,0)):INDEX(Unified_Matrix!$A:$ZZ,300,MATCH("Max "&amp;N$1,Unified_Matrix!$1:$1,0))&gt;0),INDEX(Unified_Matrix!$A:$ZZ,3,MATCH("Evolution_Name",Unified_Matrix!$1:$1,0)):INDEX(Unified_Matrix!$A:$ZZ,300,MATCH("Evolution_Name",Unified_Matrix!$1:$1,0)),"")))</f>
        <v/>
      </c>
      <c r="O7" s="20">
        <f t="array" ref="O7">IF(O6=0,"",_xlfn.TEXTJOIN(CHAR(10),TRUE,IF((INDEX(Unified_Matrix!$A:$ZZ,3,MATCH("Max "&amp;O$1,Unified_Matrix!$1:$1,0)):INDEX(Unified_Matrix!$A:$ZZ,300,MATCH("Max "&amp;O$1,Unified_Matrix!$1:$1,0))=O6)*(INDEX(Unified_Matrix!$A:$ZZ,3,MATCH("Max "&amp;O$1,Unified_Matrix!$1:$1,0)):INDEX(Unified_Matrix!$A:$ZZ,300,MATCH("Max "&amp;O$1,Unified_Matrix!$1:$1,0))&gt;0),INDEX(Unified_Matrix!$A:$ZZ,3,MATCH("Evolution_Name",Unified_Matrix!$1:$1,0)):INDEX(Unified_Matrix!$A:$ZZ,300,MATCH("Evolution_Name",Unified_Matrix!$1:$1,0)),"")))</f>
        <v/>
      </c>
      <c r="P7" s="20">
        <f t="array" ref="P7">IF(P6=0,"",_xlfn.TEXTJOIN(CHAR(10),TRUE,IF((INDEX(Unified_Matrix!$A:$ZZ,3,MATCH("Max "&amp;P$1,Unified_Matrix!$1:$1,0)):INDEX(Unified_Matrix!$A:$ZZ,300,MATCH("Max "&amp;P$1,Unified_Matrix!$1:$1,0))=P6)*(INDEX(Unified_Matrix!$A:$ZZ,3,MATCH("Max "&amp;P$1,Unified_Matrix!$1:$1,0)):INDEX(Unified_Matrix!$A:$ZZ,300,MATCH("Max "&amp;P$1,Unified_Matrix!$1:$1,0))&gt;0),INDEX(Unified_Matrix!$A:$ZZ,3,MATCH("Evolution_Name",Unified_Matrix!$1:$1,0)):INDEX(Unified_Matrix!$A:$ZZ,300,MATCH("Evolution_Name",Unified_Matrix!$1:$1,0)),"")))</f>
        <v/>
      </c>
      <c r="Q7" s="20">
        <f t="array" ref="Q7">IF(Q6=0,"",_xlfn.TEXTJOIN(CHAR(10),TRUE,IF((INDEX(Unified_Matrix!$A:$ZZ,3,MATCH("Max "&amp;Q$1,Unified_Matrix!$1:$1,0)):INDEX(Unified_Matrix!$A:$ZZ,300,MATCH("Max "&amp;Q$1,Unified_Matrix!$1:$1,0))=Q6)*(INDEX(Unified_Matrix!$A:$ZZ,3,MATCH("Max "&amp;Q$1,Unified_Matrix!$1:$1,0)):INDEX(Unified_Matrix!$A:$ZZ,300,MATCH("Max "&amp;Q$1,Unified_Matrix!$1:$1,0))&gt;0),INDEX(Unified_Matrix!$A:$ZZ,3,MATCH("Evolution_Name",Unified_Matrix!$1:$1,0)):INDEX(Unified_Matrix!$A:$ZZ,300,MATCH("Evolution_Name",Unified_Matrix!$1:$1,0)),"")))</f>
        <v/>
      </c>
      <c r="R7" s="20">
        <f t="array" ref="R7">IF(R6=0,"",_xlfn.TEXTJOIN(CHAR(10),TRUE,IF((INDEX(Unified_Matrix!$A:$ZZ,3,MATCH("Max "&amp;R$1,Unified_Matrix!$1:$1,0)):INDEX(Unified_Matrix!$A:$ZZ,300,MATCH("Max "&amp;R$1,Unified_Matrix!$1:$1,0))=R6)*(INDEX(Unified_Matrix!$A:$ZZ,3,MATCH("Max "&amp;R$1,Unified_Matrix!$1:$1,0)):INDEX(Unified_Matrix!$A:$ZZ,300,MATCH("Max "&amp;R$1,Unified_Matrix!$1:$1,0))&gt;0),INDEX(Unified_Matrix!$A:$ZZ,3,MATCH("Evolution_Name",Unified_Matrix!$1:$1,0)):INDEX(Unified_Matrix!$A:$ZZ,300,MATCH("Evolution_Name",Unified_Matrix!$1:$1,0)),"")))</f>
        <v/>
      </c>
      <c r="S7" s="20">
        <f t="array" ref="S7">IF(S6=0,"",_xlfn.TEXTJOIN(CHAR(10),TRUE,IF((INDEX(Unified_Matrix!$A:$ZZ,3,MATCH("Max "&amp;S$1,Unified_Matrix!$1:$1,0)):INDEX(Unified_Matrix!$A:$ZZ,300,MATCH("Max "&amp;S$1,Unified_Matrix!$1:$1,0))=S6)*(INDEX(Unified_Matrix!$A:$ZZ,3,MATCH("Max "&amp;S$1,Unified_Matrix!$1:$1,0)):INDEX(Unified_Matrix!$A:$ZZ,300,MATCH("Max "&amp;S$1,Unified_Matrix!$1:$1,0))&gt;0),INDEX(Unified_Matrix!$A:$ZZ,3,MATCH("Evolution_Name",Unified_Matrix!$1:$1,0)):INDEX(Unified_Matrix!$A:$ZZ,300,MATCH("Evolution_Name",Unified_Matrix!$1:$1,0)),"")))</f>
        <v/>
      </c>
      <c r="T7" s="20">
        <f t="array" ref="T7">IF(T6=0,"",_xlfn.TEXTJOIN(CHAR(10),TRUE,IF((INDEX(Unified_Matrix!$A:$ZZ,3,MATCH("Max "&amp;T$1,Unified_Matrix!$1:$1,0)):INDEX(Unified_Matrix!$A:$ZZ,300,MATCH("Max "&amp;T$1,Unified_Matrix!$1:$1,0))=T6)*(INDEX(Unified_Matrix!$A:$ZZ,3,MATCH("Max "&amp;T$1,Unified_Matrix!$1:$1,0)):INDEX(Unified_Matrix!$A:$ZZ,300,MATCH("Max "&amp;T$1,Unified_Matrix!$1:$1,0))&gt;0),INDEX(Unified_Matrix!$A:$ZZ,3,MATCH("Evolution_Name",Unified_Matrix!$1:$1,0)):INDEX(Unified_Matrix!$A:$ZZ,300,MATCH("Evolution_Name",Unified_Matrix!$1:$1,0)),"")))</f>
        <v/>
      </c>
      <c r="U7" s="20">
        <f t="array" ref="U7">IF(U6=0,"",_xlfn.TEXTJOIN(CHAR(10),TRUE,IF((INDEX(Unified_Matrix!$A:$ZZ,3,MATCH("Max "&amp;U$1,Unified_Matrix!$1:$1,0)):INDEX(Unified_Matrix!$A:$ZZ,300,MATCH("Max "&amp;U$1,Unified_Matrix!$1:$1,0))=U6)*(INDEX(Unified_Matrix!$A:$ZZ,3,MATCH("Max "&amp;U$1,Unified_Matrix!$1:$1,0)):INDEX(Unified_Matrix!$A:$ZZ,300,MATCH("Max "&amp;U$1,Unified_Matrix!$1:$1,0))&gt;0),INDEX(Unified_Matrix!$A:$ZZ,3,MATCH("Evolution_Name",Unified_Matrix!$1:$1,0)):INDEX(Unified_Matrix!$A:$ZZ,300,MATCH("Evolution_Name",Unified_Matrix!$1:$1,0)),"")))</f>
        <v/>
      </c>
      <c r="V7" s="20">
        <f t="array" ref="V7">IF(V6=0,"",_xlfn.TEXTJOIN(CHAR(10),TRUE,IF((INDEX(Unified_Matrix!$A:$ZZ,3,MATCH("Max "&amp;V$1,Unified_Matrix!$1:$1,0)):INDEX(Unified_Matrix!$A:$ZZ,300,MATCH("Max "&amp;V$1,Unified_Matrix!$1:$1,0))=V6)*(INDEX(Unified_Matrix!$A:$ZZ,3,MATCH("Max "&amp;V$1,Unified_Matrix!$1:$1,0)):INDEX(Unified_Matrix!$A:$ZZ,300,MATCH("Max "&amp;V$1,Unified_Matrix!$1:$1,0))&gt;0),INDEX(Unified_Matrix!$A:$ZZ,3,MATCH("Evolution_Name",Unified_Matrix!$1:$1,0)):INDEX(Unified_Matrix!$A:$ZZ,300,MATCH("Evolution_Name",Unified_Matrix!$1:$1,0)),"")))</f>
        <v/>
      </c>
      <c r="W7" s="20">
        <f t="array" ref="W7">IF(W6=0,"",_xlfn.TEXTJOIN(CHAR(10),TRUE,IF((INDEX(Unified_Matrix!$A:$ZZ,3,MATCH("Max "&amp;W$1,Unified_Matrix!$1:$1,0)):INDEX(Unified_Matrix!$A:$ZZ,300,MATCH("Max "&amp;W$1,Unified_Matrix!$1:$1,0))=W6)*(INDEX(Unified_Matrix!$A:$ZZ,3,MATCH("Max "&amp;W$1,Unified_Matrix!$1:$1,0)):INDEX(Unified_Matrix!$A:$ZZ,300,MATCH("Max "&amp;W$1,Unified_Matrix!$1:$1,0))&gt;0),INDEX(Unified_Matrix!$A:$ZZ,3,MATCH("Evolution_Name",Unified_Matrix!$1:$1,0)):INDEX(Unified_Matrix!$A:$ZZ,300,MATCH("Evolution_Name",Unified_Matrix!$1:$1,0)),"")))</f>
        <v/>
      </c>
      <c r="X7" s="20">
        <f t="array" ref="X7">IF(X6=0,"",_xlfn.TEXTJOIN(CHAR(10),TRUE,IF((INDEX(Unified_Matrix!$A:$ZZ,3,MATCH("Max "&amp;X$1,Unified_Matrix!$1:$1,0)):INDEX(Unified_Matrix!$A:$ZZ,300,MATCH("Max "&amp;X$1,Unified_Matrix!$1:$1,0))=X6)*(INDEX(Unified_Matrix!$A:$ZZ,3,MATCH("Max "&amp;X$1,Unified_Matrix!$1:$1,0)):INDEX(Unified_Matrix!$A:$ZZ,300,MATCH("Max "&amp;X$1,Unified_Matrix!$1:$1,0))&gt;0),INDEX(Unified_Matrix!$A:$ZZ,3,MATCH("Evolution_Name",Unified_Matrix!$1:$1,0)):INDEX(Unified_Matrix!$A:$ZZ,300,MATCH("Evolution_Name",Unified_Matrix!$1:$1,0)),"")))</f>
        <v/>
      </c>
      <c r="Y7" s="20">
        <f t="array" ref="Y7">IF(Y6=0,"",_xlfn.TEXTJOIN(CHAR(10),TRUE,IF((INDEX(Unified_Matrix!$A:$ZZ,3,MATCH("Max "&amp;Y$1,Unified_Matrix!$1:$1,0)):INDEX(Unified_Matrix!$A:$ZZ,300,MATCH("Max "&amp;Y$1,Unified_Matrix!$1:$1,0))=Y6)*(INDEX(Unified_Matrix!$A:$ZZ,3,MATCH("Max "&amp;Y$1,Unified_Matrix!$1:$1,0)):INDEX(Unified_Matrix!$A:$ZZ,300,MATCH("Max "&amp;Y$1,Unified_Matrix!$1:$1,0))&gt;0),INDEX(Unified_Matrix!$A:$ZZ,3,MATCH("Evolution_Name",Unified_Matrix!$1:$1,0)):INDEX(Unified_Matrix!$A:$ZZ,300,MATCH("Evolution_Name",Unified_Matrix!$1:$1,0)),"")))</f>
        <v/>
      </c>
      <c r="Z7" s="20">
        <f t="array" ref="Z7">IF(Z6=0,"",_xlfn.TEXTJOIN(CHAR(10),TRUE,IF((INDEX(Unified_Matrix!$A:$ZZ,3,MATCH("Max "&amp;Z$1,Unified_Matrix!$1:$1,0)):INDEX(Unified_Matrix!$A:$ZZ,300,MATCH("Max "&amp;Z$1,Unified_Matrix!$1:$1,0))=Z6)*(INDEX(Unified_Matrix!$A:$ZZ,3,MATCH("Max "&amp;Z$1,Unified_Matrix!$1:$1,0)):INDEX(Unified_Matrix!$A:$ZZ,300,MATCH("Max "&amp;Z$1,Unified_Matrix!$1:$1,0))&gt;0),INDEX(Unified_Matrix!$A:$ZZ,3,MATCH("Evolution_Name",Unified_Matrix!$1:$1,0)):INDEX(Unified_Matrix!$A:$ZZ,300,MATCH("Evolution_Name",Unified_Matrix!$1:$1,0)),"")))</f>
        <v/>
      </c>
      <c r="AA7" s="20">
        <f t="array" ref="AA7">IF(AA6=0,"",_xlfn.TEXTJOIN(CHAR(10),TRUE,IF((INDEX(Unified_Matrix!$A:$ZZ,3,MATCH("Max "&amp;AA$1,Unified_Matrix!$1:$1,0)):INDEX(Unified_Matrix!$A:$ZZ,300,MATCH("Max "&amp;AA$1,Unified_Matrix!$1:$1,0))=AA6)*(INDEX(Unified_Matrix!$A:$ZZ,3,MATCH("Max "&amp;AA$1,Unified_Matrix!$1:$1,0)):INDEX(Unified_Matrix!$A:$ZZ,300,MATCH("Max "&amp;AA$1,Unified_Matrix!$1:$1,0))&gt;0),INDEX(Unified_Matrix!$A:$ZZ,3,MATCH("Evolution_Name",Unified_Matrix!$1:$1,0)):INDEX(Unified_Matrix!$A:$ZZ,300,MATCH("Evolution_Name",Unified_Matrix!$1:$1,0)),"")))</f>
        <v/>
      </c>
      <c r="AB7" s="20">
        <f t="array" ref="AB7">IF(AB6=0,"",_xlfn.TEXTJOIN(CHAR(10),TRUE,IF((INDEX(Unified_Matrix!$A:$ZZ,3,MATCH("Max "&amp;AB$1,Unified_Matrix!$1:$1,0)):INDEX(Unified_Matrix!$A:$ZZ,300,MATCH("Max "&amp;AB$1,Unified_Matrix!$1:$1,0))=AB6)*(INDEX(Unified_Matrix!$A:$ZZ,3,MATCH("Max "&amp;AB$1,Unified_Matrix!$1:$1,0)):INDEX(Unified_Matrix!$A:$ZZ,300,MATCH("Max "&amp;AB$1,Unified_Matrix!$1:$1,0))&gt;0),INDEX(Unified_Matrix!$A:$ZZ,3,MATCH("Evolution_Name",Unified_Matrix!$1:$1,0)):INDEX(Unified_Matrix!$A:$ZZ,300,MATCH("Evolution_Name",Unified_Matrix!$1:$1,0)),"")))</f>
        <v/>
      </c>
      <c r="AC7" s="20">
        <f t="array" ref="AC7">IF(AC6=0,"",_xlfn.TEXTJOIN(CHAR(10),TRUE,IF((INDEX(Unified_Matrix!$A:$ZZ,3,MATCH("Max "&amp;AC$1,Unified_Matrix!$1:$1,0)):INDEX(Unified_Matrix!$A:$ZZ,300,MATCH("Max "&amp;AC$1,Unified_Matrix!$1:$1,0))=AC6)*(INDEX(Unified_Matrix!$A:$ZZ,3,MATCH("Max "&amp;AC$1,Unified_Matrix!$1:$1,0)):INDEX(Unified_Matrix!$A:$ZZ,300,MATCH("Max "&amp;AC$1,Unified_Matrix!$1:$1,0))&gt;0),INDEX(Unified_Matrix!$A:$ZZ,3,MATCH("Evolution_Name",Unified_Matrix!$1:$1,0)):INDEX(Unified_Matrix!$A:$ZZ,300,MATCH("Evolution_Name",Unified_Matrix!$1:$1,0)),"")))</f>
        <v/>
      </c>
      <c r="AD7" s="20">
        <f t="array" ref="AD7">IF(AD6=0,"",_xlfn.TEXTJOIN(CHAR(10),TRUE,IF((INDEX(Unified_Matrix!$A:$ZZ,3,MATCH("Max "&amp;AD$1,Unified_Matrix!$1:$1,0)):INDEX(Unified_Matrix!$A:$ZZ,300,MATCH("Max "&amp;AD$1,Unified_Matrix!$1:$1,0))=AD6)*(INDEX(Unified_Matrix!$A:$ZZ,3,MATCH("Max "&amp;AD$1,Unified_Matrix!$1:$1,0)):INDEX(Unified_Matrix!$A:$ZZ,300,MATCH("Max "&amp;AD$1,Unified_Matrix!$1:$1,0))&gt;0),INDEX(Unified_Matrix!$A:$ZZ,3,MATCH("Evolution_Name",Unified_Matrix!$1:$1,0)):INDEX(Unified_Matrix!$A:$ZZ,300,MATCH("Evolution_Name",Unified_Matrix!$1:$1,0)),"")))</f>
        <v/>
      </c>
      <c r="AE7" s="20">
        <f t="array" ref="AE7">IF(AE6=0,"",_xlfn.TEXTJOIN(CHAR(10),TRUE,IF((INDEX(Unified_Matrix!$A:$ZZ,3,MATCH("Max "&amp;AE$1,Unified_Matrix!$1:$1,0)):INDEX(Unified_Matrix!$A:$ZZ,300,MATCH("Max "&amp;AE$1,Unified_Matrix!$1:$1,0))=AE6)*(INDEX(Unified_Matrix!$A:$ZZ,3,MATCH("Max "&amp;AE$1,Unified_Matrix!$1:$1,0)):INDEX(Unified_Matrix!$A:$ZZ,300,MATCH("Max "&amp;AE$1,Unified_Matrix!$1:$1,0))&gt;0),INDEX(Unified_Matrix!$A:$ZZ,3,MATCH("Evolution_Name",Unified_Matrix!$1:$1,0)):INDEX(Unified_Matrix!$A:$ZZ,300,MATCH("Evolution_Name",Unified_Matrix!$1:$1,0)),"")))</f>
        <v/>
      </c>
      <c r="AF7" s="20">
        <f t="array" ref="AF7">IF(AF6=0,"",_xlfn.TEXTJOIN(CHAR(10),TRUE,IF((INDEX(Unified_Matrix!$A:$ZZ,3,MATCH("Max "&amp;AF$1,Unified_Matrix!$1:$1,0)):INDEX(Unified_Matrix!$A:$ZZ,300,MATCH("Max "&amp;AF$1,Unified_Matrix!$1:$1,0))=AF6)*(INDEX(Unified_Matrix!$A:$ZZ,3,MATCH("Max "&amp;AF$1,Unified_Matrix!$1:$1,0)):INDEX(Unified_Matrix!$A:$ZZ,300,MATCH("Max "&amp;AF$1,Unified_Matrix!$1:$1,0))&gt;0),INDEX(Unified_Matrix!$A:$ZZ,3,MATCH("Evolution_Name",Unified_Matrix!$1:$1,0)):INDEX(Unified_Matrix!$A:$ZZ,300,MATCH("Evolution_Name",Unified_Matrix!$1:$1,0)),"")))</f>
        <v/>
      </c>
      <c r="AG7" s="20">
        <f t="array" ref="AG7">IF(AG6=0,"",_xlfn.TEXTJOIN(CHAR(10),TRUE,IF((INDEX(Unified_Matrix!$A:$ZZ,3,MATCH("Max "&amp;AG$1,Unified_Matrix!$1:$1,0)):INDEX(Unified_Matrix!$A:$ZZ,300,MATCH("Max "&amp;AG$1,Unified_Matrix!$1:$1,0))=AG6)*(INDEX(Unified_Matrix!$A:$ZZ,3,MATCH("Max "&amp;AG$1,Unified_Matrix!$1:$1,0)):INDEX(Unified_Matrix!$A:$ZZ,300,MATCH("Max "&amp;AG$1,Unified_Matrix!$1:$1,0))&gt;0),INDEX(Unified_Matrix!$A:$ZZ,3,MATCH("Evolution_Name",Unified_Matrix!$1:$1,0)):INDEX(Unified_Matrix!$A:$ZZ,300,MATCH("Evolution_Name",Unified_Matrix!$1:$1,0)),"")))</f>
        <v/>
      </c>
      <c r="AH7" s="20">
        <f t="array" ref="AH7">IF(AH6=0,"",_xlfn.TEXTJOIN(CHAR(10),TRUE,IF((INDEX(Unified_Matrix!$A:$ZZ,3,MATCH("Max "&amp;AH$1,Unified_Matrix!$1:$1,0)):INDEX(Unified_Matrix!$A:$ZZ,300,MATCH("Max "&amp;AH$1,Unified_Matrix!$1:$1,0))=AH6)*(INDEX(Unified_Matrix!$A:$ZZ,3,MATCH("Max "&amp;AH$1,Unified_Matrix!$1:$1,0)):INDEX(Unified_Matrix!$A:$ZZ,300,MATCH("Max "&amp;AH$1,Unified_Matrix!$1:$1,0))&gt;0),INDEX(Unified_Matrix!$A:$ZZ,3,MATCH("Evolution_Name",Unified_Matrix!$1:$1,0)):INDEX(Unified_Matrix!$A:$ZZ,300,MATCH("Evolution_Name",Unified_Matrix!$1:$1,0)),"")))</f>
        <v/>
      </c>
      <c r="AI7" s="20">
        <f t="array" ref="AI7">IF(AI6=0,"",_xlfn.TEXTJOIN(CHAR(10),TRUE,IF((INDEX(Unified_Matrix!$A:$ZZ,3,MATCH("Max "&amp;AI$1,Unified_Matrix!$1:$1,0)):INDEX(Unified_Matrix!$A:$ZZ,300,MATCH("Max "&amp;AI$1,Unified_Matrix!$1:$1,0))=AI6)*(INDEX(Unified_Matrix!$A:$ZZ,3,MATCH("Max "&amp;AI$1,Unified_Matrix!$1:$1,0)):INDEX(Unified_Matrix!$A:$ZZ,300,MATCH("Max "&amp;AI$1,Unified_Matrix!$1:$1,0))&gt;0),INDEX(Unified_Matrix!$A:$ZZ,3,MATCH("Evolution_Name",Unified_Matrix!$1:$1,0)):INDEX(Unified_Matrix!$A:$ZZ,300,MATCH("Evolution_Name",Unified_Matrix!$1:$1,0)),"")))</f>
        <v/>
      </c>
      <c r="AJ7" s="20">
        <f t="array" ref="AJ7">IF(AJ6=0,"",_xlfn.TEXTJOIN(CHAR(10),TRUE,IF((INDEX(Unified_Matrix!$A:$ZZ,3,MATCH("Max "&amp;AJ$1,Unified_Matrix!$1:$1,0)):INDEX(Unified_Matrix!$A:$ZZ,300,MATCH("Max "&amp;AJ$1,Unified_Matrix!$1:$1,0))=AJ6)*(INDEX(Unified_Matrix!$A:$ZZ,3,MATCH("Max "&amp;AJ$1,Unified_Matrix!$1:$1,0)):INDEX(Unified_Matrix!$A:$ZZ,300,MATCH("Max "&amp;AJ$1,Unified_Matrix!$1:$1,0))&gt;0),INDEX(Unified_Matrix!$A:$ZZ,3,MATCH("Evolution_Name",Unified_Matrix!$1:$1,0)):INDEX(Unified_Matrix!$A:$ZZ,300,MATCH("Evolution_Name",Unified_Matrix!$1:$1,0)),"")))</f>
        <v/>
      </c>
      <c r="AK7" s="20">
        <f t="array" ref="AK7">IF(AK6=0,"",_xlfn.TEXTJOIN(CHAR(10),TRUE,IF((INDEX(Unified_Matrix!$A:$ZZ,3,MATCH("Max "&amp;AK$1,Unified_Matrix!$1:$1,0)):INDEX(Unified_Matrix!$A:$ZZ,300,MATCH("Max "&amp;AK$1,Unified_Matrix!$1:$1,0))=AK6)*(INDEX(Unified_Matrix!$A:$ZZ,3,MATCH("Max "&amp;AK$1,Unified_Matrix!$1:$1,0)):INDEX(Unified_Matrix!$A:$ZZ,300,MATCH("Max "&amp;AK$1,Unified_Matrix!$1:$1,0))&gt;0),INDEX(Unified_Matrix!$A:$ZZ,3,MATCH("Evolution_Name",Unified_Matrix!$1:$1,0)):INDEX(Unified_Matrix!$A:$ZZ,300,MATCH("Evolution_Name",Unified_Matrix!$1:$1,0)),"")))</f>
        <v/>
      </c>
      <c r="AL7" s="20">
        <f t="array" ref="AL7">IF(AL6=0,"",_xlfn.TEXTJOIN(CHAR(10),TRUE,IF((INDEX(Unified_Matrix!$A:$ZZ,3,MATCH("Max "&amp;AL$1,Unified_Matrix!$1:$1,0)):INDEX(Unified_Matrix!$A:$ZZ,300,MATCH("Max "&amp;AL$1,Unified_Matrix!$1:$1,0))=AL6)*(INDEX(Unified_Matrix!$A:$ZZ,3,MATCH("Max "&amp;AL$1,Unified_Matrix!$1:$1,0)):INDEX(Unified_Matrix!$A:$ZZ,300,MATCH("Max "&amp;AL$1,Unified_Matrix!$1:$1,0))&gt;0),INDEX(Unified_Matrix!$A:$ZZ,3,MATCH("Evolution_Name",Unified_Matrix!$1:$1,0)):INDEX(Unified_Matrix!$A:$ZZ,300,MATCH("Evolution_Name",Unified_Matrix!$1:$1,0)),"")))</f>
        <v/>
      </c>
      <c r="AM7" s="20">
        <f t="array" ref="AM7">IF(AM6=0,"",_xlfn.TEXTJOIN(CHAR(10),TRUE,IF((INDEX(Unified_Matrix!$A:$ZZ,3,MATCH("Max "&amp;AM$1,Unified_Matrix!$1:$1,0)):INDEX(Unified_Matrix!$A:$ZZ,300,MATCH("Max "&amp;AM$1,Unified_Matrix!$1:$1,0))=AM6)*(INDEX(Unified_Matrix!$A:$ZZ,3,MATCH("Max "&amp;AM$1,Unified_Matrix!$1:$1,0)):INDEX(Unified_Matrix!$A:$ZZ,300,MATCH("Max "&amp;AM$1,Unified_Matrix!$1:$1,0))&gt;0),INDEX(Unified_Matrix!$A:$ZZ,3,MATCH("Evolution_Name",Unified_Matrix!$1:$1,0)):INDEX(Unified_Matrix!$A:$ZZ,300,MATCH("Evolution_Name",Unified_Matrix!$1:$1,0)),"")))</f>
        <v/>
      </c>
      <c r="AN7" s="20">
        <f t="array" ref="AN7">IF(AN6=0,"",_xlfn.TEXTJOIN(CHAR(10),TRUE,IF((INDEX(Unified_Matrix!$A:$ZZ,3,MATCH("Max "&amp;AN$1,Unified_Matrix!$1:$1,0)):INDEX(Unified_Matrix!$A:$ZZ,300,MATCH("Max "&amp;AN$1,Unified_Matrix!$1:$1,0))=AN6)*(INDEX(Unified_Matrix!$A:$ZZ,3,MATCH("Max "&amp;AN$1,Unified_Matrix!$1:$1,0)):INDEX(Unified_Matrix!$A:$ZZ,300,MATCH("Max "&amp;AN$1,Unified_Matrix!$1:$1,0))&gt;0),INDEX(Unified_Matrix!$A:$ZZ,3,MATCH("Evolution_Name",Unified_Matrix!$1:$1,0)):INDEX(Unified_Matrix!$A:$ZZ,300,MATCH("Evolution_Name",Unified_Matrix!$1:$1,0)),"")))</f>
        <v/>
      </c>
      <c r="AO7" s="20">
        <f t="array" ref="AO7">IF(AO6=0,"",_xlfn.TEXTJOIN(CHAR(10),TRUE,IF((INDEX(Unified_Matrix!$A:$ZZ,3,MATCH("Max "&amp;AO$1,Unified_Matrix!$1:$1,0)):INDEX(Unified_Matrix!$A:$ZZ,300,MATCH("Max "&amp;AO$1,Unified_Matrix!$1:$1,0))=AO6)*(INDEX(Unified_Matrix!$A:$ZZ,3,MATCH("Max "&amp;AO$1,Unified_Matrix!$1:$1,0)):INDEX(Unified_Matrix!$A:$ZZ,300,MATCH("Max "&amp;AO$1,Unified_Matrix!$1:$1,0))&gt;0),INDEX(Unified_Matrix!$A:$ZZ,3,MATCH("Evolution_Name",Unified_Matrix!$1:$1,0)):INDEX(Unified_Matrix!$A:$ZZ,300,MATCH("Evolution_Name",Unified_Matrix!$1:$1,0)),"")))</f>
        <v/>
      </c>
      <c r="AP7" s="20">
        <f t="array" ref="AP7">IF(AP6=0,"",_xlfn.TEXTJOIN(CHAR(10),TRUE,IF((INDEX(Unified_Matrix!$A:$ZZ,3,MATCH("Max "&amp;AP$1,Unified_Matrix!$1:$1,0)):INDEX(Unified_Matrix!$A:$ZZ,300,MATCH("Max "&amp;AP$1,Unified_Matrix!$1:$1,0))=AP6)*(INDEX(Unified_Matrix!$A:$ZZ,3,MATCH("Max "&amp;AP$1,Unified_Matrix!$1:$1,0)):INDEX(Unified_Matrix!$A:$ZZ,300,MATCH("Max "&amp;AP$1,Unified_Matrix!$1:$1,0))&gt;0),INDEX(Unified_Matrix!$A:$ZZ,3,MATCH("Evolution_Name",Unified_Matrix!$1:$1,0)):INDEX(Unified_Matrix!$A:$ZZ,300,MATCH("Evolution_Name",Unified_Matrix!$1:$1,0)),"")))</f>
        <v/>
      </c>
      <c r="AQ7" s="20">
        <f t="array" ref="AQ7">IF(AQ6=0,"",_xlfn.TEXTJOIN(CHAR(10),TRUE,IF((INDEX(Unified_Matrix!$A:$ZZ,3,MATCH("Max "&amp;AQ$1,Unified_Matrix!$1:$1,0)):INDEX(Unified_Matrix!$A:$ZZ,300,MATCH("Max "&amp;AQ$1,Unified_Matrix!$1:$1,0))=AQ6)*(INDEX(Unified_Matrix!$A:$ZZ,3,MATCH("Max "&amp;AQ$1,Unified_Matrix!$1:$1,0)):INDEX(Unified_Matrix!$A:$ZZ,300,MATCH("Max "&amp;AQ$1,Unified_Matrix!$1:$1,0))&gt;0),INDEX(Unified_Matrix!$A:$ZZ,3,MATCH("Evolution_Name",Unified_Matrix!$1:$1,0)):INDEX(Unified_Matrix!$A:$ZZ,300,MATCH("Evolution_Name",Unified_Matrix!$1:$1,0)),"")))</f>
        <v/>
      </c>
      <c r="AR7" s="20">
        <f t="array" ref="AR7">IF(AR6=0,"",_xlfn.TEXTJOIN(CHAR(10),TRUE,IF((INDEX(Unified_Matrix!$A:$ZZ,3,MATCH("Max "&amp;AR$1,Unified_Matrix!$1:$1,0)):INDEX(Unified_Matrix!$A:$ZZ,300,MATCH("Max "&amp;AR$1,Unified_Matrix!$1:$1,0))=AR6)*(INDEX(Unified_Matrix!$A:$ZZ,3,MATCH("Max "&amp;AR$1,Unified_Matrix!$1:$1,0)):INDEX(Unified_Matrix!$A:$ZZ,300,MATCH("Max "&amp;AR$1,Unified_Matrix!$1:$1,0))&gt;0),INDEX(Unified_Matrix!$A:$ZZ,3,MATCH("Evolution_Name",Unified_Matrix!$1:$1,0)):INDEX(Unified_Matrix!$A:$ZZ,300,MATCH("Evolution_Name",Unified_Matrix!$1:$1,0)),"")))</f>
        <v/>
      </c>
      <c r="AS7" s="20">
        <f t="array" ref="AS7">IF(AS6=0,"",_xlfn.TEXTJOIN(CHAR(10),TRUE,IF((INDEX(Unified_Matrix!$A:$ZZ,3,MATCH("Max "&amp;AS$1,Unified_Matrix!$1:$1,0)):INDEX(Unified_Matrix!$A:$ZZ,300,MATCH("Max "&amp;AS$1,Unified_Matrix!$1:$1,0))=AS6)*(INDEX(Unified_Matrix!$A:$ZZ,3,MATCH("Max "&amp;AS$1,Unified_Matrix!$1:$1,0)):INDEX(Unified_Matrix!$A:$ZZ,300,MATCH("Max "&amp;AS$1,Unified_Matrix!$1:$1,0))&gt;0),INDEX(Unified_Matrix!$A:$ZZ,3,MATCH("Evolution_Name",Unified_Matrix!$1:$1,0)):INDEX(Unified_Matrix!$A:$ZZ,300,MATCH("Evolution_Name",Unified_Matrix!$1:$1,0)),"")))</f>
        <v/>
      </c>
      <c r="AT7" s="20">
        <f t="array" ref="AT7">IF(AT6=0,"",_xlfn.TEXTJOIN(CHAR(10),TRUE,IF((INDEX(Unified_Matrix!$A:$ZZ,3,MATCH("Max "&amp;AT$1,Unified_Matrix!$1:$1,0)):INDEX(Unified_Matrix!$A:$ZZ,300,MATCH("Max "&amp;AT$1,Unified_Matrix!$1:$1,0))=AT6)*(INDEX(Unified_Matrix!$A:$ZZ,3,MATCH("Max "&amp;AT$1,Unified_Matrix!$1:$1,0)):INDEX(Unified_Matrix!$A:$ZZ,300,MATCH("Max "&amp;AT$1,Unified_Matrix!$1:$1,0))&gt;0),INDEX(Unified_Matrix!$A:$ZZ,3,MATCH("Evolution_Name",Unified_Matrix!$1:$1,0)):INDEX(Unified_Matrix!$A:$ZZ,300,MATCH("Evolution_Name",Unified_Matrix!$1:$1,0)),"")))</f>
        <v/>
      </c>
    </row>
    <row r="8">
      <c r="J8" s="5" t="n"/>
      <c r="K8" s="5" t="n"/>
      <c r="L8" s="5" t="n"/>
      <c r="M8" s="5" t="n"/>
      <c r="N8" s="5" t="n"/>
      <c r="O8" s="5"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s="5" t="n"/>
      <c r="AP8" s="5" t="n"/>
      <c r="AQ8" s="5" t="n"/>
      <c r="AR8" s="5" t="n"/>
      <c r="AS8" s="5" t="n"/>
      <c r="AT8" s="5" t="n"/>
    </row>
    <row r="9">
      <c r="H9" s="6" t="n"/>
      <c r="J9" s="8" t="inlineStr">
        <is>
          <t>Balance</t>
        </is>
      </c>
      <c r="K9" s="6" t="n"/>
      <c r="L9" s="6" t="n"/>
      <c r="M9" s="6" t="n"/>
      <c r="N9" s="6" t="n"/>
      <c r="O9" s="6" t="n"/>
      <c r="P9" s="6" t="n"/>
      <c r="Q9" s="6" t="n"/>
    </row>
    <row r="10" hidden="1" ht="33" customFormat="1" customHeight="1" s="7">
      <c r="H10" s="9" t="inlineStr">
        <is>
          <t>MAX수치
순위</t>
        </is>
      </c>
      <c r="I10" s="10" t="inlineStr">
        <is>
          <t>번호</t>
        </is>
      </c>
      <c r="J10" s="10" t="inlineStr">
        <is>
          <t>상한선</t>
        </is>
      </c>
      <c r="K10" s="10" t="inlineStr">
        <is>
          <t>진화명</t>
        </is>
      </c>
      <c r="L10" s="10" t="inlineStr">
        <is>
          <t>플러스 수치</t>
        </is>
      </c>
      <c r="M10" s="11" t="inlineStr">
        <is>
          <t>+OVR</t>
        </is>
      </c>
      <c r="N10" s="10" t="inlineStr">
        <is>
          <t>MAX OVR</t>
        </is>
      </c>
      <c r="O10" s="10" t="inlineStr">
        <is>
          <t>포지션 제한</t>
        </is>
      </c>
      <c r="P10" s="10" t="inlineStr">
        <is>
          <t>OVR 제한</t>
        </is>
      </c>
      <c r="Q10" s="10" t="inlineStr">
        <is>
          <t>기타 요구조건</t>
        </is>
      </c>
    </row>
    <row r="11" hidden="1" ht="24" customHeight="1">
      <c r="H11" s="39" t="inlineStr">
        <is>
          <t>1위</t>
        </is>
      </c>
      <c r="I11" s="12" t="n">
        <v>1</v>
      </c>
      <c r="J11" s="13">
        <f>_xlfn.MAXIFS(INDIRECT("Evo[Max "&amp;$J$9&amp;"]"),INDIRECT("Evo[Max "&amp;$J$9&amp;"]"),"&gt;0")</f>
        <v/>
      </c>
      <c r="K11" s="14">
        <f t="array" ref="K11">IFERROR(INDEX(Evo[Evolution_Name],_xlfn.AGGREGATE(15,6,(ROW(Evo[Evolution_Name])-MIN(ROW(Evo[Evolution_Name]))+1)/((INDIRECT("Evo[Max "&amp;$J$9&amp;"]")=$J11)*(INDIRECT("Evo[Max "&amp;$J$9&amp;"]")&gt;0)),$I11)),"")</f>
        <v/>
      </c>
      <c r="L11" s="13">
        <f t="array" ref="L11">IFERROR(INDEX(INDIRECT("Evo[+ "&amp;$J$9&amp;"]"),_xlfn.AGGREGATE(15,6,(ROW(Evo[Evolution_Name])-MIN(ROW(Evo[Evolution_Name]))+1)/((INDIRECT("Evo[Max "&amp;$J$9&amp;"]")=$J11)*(INDIRECT("Evo[Max "&amp;$J$9&amp;"]")&gt;0)),$I11)),"")</f>
        <v/>
      </c>
      <c r="M11" s="13">
        <f t="array" ref="M11">IFERROR(INDEX(INDIRECT("Evo[+ OVR]"),_xlfn.AGGREGATE(15,6,(ROW(Evo[Evolution_Name])-MIN(ROW(Evo[Evolution_Name]))+1)/((INDIRECT("Evo[Max "&amp;$J$9&amp;"]")=$J11)*(INDIRECT("Evo[Max "&amp;$J$9&amp;"]")&gt;0)),$I11)),"")</f>
        <v/>
      </c>
      <c r="N11" s="13">
        <f t="array" ref="N11">IFERROR(INDEX(INDIRECT("Evo[Max OVR]"),_xlfn.AGGREGATE(15,6,(ROW(Evo[Evolution_Name])-MIN(ROW(Evo[Evolution_Name]))+1)/((INDIRECT("Evo[Max "&amp;$J$9&amp;"]")=$J11)*(INDIRECT("Evo[Max "&amp;$J$9&amp;"]")&gt;0)),$I11)),"")</f>
        <v/>
      </c>
      <c r="O11" s="13">
        <f t="array" ref="O11">IFERROR(INDEX(INDIRECT("Evo[Req_Position]"),_xlfn.AGGREGATE(15,6,(ROW(Evo[Evolution_Name])-MIN(ROW(Evo[Evolution_Name]))+1)/((INDIRECT("Evo[Max "&amp;$J$9&amp;"]")=$J11)*(INDIRECT("Evo[Max "&amp;$J$9&amp;"]")&gt;0)),$I11)),"")</f>
        <v/>
      </c>
      <c r="P11" s="13">
        <f t="array" ref="P11">IFERROR(INDEX(INDIRECT("Evo[Req_OVR_Max]"),_xlfn.AGGREGATE(15,6,(ROW(Evo[Evolution_Name])-MIN(ROW(Evo[Evolution_Name]))+1)/((INDIRECT("Evo[Max "&amp;$J$9&amp;"]")=$J11)*(INDIRECT("Evo[Max "&amp;$J$9&amp;"]")&gt;0)),$I11)),"")</f>
        <v/>
      </c>
      <c r="Q11" s="13">
        <f t="array" ref="Q11">IFERROR(INDEX(INDIRECT("Evo[Req_Other]"),_xlfn.AGGREGATE(15,6,(ROW(Evo[Evolution_Name])-MIN(ROW(Evo[Evolution_Name]))+1)/((INDIRECT("Evo[Max "&amp;$J$9&amp;"]")=$J11)*(INDIRECT("Evo[Max "&amp;$J$9&amp;"]")&gt;0)),$I11)),"")</f>
        <v/>
      </c>
    </row>
    <row r="12" hidden="1" ht="36" customHeight="1">
      <c r="H12" s="40" t="n"/>
      <c r="I12" s="12" t="n">
        <v>2</v>
      </c>
      <c r="J12" s="13">
        <f>_xlfn.MAXIFS(INDIRECT("Evo[Max "&amp;$J$9&amp;"]"),INDIRECT("Evo[Max "&amp;$J$9&amp;"]"),"&gt;0")</f>
        <v/>
      </c>
      <c r="K12" s="14">
        <f t="array" ref="K12">IFERROR(INDEX(Evo[Evolution_Name],_xlfn.AGGREGATE(15,6,(ROW(Evo[Evolution_Name])-MIN(ROW(Evo[Evolution_Name]))+1)/((INDIRECT("Evo[Max "&amp;$J$9&amp;"]")=$J12)*(INDIRECT("Evo[Max "&amp;$J$9&amp;"]")&gt;0)),$I12)),"")</f>
        <v/>
      </c>
      <c r="L12" s="13">
        <f t="array" ref="L12">IFERROR(INDEX(INDIRECT("Evo[+ "&amp;$J$9&amp;"]"),_xlfn.AGGREGATE(15,6,(ROW(Evo[Evolution_Name])-MIN(ROW(Evo[Evolution_Name]))+1)/((INDIRECT("Evo[Max "&amp;$J$9&amp;"]")=$J12)*(INDIRECT("Evo[Max "&amp;$J$9&amp;"]")&gt;0)),$I12)),"")</f>
        <v/>
      </c>
      <c r="M12" s="13">
        <f t="array" ref="M12">IFERROR(INDEX(INDIRECT("Evo[+ OVR]"),_xlfn.AGGREGATE(15,6,(ROW(Evo[Evolution_Name])-MIN(ROW(Evo[Evolution_Name]))+1)/((INDIRECT("Evo[Max "&amp;$J$9&amp;"]")=$J12)*(INDIRECT("Evo[Max "&amp;$J$9&amp;"]")&gt;0)),$I12)),"")</f>
        <v/>
      </c>
      <c r="N12" s="13">
        <f t="array" ref="N12">IFERROR(INDEX(INDIRECT("Evo[Max OVR]"),_xlfn.AGGREGATE(15,6,(ROW(Evo[Evolution_Name])-MIN(ROW(Evo[Evolution_Name]))+1)/((INDIRECT("Evo[Max "&amp;$J$9&amp;"]")=$J12)*(INDIRECT("Evo[Max "&amp;$J$9&amp;"]")&gt;0)),$I12)),"")</f>
        <v/>
      </c>
      <c r="O12" s="13">
        <f t="array" ref="O12">IFERROR(INDEX(INDIRECT("Evo[Req_Position]"),_xlfn.AGGREGATE(15,6,(ROW(Evo[Evolution_Name])-MIN(ROW(Evo[Evolution_Name]))+1)/((INDIRECT("Evo[Max "&amp;$J$9&amp;"]")=$J12)*(INDIRECT("Evo[Max "&amp;$J$9&amp;"]")&gt;0)),$I12)),"")</f>
        <v/>
      </c>
      <c r="P12" s="13">
        <f t="array" ref="P12">IFERROR(INDEX(INDIRECT("Evo[Req_OVR_Max]"),_xlfn.AGGREGATE(15,6,(ROW(Evo[Evolution_Name])-MIN(ROW(Evo[Evolution_Name]))+1)/((INDIRECT("Evo[Max "&amp;$J$9&amp;"]")=$J12)*(INDIRECT("Evo[Max "&amp;$J$9&amp;"]")&gt;0)),$I12)),"")</f>
        <v/>
      </c>
      <c r="Q12" s="13">
        <f t="array" ref="Q12">IFERROR(INDEX(INDIRECT("Evo[Req_Other]"),_xlfn.AGGREGATE(15,6,(ROW(Evo[Evolution_Name])-MIN(ROW(Evo[Evolution_Name]))+1)/((INDIRECT("Evo[Max "&amp;$J$9&amp;"]")=$J12)*(INDIRECT("Evo[Max "&amp;$J$9&amp;"]")&gt;0)),$I12)),"")</f>
        <v/>
      </c>
    </row>
    <row r="13" hidden="1">
      <c r="H13" s="40" t="n"/>
      <c r="I13" s="12" t="n">
        <v>3</v>
      </c>
      <c r="J13" s="13">
        <f>_xlfn.MAXIFS(INDIRECT("Evo[Max "&amp;$J$9&amp;"]"),INDIRECT("Evo[Max "&amp;$J$9&amp;"]"),"&gt;0")</f>
        <v/>
      </c>
      <c r="K13" s="14">
        <f t="array" ref="K13">IFERROR(INDEX(Evo[Evolution_Name],_xlfn.AGGREGATE(15,6,(ROW(Evo[Evolution_Name])-MIN(ROW(Evo[Evolution_Name]))+1)/((INDIRECT("Evo[Max "&amp;$J$9&amp;"]")=$J13)*(INDIRECT("Evo[Max "&amp;$J$9&amp;"]")&gt;0)),$I13)),"")</f>
        <v/>
      </c>
      <c r="L13" s="13">
        <f t="array" ref="L13">IFERROR(INDEX(INDIRECT("Evo[+ "&amp;$J$9&amp;"]"),_xlfn.AGGREGATE(15,6,(ROW(Evo[Evolution_Name])-MIN(ROW(Evo[Evolution_Name]))+1)/((INDIRECT("Evo[Max "&amp;$J$9&amp;"]")=$J13)*(INDIRECT("Evo[Max "&amp;$J$9&amp;"]")&gt;0)),$I13)),"")</f>
        <v/>
      </c>
      <c r="M13" s="13">
        <f t="array" ref="M13">IFERROR(INDEX(INDIRECT("Evo[+ OVR]"),_xlfn.AGGREGATE(15,6,(ROW(Evo[Evolution_Name])-MIN(ROW(Evo[Evolution_Name]))+1)/((INDIRECT("Evo[Max "&amp;$J$9&amp;"]")=$J13)*(INDIRECT("Evo[Max "&amp;$J$9&amp;"]")&gt;0)),$I13)),"")</f>
        <v/>
      </c>
      <c r="N13" s="13">
        <f t="array" ref="N13">IFERROR(INDEX(INDIRECT("Evo[Max OVR]"),_xlfn.AGGREGATE(15,6,(ROW(Evo[Evolution_Name])-MIN(ROW(Evo[Evolution_Name]))+1)/((INDIRECT("Evo[Max "&amp;$J$9&amp;"]")=$J13)*(INDIRECT("Evo[Max "&amp;$J$9&amp;"]")&gt;0)),$I13)),"")</f>
        <v/>
      </c>
      <c r="O13" s="13">
        <f t="array" ref="O13">IFERROR(INDEX(INDIRECT("Evo[Req_Position]"),_xlfn.AGGREGATE(15,6,(ROW(Evo[Evolution_Name])-MIN(ROW(Evo[Evolution_Name]))+1)/((INDIRECT("Evo[Max "&amp;$J$9&amp;"]")=$J13)*(INDIRECT("Evo[Max "&amp;$J$9&amp;"]")&gt;0)),$I13)),"")</f>
        <v/>
      </c>
      <c r="P13" s="13">
        <f t="array" ref="P13">IFERROR(INDEX(INDIRECT("Evo[Req_OVR_Max]"),_xlfn.AGGREGATE(15,6,(ROW(Evo[Evolution_Name])-MIN(ROW(Evo[Evolution_Name]))+1)/((INDIRECT("Evo[Max "&amp;$J$9&amp;"]")=$J13)*(INDIRECT("Evo[Max "&amp;$J$9&amp;"]")&gt;0)),$I13)),"")</f>
        <v/>
      </c>
      <c r="Q13" s="13">
        <f t="array" ref="Q13">IFERROR(INDEX(INDIRECT("Evo[Req_Other]"),_xlfn.AGGREGATE(15,6,(ROW(Evo[Evolution_Name])-MIN(ROW(Evo[Evolution_Name]))+1)/((INDIRECT("Evo[Max "&amp;$J$9&amp;"]")=$J13)*(INDIRECT("Evo[Max "&amp;$J$9&amp;"]")&gt;0)),$I13)),"")</f>
        <v/>
      </c>
    </row>
    <row r="14" hidden="1">
      <c r="H14" s="40" t="n"/>
      <c r="I14" s="12" t="n">
        <v>4</v>
      </c>
      <c r="J14" s="13">
        <f>_xlfn.MAXIFS(INDIRECT("Evo[Max "&amp;$J$9&amp;"]"),INDIRECT("Evo[Max "&amp;$J$9&amp;"]"),"&gt;0")</f>
        <v/>
      </c>
      <c r="K14" s="14">
        <f t="array" ref="K14">IFERROR(INDEX(Evo[Evolution_Name],_xlfn.AGGREGATE(15,6,(ROW(Evo[Evolution_Name])-MIN(ROW(Evo[Evolution_Name]))+1)/((INDIRECT("Evo[Max "&amp;$J$9&amp;"]")=$J14)*(INDIRECT("Evo[Max "&amp;$J$9&amp;"]")&gt;0)),$I14)),"")</f>
        <v/>
      </c>
      <c r="L14" s="13">
        <f t="array" ref="L14">IFERROR(INDEX(INDIRECT("Evo[+ "&amp;$J$9&amp;"]"),_xlfn.AGGREGATE(15,6,(ROW(Evo[Evolution_Name])-MIN(ROW(Evo[Evolution_Name]))+1)/((INDIRECT("Evo[Max "&amp;$J$9&amp;"]")=$J14)*(INDIRECT("Evo[Max "&amp;$J$9&amp;"]")&gt;0)),$I14)),"")</f>
        <v/>
      </c>
      <c r="M14" s="13">
        <f t="array" ref="M14">IFERROR(INDEX(INDIRECT("Evo[+ OVR]"),_xlfn.AGGREGATE(15,6,(ROW(Evo[Evolution_Name])-MIN(ROW(Evo[Evolution_Name]))+1)/((INDIRECT("Evo[Max "&amp;$J$9&amp;"]")=$J14)*(INDIRECT("Evo[Max "&amp;$J$9&amp;"]")&gt;0)),$I14)),"")</f>
        <v/>
      </c>
      <c r="N14" s="13">
        <f t="array" ref="N14">IFERROR(INDEX(INDIRECT("Evo[Max OVR]"),_xlfn.AGGREGATE(15,6,(ROW(Evo[Evolution_Name])-MIN(ROW(Evo[Evolution_Name]))+1)/((INDIRECT("Evo[Max "&amp;$J$9&amp;"]")=$J14)*(INDIRECT("Evo[Max "&amp;$J$9&amp;"]")&gt;0)),$I14)),"")</f>
        <v/>
      </c>
      <c r="O14" s="13">
        <f t="array" ref="O14">IFERROR(INDEX(INDIRECT("Evo[Req_Position]"),_xlfn.AGGREGATE(15,6,(ROW(Evo[Evolution_Name])-MIN(ROW(Evo[Evolution_Name]))+1)/((INDIRECT("Evo[Max "&amp;$J$9&amp;"]")=$J14)*(INDIRECT("Evo[Max "&amp;$J$9&amp;"]")&gt;0)),$I14)),"")</f>
        <v/>
      </c>
      <c r="P14" s="13">
        <f t="array" ref="P14">IFERROR(INDEX(INDIRECT("Evo[Req_OVR_Max]"),_xlfn.AGGREGATE(15,6,(ROW(Evo[Evolution_Name])-MIN(ROW(Evo[Evolution_Name]))+1)/((INDIRECT("Evo[Max "&amp;$J$9&amp;"]")=$J14)*(INDIRECT("Evo[Max "&amp;$J$9&amp;"]")&gt;0)),$I14)),"")</f>
        <v/>
      </c>
      <c r="Q14" s="13">
        <f t="array" ref="Q14">IFERROR(INDEX(INDIRECT("Evo[Req_Other]"),_xlfn.AGGREGATE(15,6,(ROW(Evo[Evolution_Name])-MIN(ROW(Evo[Evolution_Name]))+1)/((INDIRECT("Evo[Max "&amp;$J$9&amp;"]")=$J14)*(INDIRECT("Evo[Max "&amp;$J$9&amp;"]")&gt;0)),$I14)),"")</f>
        <v/>
      </c>
    </row>
    <row r="15" hidden="1">
      <c r="H15" s="38" t="n"/>
      <c r="I15" s="12" t="n">
        <v>5</v>
      </c>
      <c r="J15" s="13">
        <f>_xlfn.MAXIFS(INDIRECT("Evo[Max "&amp;$J$9&amp;"]"),INDIRECT("Evo[Max "&amp;$J$9&amp;"]"),"&gt;0")</f>
        <v/>
      </c>
      <c r="K15" s="14">
        <f t="array" ref="K15">IFERROR(INDEX(Evo[Evolution_Name],_xlfn.AGGREGATE(15,6,(ROW(Evo[Evolution_Name])-MIN(ROW(Evo[Evolution_Name]))+1)/((INDIRECT("Evo[Max "&amp;$J$9&amp;"]")=$J15)*(INDIRECT("Evo[Max "&amp;$J$9&amp;"]")&gt;0)),$I15)),"")</f>
        <v/>
      </c>
      <c r="L15" s="13">
        <f t="array" ref="L15">IFERROR(INDEX(INDIRECT("Evo[+ "&amp;$J$9&amp;"]"),_xlfn.AGGREGATE(15,6,(ROW(Evo[Evolution_Name])-MIN(ROW(Evo[Evolution_Name]))+1)/((INDIRECT("Evo[Max "&amp;$J$9&amp;"]")=$J15)*(INDIRECT("Evo[Max "&amp;$J$9&amp;"]")&gt;0)),$I15)),"")</f>
        <v/>
      </c>
      <c r="M15" s="13">
        <f t="array" ref="M15">IFERROR(INDEX(INDIRECT("Evo[+ OVR]"),_xlfn.AGGREGATE(15,6,(ROW(Evo[Evolution_Name])-MIN(ROW(Evo[Evolution_Name]))+1)/((INDIRECT("Evo[Max "&amp;$J$9&amp;"]")=$J15)*(INDIRECT("Evo[Max "&amp;$J$9&amp;"]")&gt;0)),$I15)),"")</f>
        <v/>
      </c>
      <c r="N15" s="13">
        <f t="array" ref="N15">IFERROR(INDEX(INDIRECT("Evo[Max OVR]"),_xlfn.AGGREGATE(15,6,(ROW(Evo[Evolution_Name])-MIN(ROW(Evo[Evolution_Name]))+1)/((INDIRECT("Evo[Max "&amp;$J$9&amp;"]")=$J15)*(INDIRECT("Evo[Max "&amp;$J$9&amp;"]")&gt;0)),$I15)),"")</f>
        <v/>
      </c>
      <c r="O15" s="13">
        <f t="array" ref="O15">IFERROR(INDEX(INDIRECT("Evo[Req_Position]"),_xlfn.AGGREGATE(15,6,(ROW(Evo[Evolution_Name])-MIN(ROW(Evo[Evolution_Name]))+1)/((INDIRECT("Evo[Max "&amp;$J$9&amp;"]")=$J15)*(INDIRECT("Evo[Max "&amp;$J$9&amp;"]")&gt;0)),$I15)),"")</f>
        <v/>
      </c>
      <c r="P15" s="13">
        <f t="array" ref="P15">IFERROR(INDEX(INDIRECT("Evo[Req_OVR_Max]"),_xlfn.AGGREGATE(15,6,(ROW(Evo[Evolution_Name])-MIN(ROW(Evo[Evolution_Name]))+1)/((INDIRECT("Evo[Max "&amp;$J$9&amp;"]")=$J15)*(INDIRECT("Evo[Max "&amp;$J$9&amp;"]")&gt;0)),$I15)),"")</f>
        <v/>
      </c>
      <c r="Q15" s="13">
        <f t="array" ref="Q15">IFERROR(INDEX(INDIRECT("Evo[Req_Other]"),_xlfn.AGGREGATE(15,6,(ROW(Evo[Evolution_Name])-MIN(ROW(Evo[Evolution_Name]))+1)/((INDIRECT("Evo[Max "&amp;$J$9&amp;"]")=$J15)*(INDIRECT("Evo[Max "&amp;$J$9&amp;"]")&gt;0)),$I15)),"")</f>
        <v/>
      </c>
    </row>
    <row r="16" hidden="1" ht="36" customHeight="1">
      <c r="H16" s="39" t="inlineStr">
        <is>
          <t>2위</t>
        </is>
      </c>
      <c r="I16" s="12" t="n">
        <v>1</v>
      </c>
      <c r="J16" s="13">
        <f>_xlfn.MAXIFS(INDIRECT("Evo[Max "&amp;$J$9&amp;"]"),INDIRECT("Evo[Max "&amp;$J$9&amp;"]"),"&lt;"&amp;$J$11,INDIRECT("Evo[Max "&amp;$J$9&amp;"]"),"&gt;0")</f>
        <v/>
      </c>
      <c r="K16" s="14">
        <f t="array" ref="K16">IFERROR(INDEX(Evo[Evolution_Name],_xlfn.AGGREGATE(15,6,(ROW(Evo[Evolution_Name])-MIN(ROW(Evo[Evolution_Name]))+1)/((INDIRECT("Evo[Max "&amp;$J$9&amp;"]")=$J16)*(INDIRECT("Evo[Max "&amp;$J$9&amp;"]")&gt;0)),$I16)),"")</f>
        <v/>
      </c>
      <c r="L16" s="13">
        <f t="array" ref="L16">IFERROR(INDEX(INDIRECT("Evo[+ "&amp;$J$9&amp;"]"),_xlfn.AGGREGATE(15,6,(ROW(Evo[Evolution_Name])-MIN(ROW(Evo[Evolution_Name]))+1)/((INDIRECT("Evo[Max "&amp;$J$9&amp;"]")=$J16)*(INDIRECT("Evo[Max "&amp;$J$9&amp;"]")&gt;0)),$I16)),"")</f>
        <v/>
      </c>
      <c r="M16" s="13">
        <f t="array" ref="M16">IFERROR(INDEX(INDIRECT("Evo[+ OVR]"),_xlfn.AGGREGATE(15,6,(ROW(Evo[Evolution_Name])-MIN(ROW(Evo[Evolution_Name]))+1)/((INDIRECT("Evo[Max "&amp;$J$9&amp;"]")=$J16)*(INDIRECT("Evo[Max "&amp;$J$9&amp;"]")&gt;0)),$I16)),"")</f>
        <v/>
      </c>
      <c r="N16" s="13">
        <f t="array" ref="N16">IFERROR(INDEX(INDIRECT("Evo[Max OVR]"),_xlfn.AGGREGATE(15,6,(ROW(Evo[Evolution_Name])-MIN(ROW(Evo[Evolution_Name]))+1)/((INDIRECT("Evo[Max "&amp;$J$9&amp;"]")=$J16)*(INDIRECT("Evo[Max "&amp;$J$9&amp;"]")&gt;0)),$I16)),"")</f>
        <v/>
      </c>
      <c r="O16" s="13">
        <f t="array" ref="O16">IFERROR(INDEX(INDIRECT("Evo[Req_Position]"),_xlfn.AGGREGATE(15,6,(ROW(Evo[Evolution_Name])-MIN(ROW(Evo[Evolution_Name]))+1)/((INDIRECT("Evo[Max "&amp;$J$9&amp;"]")=$J16)*(INDIRECT("Evo[Max "&amp;$J$9&amp;"]")&gt;0)),$I16)),"")</f>
        <v/>
      </c>
      <c r="P16" s="13">
        <f t="array" ref="P16">IFERROR(INDEX(INDIRECT("Evo[Req_OVR_Max]"),_xlfn.AGGREGATE(15,6,(ROW(Evo[Evolution_Name])-MIN(ROW(Evo[Evolution_Name]))+1)/((INDIRECT("Evo[Max "&amp;$J$9&amp;"]")=$J16)*(INDIRECT("Evo[Max "&amp;$J$9&amp;"]")&gt;0)),$I16)),"")</f>
        <v/>
      </c>
      <c r="Q16" s="13">
        <f t="array" ref="Q16">IFERROR(INDEX(INDIRECT("Evo[Req_Other]"),_xlfn.AGGREGATE(15,6,(ROW(Evo[Evolution_Name])-MIN(ROW(Evo[Evolution_Name]))+1)/((INDIRECT("Evo[Max "&amp;$J$9&amp;"]")=$J16)*(INDIRECT("Evo[Max "&amp;$J$9&amp;"]")&gt;0)),$I16)),"")</f>
        <v/>
      </c>
    </row>
    <row r="17" hidden="1">
      <c r="H17" s="40" t="n"/>
      <c r="I17" s="12" t="n">
        <v>2</v>
      </c>
      <c r="J17" s="13">
        <f>_xlfn.MAXIFS(INDIRECT("Evo[Max "&amp;$J$9&amp;"]"),INDIRECT("Evo[Max "&amp;$J$9&amp;"]"),"&lt;"&amp;$J$11,INDIRECT("Evo[Max "&amp;$J$9&amp;"]"),"&gt;0")</f>
        <v/>
      </c>
      <c r="K17" s="14">
        <f t="array" ref="K17">IFERROR(INDEX(Evo[Evolution_Name],_xlfn.AGGREGATE(15,6,(ROW(Evo[Evolution_Name])-MIN(ROW(Evo[Evolution_Name]))+1)/((INDIRECT("Evo[Max "&amp;$J$9&amp;"]")=$J17)*(INDIRECT("Evo[Max "&amp;$J$9&amp;"]")&gt;0)),$I17)),"")</f>
        <v/>
      </c>
      <c r="L17" s="13">
        <f t="array" ref="L17">IFERROR(INDEX(INDIRECT("Evo[+ "&amp;$J$9&amp;"]"),_xlfn.AGGREGATE(15,6,(ROW(Evo[Evolution_Name])-MIN(ROW(Evo[Evolution_Name]))+1)/((INDIRECT("Evo[Max "&amp;$J$9&amp;"]")=$J17)*(INDIRECT("Evo[Max "&amp;$J$9&amp;"]")&gt;0)),$I17)),"")</f>
        <v/>
      </c>
      <c r="M17" s="13">
        <f t="array" ref="M17">IFERROR(INDEX(INDIRECT("Evo[+ OVR]"),_xlfn.AGGREGATE(15,6,(ROW(Evo[Evolution_Name])-MIN(ROW(Evo[Evolution_Name]))+1)/((INDIRECT("Evo[Max "&amp;$J$9&amp;"]")=$J17)*(INDIRECT("Evo[Max "&amp;$J$9&amp;"]")&gt;0)),$I17)),"")</f>
        <v/>
      </c>
      <c r="N17" s="13">
        <f t="array" ref="N17">IFERROR(INDEX(INDIRECT("Evo[Max OVR]"),_xlfn.AGGREGATE(15,6,(ROW(Evo[Evolution_Name])-MIN(ROW(Evo[Evolution_Name]))+1)/((INDIRECT("Evo[Max "&amp;$J$9&amp;"]")=$J17)*(INDIRECT("Evo[Max "&amp;$J$9&amp;"]")&gt;0)),$I17)),"")</f>
        <v/>
      </c>
      <c r="O17" s="13">
        <f t="array" ref="O17">IFERROR(INDEX(INDIRECT("Evo[Req_Position]"),_xlfn.AGGREGATE(15,6,(ROW(Evo[Evolution_Name])-MIN(ROW(Evo[Evolution_Name]))+1)/((INDIRECT("Evo[Max "&amp;$J$9&amp;"]")=$J17)*(INDIRECT("Evo[Max "&amp;$J$9&amp;"]")&gt;0)),$I17)),"")</f>
        <v/>
      </c>
      <c r="P17" s="13">
        <f t="array" ref="P17">IFERROR(INDEX(INDIRECT("Evo[Req_OVR_Max]"),_xlfn.AGGREGATE(15,6,(ROW(Evo[Evolution_Name])-MIN(ROW(Evo[Evolution_Name]))+1)/((INDIRECT("Evo[Max "&amp;$J$9&amp;"]")=$J17)*(INDIRECT("Evo[Max "&amp;$J$9&amp;"]")&gt;0)),$I17)),"")</f>
        <v/>
      </c>
      <c r="Q17" s="13">
        <f t="array" ref="Q17">IFERROR(INDEX(INDIRECT("Evo[Req_Other]"),_xlfn.AGGREGATE(15,6,(ROW(Evo[Evolution_Name])-MIN(ROW(Evo[Evolution_Name]))+1)/((INDIRECT("Evo[Max "&amp;$J$9&amp;"]")=$J17)*(INDIRECT("Evo[Max "&amp;$J$9&amp;"]")&gt;0)),$I17)),"")</f>
        <v/>
      </c>
    </row>
    <row r="18" hidden="1">
      <c r="H18" s="40" t="n"/>
      <c r="I18" s="12" t="n">
        <v>3</v>
      </c>
      <c r="J18" s="13">
        <f>_xlfn.MAXIFS(INDIRECT("Evo[Max "&amp;$J$9&amp;"]"),INDIRECT("Evo[Max "&amp;$J$9&amp;"]"),"&lt;"&amp;$J$11,INDIRECT("Evo[Max "&amp;$J$9&amp;"]"),"&gt;0")</f>
        <v/>
      </c>
      <c r="K18" s="14">
        <f t="array" ref="K18">IFERROR(INDEX(Evo[Evolution_Name],_xlfn.AGGREGATE(15,6,(ROW(Evo[Evolution_Name])-MIN(ROW(Evo[Evolution_Name]))+1)/((INDIRECT("Evo[Max "&amp;$J$9&amp;"]")=$J18)*(INDIRECT("Evo[Max "&amp;$J$9&amp;"]")&gt;0)),$I18)),"")</f>
        <v/>
      </c>
      <c r="L18" s="13">
        <f t="array" ref="L18">IFERROR(INDEX(INDIRECT("Evo[+ "&amp;$J$9&amp;"]"),_xlfn.AGGREGATE(15,6,(ROW(Evo[Evolution_Name])-MIN(ROW(Evo[Evolution_Name]))+1)/((INDIRECT("Evo[Max "&amp;$J$9&amp;"]")=$J18)*(INDIRECT("Evo[Max "&amp;$J$9&amp;"]")&gt;0)),$I18)),"")</f>
        <v/>
      </c>
      <c r="M18" s="13">
        <f t="array" ref="M18">IFERROR(INDEX(INDIRECT("Evo[+ OVR]"),_xlfn.AGGREGATE(15,6,(ROW(Evo[Evolution_Name])-MIN(ROW(Evo[Evolution_Name]))+1)/((INDIRECT("Evo[Max "&amp;$J$9&amp;"]")=$J18)*(INDIRECT("Evo[Max "&amp;$J$9&amp;"]")&gt;0)),$I18)),"")</f>
        <v/>
      </c>
      <c r="N18" s="13">
        <f t="array" ref="N18">IFERROR(INDEX(INDIRECT("Evo[Max OVR]"),_xlfn.AGGREGATE(15,6,(ROW(Evo[Evolution_Name])-MIN(ROW(Evo[Evolution_Name]))+1)/((INDIRECT("Evo[Max "&amp;$J$9&amp;"]")=$J18)*(INDIRECT("Evo[Max "&amp;$J$9&amp;"]")&gt;0)),$I18)),"")</f>
        <v/>
      </c>
      <c r="O18" s="13">
        <f t="array" ref="O18">IFERROR(INDEX(INDIRECT("Evo[Req_Position]"),_xlfn.AGGREGATE(15,6,(ROW(Evo[Evolution_Name])-MIN(ROW(Evo[Evolution_Name]))+1)/((INDIRECT("Evo[Max "&amp;$J$9&amp;"]")=$J18)*(INDIRECT("Evo[Max "&amp;$J$9&amp;"]")&gt;0)),$I18)),"")</f>
        <v/>
      </c>
      <c r="P18" s="13">
        <f t="array" ref="P18">IFERROR(INDEX(INDIRECT("Evo[Req_OVR_Max]"),_xlfn.AGGREGATE(15,6,(ROW(Evo[Evolution_Name])-MIN(ROW(Evo[Evolution_Name]))+1)/((INDIRECT("Evo[Max "&amp;$J$9&amp;"]")=$J18)*(INDIRECT("Evo[Max "&amp;$J$9&amp;"]")&gt;0)),$I18)),"")</f>
        <v/>
      </c>
      <c r="Q18" s="13">
        <f t="array" ref="Q18">IFERROR(INDEX(INDIRECT("Evo[Req_Other]"),_xlfn.AGGREGATE(15,6,(ROW(Evo[Evolution_Name])-MIN(ROW(Evo[Evolution_Name]))+1)/((INDIRECT("Evo[Max "&amp;$J$9&amp;"]")=$J18)*(INDIRECT("Evo[Max "&amp;$J$9&amp;"]")&gt;0)),$I18)),"")</f>
        <v/>
      </c>
    </row>
    <row r="19" hidden="1">
      <c r="H19" s="40" t="n"/>
      <c r="I19" s="12" t="n">
        <v>4</v>
      </c>
      <c r="J19" s="13">
        <f>_xlfn.MAXIFS(INDIRECT("Evo[Max "&amp;$J$9&amp;"]"),INDIRECT("Evo[Max "&amp;$J$9&amp;"]"),"&lt;"&amp;$J$11,INDIRECT("Evo[Max "&amp;$J$9&amp;"]"),"&gt;0")</f>
        <v/>
      </c>
      <c r="K19" s="14">
        <f t="array" ref="K19">IFERROR(INDEX(Evo[Evolution_Name],_xlfn.AGGREGATE(15,6,(ROW(Evo[Evolution_Name])-MIN(ROW(Evo[Evolution_Name]))+1)/((INDIRECT("Evo[Max "&amp;$J$9&amp;"]")=$J19)*(INDIRECT("Evo[Max "&amp;$J$9&amp;"]")&gt;0)),$I19)),"")</f>
        <v/>
      </c>
      <c r="L19" s="13">
        <f t="array" ref="L19">IFERROR(INDEX(INDIRECT("Evo[+ "&amp;$J$9&amp;"]"),_xlfn.AGGREGATE(15,6,(ROW(Evo[Evolution_Name])-MIN(ROW(Evo[Evolution_Name]))+1)/((INDIRECT("Evo[Max "&amp;$J$9&amp;"]")=$J19)*(INDIRECT("Evo[Max "&amp;$J$9&amp;"]")&gt;0)),$I19)),"")</f>
        <v/>
      </c>
      <c r="M19" s="13">
        <f t="array" ref="M19">IFERROR(INDEX(INDIRECT("Evo[+ OVR]"),_xlfn.AGGREGATE(15,6,(ROW(Evo[Evolution_Name])-MIN(ROW(Evo[Evolution_Name]))+1)/((INDIRECT("Evo[Max "&amp;$J$9&amp;"]")=$J19)*(INDIRECT("Evo[Max "&amp;$J$9&amp;"]")&gt;0)),$I19)),"")</f>
        <v/>
      </c>
      <c r="N19" s="13">
        <f t="array" ref="N19">IFERROR(INDEX(INDIRECT("Evo[Max OVR]"),_xlfn.AGGREGATE(15,6,(ROW(Evo[Evolution_Name])-MIN(ROW(Evo[Evolution_Name]))+1)/((INDIRECT("Evo[Max "&amp;$J$9&amp;"]")=$J19)*(INDIRECT("Evo[Max "&amp;$J$9&amp;"]")&gt;0)),$I19)),"")</f>
        <v/>
      </c>
      <c r="O19" s="13">
        <f t="array" ref="O19">IFERROR(INDEX(INDIRECT("Evo[Req_Position]"),_xlfn.AGGREGATE(15,6,(ROW(Evo[Evolution_Name])-MIN(ROW(Evo[Evolution_Name]))+1)/((INDIRECT("Evo[Max "&amp;$J$9&amp;"]")=$J19)*(INDIRECT("Evo[Max "&amp;$J$9&amp;"]")&gt;0)),$I19)),"")</f>
        <v/>
      </c>
      <c r="P19" s="13">
        <f t="array" ref="P19">IFERROR(INDEX(INDIRECT("Evo[Req_OVR_Max]"),_xlfn.AGGREGATE(15,6,(ROW(Evo[Evolution_Name])-MIN(ROW(Evo[Evolution_Name]))+1)/((INDIRECT("Evo[Max "&amp;$J$9&amp;"]")=$J19)*(INDIRECT("Evo[Max "&amp;$J$9&amp;"]")&gt;0)),$I19)),"")</f>
        <v/>
      </c>
      <c r="Q19" s="13">
        <f t="array" ref="Q19">IFERROR(INDEX(INDIRECT("Evo[Req_Other]"),_xlfn.AGGREGATE(15,6,(ROW(Evo[Evolution_Name])-MIN(ROW(Evo[Evolution_Name]))+1)/((INDIRECT("Evo[Max "&amp;$J$9&amp;"]")=$J19)*(INDIRECT("Evo[Max "&amp;$J$9&amp;"]")&gt;0)),$I19)),"")</f>
        <v/>
      </c>
    </row>
    <row r="20" hidden="1">
      <c r="H20" s="38" t="n"/>
      <c r="I20" s="12" t="n">
        <v>5</v>
      </c>
      <c r="J20" s="13">
        <f>_xlfn.MAXIFS(INDIRECT("Evo[Max "&amp;$J$9&amp;"]"),INDIRECT("Evo[Max "&amp;$J$9&amp;"]"),"&lt;"&amp;$J$11,INDIRECT("Evo[Max "&amp;$J$9&amp;"]"),"&gt;0")</f>
        <v/>
      </c>
      <c r="K20" s="14">
        <f t="array" ref="K20">IFERROR(INDEX(Evo[Evolution_Name],_xlfn.AGGREGATE(15,6,(ROW(Evo[Evolution_Name])-MIN(ROW(Evo[Evolution_Name]))+1)/((INDIRECT("Evo[Max "&amp;$J$9&amp;"]")=$J20)*(INDIRECT("Evo[Max "&amp;$J$9&amp;"]")&gt;0)),$I20)),"")</f>
        <v/>
      </c>
      <c r="L20" s="13">
        <f t="array" ref="L20">IFERROR(INDEX(INDIRECT("Evo[+ "&amp;$J$9&amp;"]"),_xlfn.AGGREGATE(15,6,(ROW(Evo[Evolution_Name])-MIN(ROW(Evo[Evolution_Name]))+1)/((INDIRECT("Evo[Max "&amp;$J$9&amp;"]")=$J20)*(INDIRECT("Evo[Max "&amp;$J$9&amp;"]")&gt;0)),$I20)),"")</f>
        <v/>
      </c>
      <c r="M20" s="13">
        <f t="array" ref="M20">IFERROR(INDEX(INDIRECT("Evo[+ OVR]"),_xlfn.AGGREGATE(15,6,(ROW(Evo[Evolution_Name])-MIN(ROW(Evo[Evolution_Name]))+1)/((INDIRECT("Evo[Max "&amp;$J$9&amp;"]")=$J20)*(INDIRECT("Evo[Max "&amp;$J$9&amp;"]")&gt;0)),$I20)),"")</f>
        <v/>
      </c>
      <c r="N20" s="13">
        <f t="array" ref="N20">IFERROR(INDEX(INDIRECT("Evo[Max OVR]"),_xlfn.AGGREGATE(15,6,(ROW(Evo[Evolution_Name])-MIN(ROW(Evo[Evolution_Name]))+1)/((INDIRECT("Evo[Max "&amp;$J$9&amp;"]")=$J20)*(INDIRECT("Evo[Max "&amp;$J$9&amp;"]")&gt;0)),$I20)),"")</f>
        <v/>
      </c>
      <c r="O20" s="13">
        <f t="array" ref="O20">IFERROR(INDEX(INDIRECT("Evo[Req_Position]"),_xlfn.AGGREGATE(15,6,(ROW(Evo[Evolution_Name])-MIN(ROW(Evo[Evolution_Name]))+1)/((INDIRECT("Evo[Max "&amp;$J$9&amp;"]")=$J20)*(INDIRECT("Evo[Max "&amp;$J$9&amp;"]")&gt;0)),$I20)),"")</f>
        <v/>
      </c>
      <c r="P20" s="13">
        <f t="array" ref="P20">IFERROR(INDEX(INDIRECT("Evo[Req_OVR_Max]"),_xlfn.AGGREGATE(15,6,(ROW(Evo[Evolution_Name])-MIN(ROW(Evo[Evolution_Name]))+1)/((INDIRECT("Evo[Max "&amp;$J$9&amp;"]")=$J20)*(INDIRECT("Evo[Max "&amp;$J$9&amp;"]")&gt;0)),$I20)),"")</f>
        <v/>
      </c>
      <c r="Q20" s="13">
        <f t="array" ref="Q20">IFERROR(INDEX(INDIRECT("Evo[Req_Other]"),_xlfn.AGGREGATE(15,6,(ROW(Evo[Evolution_Name])-MIN(ROW(Evo[Evolution_Name]))+1)/((INDIRECT("Evo[Max "&amp;$J$9&amp;"]")=$J20)*(INDIRECT("Evo[Max "&amp;$J$9&amp;"]")&gt;0)),$I20)),"")</f>
        <v/>
      </c>
    </row>
    <row r="21" hidden="1" ht="24" customHeight="1">
      <c r="H21" s="39" t="inlineStr">
        <is>
          <t>3위</t>
        </is>
      </c>
      <c r="I21" s="12" t="n">
        <v>1</v>
      </c>
      <c r="J21" s="13">
        <f>_xlfn.MAXIFS(INDIRECT("Evo[Max "&amp;$J$9&amp;"]"),INDIRECT("Evo[Max "&amp;$J$9&amp;"]"),"&lt;"&amp;$J$16,INDIRECT("Evo[Max "&amp;$J$9&amp;"]"),"&gt;0")</f>
        <v/>
      </c>
      <c r="K21" s="14">
        <f t="array" ref="K21">IFERROR(INDEX(Evo[Evolution_Name],_xlfn.AGGREGATE(15,6,(ROW(Evo[Evolution_Name])-MIN(ROW(Evo[Evolution_Name]))+1)/((INDIRECT("Evo[Max "&amp;$J$9&amp;"]")=$J21)*(INDIRECT("Evo[Max "&amp;$J$9&amp;"]")&gt;0)),$I21)),"")</f>
        <v/>
      </c>
      <c r="L21" s="13">
        <f t="array" ref="L21">IFERROR(INDEX(INDIRECT("Evo[+ "&amp;$J$9&amp;"]"),_xlfn.AGGREGATE(15,6,(ROW(Evo[Evolution_Name])-MIN(ROW(Evo[Evolution_Name]))+1)/((INDIRECT("Evo[Max "&amp;$J$9&amp;"]")=$J21)*(INDIRECT("Evo[Max "&amp;$J$9&amp;"]")&gt;0)),$I21)),"")</f>
        <v/>
      </c>
      <c r="M21" s="13">
        <f t="array" ref="M21">IFERROR(INDEX(INDIRECT("Evo[+ OVR]"),_xlfn.AGGREGATE(15,6,(ROW(Evo[Evolution_Name])-MIN(ROW(Evo[Evolution_Name]))+1)/((INDIRECT("Evo[Max "&amp;$J$9&amp;"]")=$J21)*(INDIRECT("Evo[Max "&amp;$J$9&amp;"]")&gt;0)),$I21)),"")</f>
        <v/>
      </c>
      <c r="N21" s="13">
        <f t="array" ref="N21">IFERROR(INDEX(INDIRECT("Evo[Max OVR]"),_xlfn.AGGREGATE(15,6,(ROW(Evo[Evolution_Name])-MIN(ROW(Evo[Evolution_Name]))+1)/((INDIRECT("Evo[Max "&amp;$J$9&amp;"]")=$J21)*(INDIRECT("Evo[Max "&amp;$J$9&amp;"]")&gt;0)),$I21)),"")</f>
        <v/>
      </c>
      <c r="O21" s="13">
        <f t="array" ref="O21">IFERROR(INDEX(INDIRECT("Evo[Req_Position]"),_xlfn.AGGREGATE(15,6,(ROW(Evo[Evolution_Name])-MIN(ROW(Evo[Evolution_Name]))+1)/((INDIRECT("Evo[Max "&amp;$J$9&amp;"]")=$J21)*(INDIRECT("Evo[Max "&amp;$J$9&amp;"]")&gt;0)),$I21)),"")</f>
        <v/>
      </c>
      <c r="P21" s="13">
        <f t="array" ref="P21">IFERROR(INDEX(INDIRECT("Evo[Req_OVR_Max]"),_xlfn.AGGREGATE(15,6,(ROW(Evo[Evolution_Name])-MIN(ROW(Evo[Evolution_Name]))+1)/((INDIRECT("Evo[Max "&amp;$J$9&amp;"]")=$J21)*(INDIRECT("Evo[Max "&amp;$J$9&amp;"]")&gt;0)),$I21)),"")</f>
        <v/>
      </c>
      <c r="Q21" s="13">
        <f t="array" ref="Q21">IFERROR(INDEX(INDIRECT("Evo[Req_Other]"),_xlfn.AGGREGATE(15,6,(ROW(Evo[Evolution_Name])-MIN(ROW(Evo[Evolution_Name]))+1)/((INDIRECT("Evo[Max "&amp;$J$9&amp;"]")=$J21)*(INDIRECT("Evo[Max "&amp;$J$9&amp;"]")&gt;0)),$I21)),"")</f>
        <v/>
      </c>
    </row>
    <row r="22" hidden="1" ht="36" customHeight="1">
      <c r="H22" s="40" t="n"/>
      <c r="I22" s="12" t="n">
        <v>2</v>
      </c>
      <c r="J22" s="13">
        <f>_xlfn.MAXIFS(INDIRECT("Evo[Max "&amp;$J$9&amp;"]"),INDIRECT("Evo[Max "&amp;$J$9&amp;"]"),"&lt;"&amp;$J$16,INDIRECT("Evo[Max "&amp;$J$9&amp;"]"),"&gt;0")</f>
        <v/>
      </c>
      <c r="K22" s="14">
        <f t="array" ref="K22">IFERROR(INDEX(Evo[Evolution_Name],_xlfn.AGGREGATE(15,6,(ROW(Evo[Evolution_Name])-MIN(ROW(Evo[Evolution_Name]))+1)/((INDIRECT("Evo[Max "&amp;$J$9&amp;"]")=$J22)*(INDIRECT("Evo[Max "&amp;$J$9&amp;"]")&gt;0)),$I22)),"")</f>
        <v/>
      </c>
      <c r="L22" s="13">
        <f t="array" ref="L22">IFERROR(INDEX(INDIRECT("Evo[+ "&amp;$J$9&amp;"]"),_xlfn.AGGREGATE(15,6,(ROW(Evo[Evolution_Name])-MIN(ROW(Evo[Evolution_Name]))+1)/((INDIRECT("Evo[Max "&amp;$J$9&amp;"]")=$J22)*(INDIRECT("Evo[Max "&amp;$J$9&amp;"]")&gt;0)),$I22)),"")</f>
        <v/>
      </c>
      <c r="M22" s="13">
        <f t="array" ref="M22">IFERROR(INDEX(INDIRECT("Evo[+ OVR]"),_xlfn.AGGREGATE(15,6,(ROW(Evo[Evolution_Name])-MIN(ROW(Evo[Evolution_Name]))+1)/((INDIRECT("Evo[Max "&amp;$J$9&amp;"]")=$J22)*(INDIRECT("Evo[Max "&amp;$J$9&amp;"]")&gt;0)),$I22)),"")</f>
        <v/>
      </c>
      <c r="N22" s="13">
        <f t="array" ref="N22">IFERROR(INDEX(INDIRECT("Evo[Max OVR]"),_xlfn.AGGREGATE(15,6,(ROW(Evo[Evolution_Name])-MIN(ROW(Evo[Evolution_Name]))+1)/((INDIRECT("Evo[Max "&amp;$J$9&amp;"]")=$J22)*(INDIRECT("Evo[Max "&amp;$J$9&amp;"]")&gt;0)),$I22)),"")</f>
        <v/>
      </c>
      <c r="O22" s="13">
        <f t="array" ref="O22">IFERROR(INDEX(INDIRECT("Evo[Req_Position]"),_xlfn.AGGREGATE(15,6,(ROW(Evo[Evolution_Name])-MIN(ROW(Evo[Evolution_Name]))+1)/((INDIRECT("Evo[Max "&amp;$J$9&amp;"]")=$J22)*(INDIRECT("Evo[Max "&amp;$J$9&amp;"]")&gt;0)),$I22)),"")</f>
        <v/>
      </c>
      <c r="P22" s="13">
        <f t="array" ref="P22">IFERROR(INDEX(INDIRECT("Evo[Req_OVR_Max]"),_xlfn.AGGREGATE(15,6,(ROW(Evo[Evolution_Name])-MIN(ROW(Evo[Evolution_Name]))+1)/((INDIRECT("Evo[Max "&amp;$J$9&amp;"]")=$J22)*(INDIRECT("Evo[Max "&amp;$J$9&amp;"]")&gt;0)),$I22)),"")</f>
        <v/>
      </c>
      <c r="Q22" s="13">
        <f t="array" ref="Q22">IFERROR(INDEX(INDIRECT("Evo[Req_Other]"),_xlfn.AGGREGATE(15,6,(ROW(Evo[Evolution_Name])-MIN(ROW(Evo[Evolution_Name]))+1)/((INDIRECT("Evo[Max "&amp;$J$9&amp;"]")=$J22)*(INDIRECT("Evo[Max "&amp;$J$9&amp;"]")&gt;0)),$I22)),"")</f>
        <v/>
      </c>
    </row>
    <row r="23" hidden="1">
      <c r="H23" s="40" t="n"/>
      <c r="I23" s="12" t="n">
        <v>3</v>
      </c>
      <c r="J23" s="13">
        <f>_xlfn.MAXIFS(INDIRECT("Evo[Max "&amp;$J$9&amp;"]"),INDIRECT("Evo[Max "&amp;$J$9&amp;"]"),"&lt;"&amp;$J$16,INDIRECT("Evo[Max "&amp;$J$9&amp;"]"),"&gt;0")</f>
        <v/>
      </c>
      <c r="K23" s="14">
        <f t="array" ref="K23">IFERROR(INDEX(Evo[Evolution_Name],_xlfn.AGGREGATE(15,6,(ROW(Evo[Evolution_Name])-MIN(ROW(Evo[Evolution_Name]))+1)/((INDIRECT("Evo[Max "&amp;$J$9&amp;"]")=$J23)*(INDIRECT("Evo[Max "&amp;$J$9&amp;"]")&gt;0)),$I23)),"")</f>
        <v/>
      </c>
      <c r="L23" s="13">
        <f t="array" ref="L23">IFERROR(INDEX(INDIRECT("Evo[+ "&amp;$J$9&amp;"]"),_xlfn.AGGREGATE(15,6,(ROW(Evo[Evolution_Name])-MIN(ROW(Evo[Evolution_Name]))+1)/((INDIRECT("Evo[Max "&amp;$J$9&amp;"]")=$J23)*(INDIRECT("Evo[Max "&amp;$J$9&amp;"]")&gt;0)),$I23)),"")</f>
        <v/>
      </c>
      <c r="M23" s="13">
        <f t="array" ref="M23">IFERROR(INDEX(INDIRECT("Evo[+ OVR]"),_xlfn.AGGREGATE(15,6,(ROW(Evo[Evolution_Name])-MIN(ROW(Evo[Evolution_Name]))+1)/((INDIRECT("Evo[Max "&amp;$J$9&amp;"]")=$J23)*(INDIRECT("Evo[Max "&amp;$J$9&amp;"]")&gt;0)),$I23)),"")</f>
        <v/>
      </c>
      <c r="N23" s="13">
        <f t="array" ref="N23">IFERROR(INDEX(INDIRECT("Evo[Max OVR]"),_xlfn.AGGREGATE(15,6,(ROW(Evo[Evolution_Name])-MIN(ROW(Evo[Evolution_Name]))+1)/((INDIRECT("Evo[Max "&amp;$J$9&amp;"]")=$J23)*(INDIRECT("Evo[Max "&amp;$J$9&amp;"]")&gt;0)),$I23)),"")</f>
        <v/>
      </c>
      <c r="O23" s="13">
        <f t="array" ref="O23">IFERROR(INDEX(INDIRECT("Evo[Req_Position]"),_xlfn.AGGREGATE(15,6,(ROW(Evo[Evolution_Name])-MIN(ROW(Evo[Evolution_Name]))+1)/((INDIRECT("Evo[Max "&amp;$J$9&amp;"]")=$J23)*(INDIRECT("Evo[Max "&amp;$J$9&amp;"]")&gt;0)),$I23)),"")</f>
        <v/>
      </c>
      <c r="P23" s="13">
        <f t="array" ref="P23">IFERROR(INDEX(INDIRECT("Evo[Req_OVR_Max]"),_xlfn.AGGREGATE(15,6,(ROW(Evo[Evolution_Name])-MIN(ROW(Evo[Evolution_Name]))+1)/((INDIRECT("Evo[Max "&amp;$J$9&amp;"]")=$J23)*(INDIRECT("Evo[Max "&amp;$J$9&amp;"]")&gt;0)),$I23)),"")</f>
        <v/>
      </c>
      <c r="Q23" s="13">
        <f t="array" ref="Q23">IFERROR(INDEX(INDIRECT("Evo[Req_Other]"),_xlfn.AGGREGATE(15,6,(ROW(Evo[Evolution_Name])-MIN(ROW(Evo[Evolution_Name]))+1)/((INDIRECT("Evo[Max "&amp;$J$9&amp;"]")=$J23)*(INDIRECT("Evo[Max "&amp;$J$9&amp;"]")&gt;0)),$I23)),"")</f>
        <v/>
      </c>
    </row>
    <row r="24" hidden="1">
      <c r="H24" s="40" t="n"/>
      <c r="I24" s="12" t="n">
        <v>4</v>
      </c>
      <c r="J24" s="13">
        <f>_xlfn.MAXIFS(INDIRECT("Evo[Max "&amp;$J$9&amp;"]"),INDIRECT("Evo[Max "&amp;$J$9&amp;"]"),"&lt;"&amp;$J$16,INDIRECT("Evo[Max "&amp;$J$9&amp;"]"),"&gt;0")</f>
        <v/>
      </c>
      <c r="K24" s="14">
        <f t="array" ref="K24">IFERROR(INDEX(Evo[Evolution_Name],_xlfn.AGGREGATE(15,6,(ROW(Evo[Evolution_Name])-MIN(ROW(Evo[Evolution_Name]))+1)/((INDIRECT("Evo[Max "&amp;$J$9&amp;"]")=$J24)*(INDIRECT("Evo[Max "&amp;$J$9&amp;"]")&gt;0)),$I24)),"")</f>
        <v/>
      </c>
      <c r="L24" s="13">
        <f t="array" ref="L24">IFERROR(INDEX(INDIRECT("Evo[+ "&amp;$J$9&amp;"]"),_xlfn.AGGREGATE(15,6,(ROW(Evo[Evolution_Name])-MIN(ROW(Evo[Evolution_Name]))+1)/((INDIRECT("Evo[Max "&amp;$J$9&amp;"]")=$J24)*(INDIRECT("Evo[Max "&amp;$J$9&amp;"]")&gt;0)),$I24)),"")</f>
        <v/>
      </c>
      <c r="M24" s="13">
        <f t="array" ref="M24">IFERROR(INDEX(INDIRECT("Evo[+ OVR]"),_xlfn.AGGREGATE(15,6,(ROW(Evo[Evolution_Name])-MIN(ROW(Evo[Evolution_Name]))+1)/((INDIRECT("Evo[Max "&amp;$J$9&amp;"]")=$J24)*(INDIRECT("Evo[Max "&amp;$J$9&amp;"]")&gt;0)),$I24)),"")</f>
        <v/>
      </c>
      <c r="N24" s="13">
        <f t="array" ref="N24">IFERROR(INDEX(INDIRECT("Evo[Max OVR]"),_xlfn.AGGREGATE(15,6,(ROW(Evo[Evolution_Name])-MIN(ROW(Evo[Evolution_Name]))+1)/((INDIRECT("Evo[Max "&amp;$J$9&amp;"]")=$J24)*(INDIRECT("Evo[Max "&amp;$J$9&amp;"]")&gt;0)),$I24)),"")</f>
        <v/>
      </c>
      <c r="O24" s="13">
        <f t="array" ref="O24">IFERROR(INDEX(INDIRECT("Evo[Req_Position]"),_xlfn.AGGREGATE(15,6,(ROW(Evo[Evolution_Name])-MIN(ROW(Evo[Evolution_Name]))+1)/((INDIRECT("Evo[Max "&amp;$J$9&amp;"]")=$J24)*(INDIRECT("Evo[Max "&amp;$J$9&amp;"]")&gt;0)),$I24)),"")</f>
        <v/>
      </c>
      <c r="P24" s="13">
        <f t="array" ref="P24">IFERROR(INDEX(INDIRECT("Evo[Req_OVR_Max]"),_xlfn.AGGREGATE(15,6,(ROW(Evo[Evolution_Name])-MIN(ROW(Evo[Evolution_Name]))+1)/((INDIRECT("Evo[Max "&amp;$J$9&amp;"]")=$J24)*(INDIRECT("Evo[Max "&amp;$J$9&amp;"]")&gt;0)),$I24)),"")</f>
        <v/>
      </c>
      <c r="Q24" s="13">
        <f t="array" ref="Q24">IFERROR(INDEX(INDIRECT("Evo[Req_Other]"),_xlfn.AGGREGATE(15,6,(ROW(Evo[Evolution_Name])-MIN(ROW(Evo[Evolution_Name]))+1)/((INDIRECT("Evo[Max "&amp;$J$9&amp;"]")=$J24)*(INDIRECT("Evo[Max "&amp;$J$9&amp;"]")&gt;0)),$I24)),"")</f>
        <v/>
      </c>
    </row>
    <row r="25" hidden="1">
      <c r="H25" s="38" t="n"/>
      <c r="I25" s="12" t="n">
        <v>5</v>
      </c>
      <c r="J25" s="13">
        <f>_xlfn.MAXIFS(INDIRECT("Evo[Max "&amp;$J$9&amp;"]"),INDIRECT("Evo[Max "&amp;$J$9&amp;"]"),"&lt;"&amp;$J$16,INDIRECT("Evo[Max "&amp;$J$9&amp;"]"),"&gt;0")</f>
        <v/>
      </c>
      <c r="K25" s="14">
        <f t="array" ref="K25">IFERROR(INDEX(Evo[Evolution_Name],_xlfn.AGGREGATE(15,6,(ROW(Evo[Evolution_Name])-MIN(ROW(Evo[Evolution_Name]))+1)/((INDIRECT("Evo[Max "&amp;$J$9&amp;"]")=$J25)*(INDIRECT("Evo[Max "&amp;$J$9&amp;"]")&gt;0)),$I25)),"")</f>
        <v/>
      </c>
      <c r="L25" s="13">
        <f t="array" ref="L25">IFERROR(INDEX(INDIRECT("Evo[+ "&amp;$J$9&amp;"]"),_xlfn.AGGREGATE(15,6,(ROW(Evo[Evolution_Name])-MIN(ROW(Evo[Evolution_Name]))+1)/((INDIRECT("Evo[Max "&amp;$J$9&amp;"]")=$J25)*(INDIRECT("Evo[Max "&amp;$J$9&amp;"]")&gt;0)),$I25)),"")</f>
        <v/>
      </c>
      <c r="M25" s="13">
        <f t="array" ref="M25">IFERROR(INDEX(INDIRECT("Evo[+ OVR]"),_xlfn.AGGREGATE(15,6,(ROW(Evo[Evolution_Name])-MIN(ROW(Evo[Evolution_Name]))+1)/((INDIRECT("Evo[Max "&amp;$J$9&amp;"]")=$J25)*(INDIRECT("Evo[Max "&amp;$J$9&amp;"]")&gt;0)),$I25)),"")</f>
        <v/>
      </c>
      <c r="N25" s="13">
        <f t="array" ref="N25">IFERROR(INDEX(INDIRECT("Evo[Max OVR]"),_xlfn.AGGREGATE(15,6,(ROW(Evo[Evolution_Name])-MIN(ROW(Evo[Evolution_Name]))+1)/((INDIRECT("Evo[Max "&amp;$J$9&amp;"]")=$J25)*(INDIRECT("Evo[Max "&amp;$J$9&amp;"]")&gt;0)),$I25)),"")</f>
        <v/>
      </c>
      <c r="O25" s="13">
        <f t="array" ref="O25">IFERROR(INDEX(INDIRECT("Evo[Req_Position]"),_xlfn.AGGREGATE(15,6,(ROW(Evo[Evolution_Name])-MIN(ROW(Evo[Evolution_Name]))+1)/((INDIRECT("Evo[Max "&amp;$J$9&amp;"]")=$J25)*(INDIRECT("Evo[Max "&amp;$J$9&amp;"]")&gt;0)),$I25)),"")</f>
        <v/>
      </c>
      <c r="P25" s="13">
        <f t="array" ref="P25">IFERROR(INDEX(INDIRECT("Evo[Req_OVR_Max]"),_xlfn.AGGREGATE(15,6,(ROW(Evo[Evolution_Name])-MIN(ROW(Evo[Evolution_Name]))+1)/((INDIRECT("Evo[Max "&amp;$J$9&amp;"]")=$J25)*(INDIRECT("Evo[Max "&amp;$J$9&amp;"]")&gt;0)),$I25)),"")</f>
        <v/>
      </c>
      <c r="Q25" s="13">
        <f t="array" ref="Q25">IFERROR(INDEX(INDIRECT("Evo[Req_Other]"),_xlfn.AGGREGATE(15,6,(ROW(Evo[Evolution_Name])-MIN(ROW(Evo[Evolution_Name]))+1)/((INDIRECT("Evo[Max "&amp;$J$9&amp;"]")=$J25)*(INDIRECT("Evo[Max "&amp;$J$9&amp;"]")&gt;0)),$I25)),"")</f>
        <v/>
      </c>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f t="array" ref="J28">IFERROR(INDEX(Unified_Matrix!$A:$ZZ,ROW(A23),MATCH("Max "&amp;$J$9,Unified_Matrix!$1:$1,0)),"")</f>
        <v/>
      </c>
      <c r="K28" s="4">
        <f t="array" ref="K28">IFERROR(INDEX(Unified_Matrix!$A:$ZZ,ROW(A23),MATCH("Evolution_Name",Unified_Matrix!$1:$1,0)),"")</f>
        <v/>
      </c>
      <c r="L28" s="4">
        <f>IF(J28="","",IF(J28=0,"",IF(J28=$AB$28,1,IF(J28=$AB$29,2,IF(J28=$AB$30,3,"")))))</f>
        <v/>
      </c>
      <c r="M28" s="4">
        <f t="array" ref="M28">IFERROR(INDEX(Unified_Matrix!$A:$ZZ,ROW(A23),MATCH("+ OVR",Unified_Matrix!$1:$1,0)),"")</f>
        <v/>
      </c>
      <c r="N28" s="4">
        <f t="array" ref="N28">IFERROR(INDEX(Unified_Matrix!$A:$ZZ,ROW(A23),MATCH("Max OVR",Unified_Matrix!$1:$1,0)),"")</f>
        <v/>
      </c>
      <c r="O28" s="4">
        <f t="array" ref="O28">IFERROR(INDEX(Unified_Matrix!$A:$ZZ,ROW(A23),MATCH("Req_Position",Unified_Matrix!$1:$1,0)),"")</f>
        <v/>
      </c>
      <c r="P28" s="4">
        <f t="array" ref="P28">IFERROR(INDEX(Unified_Matrix!$A:$ZZ,ROW(A23),MATCH("Req_OVR_Max",Unified_Matrix!$1:$1,0)),"")</f>
        <v/>
      </c>
      <c r="Q28" s="4">
        <f t="array" ref="Q28">IFERROR(INDEX(Unified_Matrix!$A:$ZZ,ROW(A23),MATCH("Req_Other",Unified_Matrix!$1:$1,0)),"")</f>
        <v/>
      </c>
      <c r="AB28">
        <f>MAX($J$28:$J$322)</f>
        <v/>
      </c>
    </row>
    <row r="29" hidden="1">
      <c r="J29" s="4">
        <f t="array" ref="J29">IFERROR(INDEX(Unified_Matrix!$A:$ZZ,ROW(A25),MATCH("Max "&amp;$J$9,Unified_Matrix!$1:$1,0)),"")</f>
        <v/>
      </c>
      <c r="K29" s="4">
        <f t="array" ref="K29">IFERROR(INDEX(Unified_Matrix!$A:$ZZ,ROW(A25),MATCH("Evolution_Name",Unified_Matrix!$1:$1,0)),"")</f>
        <v/>
      </c>
      <c r="L29" s="4">
        <f>IF(J29="","",IF(J29=0,"",IF(J29=$AB$28,1,IF(J29=$AB$29,2,IF(J29=$AB$30,3,"")))))</f>
        <v/>
      </c>
      <c r="M29" s="4">
        <f t="array" ref="M29">IFERROR(INDEX(Unified_Matrix!$A:$ZZ,ROW(A25),MATCH("+ OVR",Unified_Matrix!$1:$1,0)),"")</f>
        <v/>
      </c>
      <c r="N29" s="4">
        <f t="array" ref="N29">IFERROR(INDEX(Unified_Matrix!$A:$ZZ,ROW(A25),MATCH("Max OVR",Unified_Matrix!$1:$1,0)),"")</f>
        <v/>
      </c>
      <c r="O29" s="4">
        <f t="array" ref="O29">IFERROR(INDEX(Unified_Matrix!$A:$ZZ,ROW(A25),MATCH("Req_Position",Unified_Matrix!$1:$1,0)),"")</f>
        <v/>
      </c>
      <c r="P29" s="4">
        <f t="array" ref="P29">IFERROR(INDEX(Unified_Matrix!$A:$ZZ,ROW(A25),MATCH("Req_OVR_Max",Unified_Matrix!$1:$1,0)),"")</f>
        <v/>
      </c>
      <c r="Q29" s="4">
        <f t="array" ref="Q29">IFERROR(INDEX(Unified_Matrix!$A:$ZZ,ROW(A25),MATCH("Req_Other",Unified_Matrix!$1:$1,0)),"")</f>
        <v/>
      </c>
      <c r="AB29">
        <f>_xlfn.MAXIFS($J$28:$J$322,$J$28:$J$322,"&lt;"&amp;AB28)</f>
        <v/>
      </c>
    </row>
    <row r="30" hidden="1">
      <c r="J30" s="4">
        <f t="array" ref="J30">IFERROR(INDEX(Unified_Matrix!$A:$ZZ,ROW(A27),MATCH("Max "&amp;$J$9,Unified_Matrix!$1:$1,0)),"")</f>
        <v/>
      </c>
      <c r="K30" s="4">
        <f t="array" ref="K30">IFERROR(INDEX(Unified_Matrix!$A:$ZZ,ROW(A27),MATCH("Evolution_Name",Unified_Matrix!$1:$1,0)),"")</f>
        <v/>
      </c>
      <c r="L30" s="4">
        <f>IF(J30="","",IF(J30=0,"",IF(J30=$AB$28,1,IF(J30=$AB$29,2,IF(J30=$AB$30,3,"")))))</f>
        <v/>
      </c>
      <c r="M30" s="4">
        <f t="array" ref="M30">IFERROR(INDEX(Unified_Matrix!$A:$ZZ,ROW(A27),MATCH("+ OVR",Unified_Matrix!$1:$1,0)),"")</f>
        <v/>
      </c>
      <c r="N30" s="4">
        <f t="array" ref="N30">IFERROR(INDEX(Unified_Matrix!$A:$ZZ,ROW(A27),MATCH("Max OVR",Unified_Matrix!$1:$1,0)),"")</f>
        <v/>
      </c>
      <c r="O30" s="4">
        <f t="array" ref="O30">IFERROR(INDEX(Unified_Matrix!$A:$ZZ,ROW(A27),MATCH("Req_Position",Unified_Matrix!$1:$1,0)),"")</f>
        <v/>
      </c>
      <c r="P30" s="4">
        <f t="array" ref="P30">IFERROR(INDEX(Unified_Matrix!$A:$ZZ,ROW(A27),MATCH("Req_OVR_Max",Unified_Matrix!$1:$1,0)),"")</f>
        <v/>
      </c>
      <c r="Q30" s="4">
        <f t="array" ref="Q30">IFERROR(INDEX(Unified_Matrix!$A:$ZZ,ROW(A27),MATCH("Req_Other",Unified_Matrix!$1:$1,0)),"")</f>
        <v/>
      </c>
      <c r="AB30">
        <f>_xlfn.MAXIFS($J$28:$J$322,$J$28:$J$322,"&lt;"&amp;AB29)</f>
        <v/>
      </c>
    </row>
    <row r="31" hidden="1">
      <c r="J31" s="4">
        <f t="array" ref="J31">IFERROR(INDEX(Unified_Matrix!$A:$ZZ,ROW(A28),MATCH("Max "&amp;$J$9,Unified_Matrix!$1:$1,0)),"")</f>
        <v/>
      </c>
      <c r="K31" s="4">
        <f t="array" ref="K31">IFERROR(INDEX(Unified_Matrix!$A:$ZZ,ROW(A28),MATCH("Evolution_Name",Unified_Matrix!$1:$1,0)),"")</f>
        <v/>
      </c>
      <c r="L31" s="4">
        <f>IF(J31="","",IF(J31=0,"",IF(J31=$AB$28,1,IF(J31=$AB$29,2,IF(J31=$AB$30,3,"")))))</f>
        <v/>
      </c>
      <c r="M31" s="4">
        <f t="array" ref="M31">IFERROR(INDEX(Unified_Matrix!$A:$ZZ,ROW(A28),MATCH("+ OVR",Unified_Matrix!$1:$1,0)),"")</f>
        <v/>
      </c>
      <c r="N31" s="4">
        <f t="array" ref="N31">IFERROR(INDEX(Unified_Matrix!$A:$ZZ,ROW(A28),MATCH("Max OVR",Unified_Matrix!$1:$1,0)),"")</f>
        <v/>
      </c>
      <c r="O31" s="4">
        <f t="array" ref="O31">IFERROR(INDEX(Unified_Matrix!$A:$ZZ,ROW(A28),MATCH("Req_Position",Unified_Matrix!$1:$1,0)),"")</f>
        <v/>
      </c>
      <c r="P31" s="4">
        <f t="array" ref="P31">IFERROR(INDEX(Unified_Matrix!$A:$ZZ,ROW(A28),MATCH("Req_OVR_Max",Unified_Matrix!$1:$1,0)),"")</f>
        <v/>
      </c>
      <c r="Q31" s="4">
        <f t="array" ref="Q31">IFERROR(INDEX(Unified_Matrix!$A:$ZZ,ROW(A28),MATCH("Req_Other",Unified_Matrix!$1:$1,0)),"")</f>
        <v/>
      </c>
    </row>
    <row r="32" hidden="1">
      <c r="J32" s="4">
        <f t="array" ref="J32">IFERROR(INDEX(Unified_Matrix!$A:$ZZ,ROW(A29),MATCH("Max "&amp;$J$9,Unified_Matrix!$1:$1,0)),"")</f>
        <v/>
      </c>
      <c r="K32" s="4">
        <f t="array" ref="K32">IFERROR(INDEX(Unified_Matrix!$A:$ZZ,ROW(A29),MATCH("Evolution_Name",Unified_Matrix!$1:$1,0)),"")</f>
        <v/>
      </c>
      <c r="L32" s="4">
        <f>IF(J32="","",IF(J32=0,"",IF(J32=$AB$28,1,IF(J32=$AB$29,2,IF(J32=$AB$30,3,"")))))</f>
        <v/>
      </c>
      <c r="M32" s="4">
        <f t="array" ref="M32">IFERROR(INDEX(Unified_Matrix!$A:$ZZ,ROW(A29),MATCH("+ OVR",Unified_Matrix!$1:$1,0)),"")</f>
        <v/>
      </c>
      <c r="N32" s="4">
        <f t="array" ref="N32">IFERROR(INDEX(Unified_Matrix!$A:$ZZ,ROW(A29),MATCH("Max OVR",Unified_Matrix!$1:$1,0)),"")</f>
        <v/>
      </c>
      <c r="O32" s="4">
        <f t="array" ref="O32">IFERROR(INDEX(Unified_Matrix!$A:$ZZ,ROW(A29),MATCH("Req_Position",Unified_Matrix!$1:$1,0)),"")</f>
        <v/>
      </c>
      <c r="P32" s="4">
        <f t="array" ref="P32">IFERROR(INDEX(Unified_Matrix!$A:$ZZ,ROW(A29),MATCH("Req_OVR_Max",Unified_Matrix!$1:$1,0)),"")</f>
        <v/>
      </c>
      <c r="Q32" s="4">
        <f t="array" ref="Q32">IFERROR(INDEX(Unified_Matrix!$A:$ZZ,ROW(A29),MATCH("Req_Other",Unified_Matrix!$1:$1,0)),"")</f>
        <v/>
      </c>
    </row>
    <row r="33" hidden="1">
      <c r="J33" s="4">
        <f t="array" ref="J33">IFERROR(INDEX(Unified_Matrix!$A:$ZZ,ROW(A30),MATCH("Max "&amp;$J$9,Unified_Matrix!$1:$1,0)),"")</f>
        <v/>
      </c>
      <c r="K33" s="4">
        <f t="array" ref="K33">IFERROR(INDEX(Unified_Matrix!$A:$ZZ,ROW(A30),MATCH("Evolution_Name",Unified_Matrix!$1:$1,0)),"")</f>
        <v/>
      </c>
      <c r="L33" s="4">
        <f>IF(J33="","",IF(J33=0,"",IF(J33=$AB$28,1,IF(J33=$AB$29,2,IF(J33=$AB$30,3,"")))))</f>
        <v/>
      </c>
      <c r="M33" s="4">
        <f t="array" ref="M33">IFERROR(INDEX(Unified_Matrix!$A:$ZZ,ROW(A30),MATCH("+ OVR",Unified_Matrix!$1:$1,0)),"")</f>
        <v/>
      </c>
      <c r="N33" s="4">
        <f t="array" ref="N33">IFERROR(INDEX(Unified_Matrix!$A:$ZZ,ROW(A30),MATCH("Max OVR",Unified_Matrix!$1:$1,0)),"")</f>
        <v/>
      </c>
      <c r="O33" s="4">
        <f t="array" ref="O33">IFERROR(INDEX(Unified_Matrix!$A:$ZZ,ROW(A30),MATCH("Req_Position",Unified_Matrix!$1:$1,0)),"")</f>
        <v/>
      </c>
      <c r="P33" s="4">
        <f t="array" ref="P33">IFERROR(INDEX(Unified_Matrix!$A:$ZZ,ROW(A30),MATCH("Req_OVR_Max",Unified_Matrix!$1:$1,0)),"")</f>
        <v/>
      </c>
      <c r="Q33" s="4">
        <f t="array" ref="Q33">IFERROR(INDEX(Unified_Matrix!$A:$ZZ,ROW(A30),MATCH("Req_Other",Unified_Matrix!$1:$1,0)),"")</f>
        <v/>
      </c>
    </row>
    <row r="34" hidden="1">
      <c r="J34" s="4">
        <f t="array" ref="J34">IFERROR(INDEX(Unified_Matrix!$A:$ZZ,ROW(A31),MATCH("Max "&amp;$J$9,Unified_Matrix!$1:$1,0)),"")</f>
        <v/>
      </c>
      <c r="K34" s="4">
        <f t="array" ref="K34">IFERROR(INDEX(Unified_Matrix!$A:$ZZ,ROW(A31),MATCH("Evolution_Name",Unified_Matrix!$1:$1,0)),"")</f>
        <v/>
      </c>
      <c r="L34" s="4">
        <f>IF(J34="","",IF(J34=0,"",IF(J34=$AB$28,1,IF(J34=$AB$29,2,IF(J34=$AB$30,3,"")))))</f>
        <v/>
      </c>
      <c r="M34" s="4">
        <f t="array" ref="M34">IFERROR(INDEX(Unified_Matrix!$A:$ZZ,ROW(A31),MATCH("+ OVR",Unified_Matrix!$1:$1,0)),"")</f>
        <v/>
      </c>
      <c r="N34" s="4">
        <f t="array" ref="N34">IFERROR(INDEX(Unified_Matrix!$A:$ZZ,ROW(A31),MATCH("Max OVR",Unified_Matrix!$1:$1,0)),"")</f>
        <v/>
      </c>
      <c r="O34" s="4">
        <f t="array" ref="O34">IFERROR(INDEX(Unified_Matrix!$A:$ZZ,ROW(A31),MATCH("Req_Position",Unified_Matrix!$1:$1,0)),"")</f>
        <v/>
      </c>
      <c r="P34" s="4">
        <f t="array" ref="P34">IFERROR(INDEX(Unified_Matrix!$A:$ZZ,ROW(A31),MATCH("Req_OVR_Max",Unified_Matrix!$1:$1,0)),"")</f>
        <v/>
      </c>
      <c r="Q34" s="4">
        <f t="array" ref="Q34">IFERROR(INDEX(Unified_Matrix!$A:$ZZ,ROW(A31),MATCH("Req_Other",Unified_Matrix!$1:$1,0)),"")</f>
        <v/>
      </c>
    </row>
    <row r="35" hidden="1">
      <c r="J35" s="4">
        <f t="array" ref="J35">IFERROR(INDEX(Unified_Matrix!$A:$ZZ,ROW(A32),MATCH("Max "&amp;$J$9,Unified_Matrix!$1:$1,0)),"")</f>
        <v/>
      </c>
      <c r="K35" s="4">
        <f t="array" ref="K35">IFERROR(INDEX(Unified_Matrix!$A:$ZZ,ROW(A32),MATCH("Evolution_Name",Unified_Matrix!$1:$1,0)),"")</f>
        <v/>
      </c>
      <c r="L35" s="4">
        <f>IF(J35="","",IF(J35=0,"",IF(J35=$AB$28,1,IF(J35=$AB$29,2,IF(J35=$AB$30,3,"")))))</f>
        <v/>
      </c>
      <c r="M35" s="4">
        <f t="array" ref="M35">IFERROR(INDEX(Unified_Matrix!$A:$ZZ,ROW(A32),MATCH("+ OVR",Unified_Matrix!$1:$1,0)),"")</f>
        <v/>
      </c>
      <c r="N35" s="4">
        <f t="array" ref="N35">IFERROR(INDEX(Unified_Matrix!$A:$ZZ,ROW(A32),MATCH("Max OVR",Unified_Matrix!$1:$1,0)),"")</f>
        <v/>
      </c>
      <c r="O35" s="4">
        <f t="array" ref="O35">IFERROR(INDEX(Unified_Matrix!$A:$ZZ,ROW(A32),MATCH("Req_Position",Unified_Matrix!$1:$1,0)),"")</f>
        <v/>
      </c>
      <c r="P35" s="4">
        <f t="array" ref="P35">IFERROR(INDEX(Unified_Matrix!$A:$ZZ,ROW(A32),MATCH("Req_OVR_Max",Unified_Matrix!$1:$1,0)),"")</f>
        <v/>
      </c>
      <c r="Q35" s="4">
        <f t="array" ref="Q35">IFERROR(INDEX(Unified_Matrix!$A:$ZZ,ROW(A32),MATCH("Req_Other",Unified_Matrix!$1:$1,0)),"")</f>
        <v/>
      </c>
    </row>
    <row r="36" hidden="1">
      <c r="J36" s="4">
        <f t="array" ref="J36">IFERROR(INDEX(Unified_Matrix!$A:$ZZ,ROW(A33),MATCH("Max "&amp;$J$9,Unified_Matrix!$1:$1,0)),"")</f>
        <v/>
      </c>
      <c r="K36" s="4">
        <f t="array" ref="K36">IFERROR(INDEX(Unified_Matrix!$A:$ZZ,ROW(A33),MATCH("Evolution_Name",Unified_Matrix!$1:$1,0)),"")</f>
        <v/>
      </c>
      <c r="L36" s="4">
        <f>IF(J36="","",IF(J36=0,"",IF(J36=$AB$28,1,IF(J36=$AB$29,2,IF(J36=$AB$30,3,"")))))</f>
        <v/>
      </c>
      <c r="M36" s="4">
        <f t="array" ref="M36">IFERROR(INDEX(Unified_Matrix!$A:$ZZ,ROW(A33),MATCH("+ OVR",Unified_Matrix!$1:$1,0)),"")</f>
        <v/>
      </c>
      <c r="N36" s="4">
        <f t="array" ref="N36">IFERROR(INDEX(Unified_Matrix!$A:$ZZ,ROW(A33),MATCH("Max OVR",Unified_Matrix!$1:$1,0)),"")</f>
        <v/>
      </c>
      <c r="O36" s="4">
        <f t="array" ref="O36">IFERROR(INDEX(Unified_Matrix!$A:$ZZ,ROW(A33),MATCH("Req_Position",Unified_Matrix!$1:$1,0)),"")</f>
        <v/>
      </c>
      <c r="P36" s="4">
        <f t="array" ref="P36">IFERROR(INDEX(Unified_Matrix!$A:$ZZ,ROW(A33),MATCH("Req_OVR_Max",Unified_Matrix!$1:$1,0)),"")</f>
        <v/>
      </c>
      <c r="Q36" s="4">
        <f t="array" ref="Q36">IFERROR(INDEX(Unified_Matrix!$A:$ZZ,ROW(A33),MATCH("Req_Other",Unified_Matrix!$1:$1,0)),"")</f>
        <v/>
      </c>
    </row>
    <row r="37" hidden="1">
      <c r="J37" s="4">
        <f t="array" ref="J37">IFERROR(INDEX(Unified_Matrix!$A:$ZZ,ROW(A34),MATCH("Max "&amp;$J$9,Unified_Matrix!$1:$1,0)),"")</f>
        <v/>
      </c>
      <c r="K37" s="4">
        <f t="array" ref="K37">IFERROR(INDEX(Unified_Matrix!$A:$ZZ,ROW(A34),MATCH("Evolution_Name",Unified_Matrix!$1:$1,0)),"")</f>
        <v/>
      </c>
      <c r="L37" s="4">
        <f>IF(J37="","",IF(J37=0,"",IF(J37=$AB$28,1,IF(J37=$AB$29,2,IF(J37=$AB$30,3,"")))))</f>
        <v/>
      </c>
      <c r="M37" s="4">
        <f t="array" ref="M37">IFERROR(INDEX(Unified_Matrix!$A:$ZZ,ROW(A34),MATCH("+ OVR",Unified_Matrix!$1:$1,0)),"")</f>
        <v/>
      </c>
      <c r="N37" s="4">
        <f t="array" ref="N37">IFERROR(INDEX(Unified_Matrix!$A:$ZZ,ROW(A34),MATCH("Max OVR",Unified_Matrix!$1:$1,0)),"")</f>
        <v/>
      </c>
      <c r="O37" s="4">
        <f t="array" ref="O37">IFERROR(INDEX(Unified_Matrix!$A:$ZZ,ROW(A34),MATCH("Req_Position",Unified_Matrix!$1:$1,0)),"")</f>
        <v/>
      </c>
      <c r="P37" s="4">
        <f t="array" ref="P37">IFERROR(INDEX(Unified_Matrix!$A:$ZZ,ROW(A34),MATCH("Req_OVR_Max",Unified_Matrix!$1:$1,0)),"")</f>
        <v/>
      </c>
      <c r="Q37" s="4">
        <f t="array" ref="Q37">IFERROR(INDEX(Unified_Matrix!$A:$ZZ,ROW(A34),MATCH("Req_Other",Unified_Matrix!$1:$1,0)),"")</f>
        <v/>
      </c>
    </row>
    <row r="38" hidden="1">
      <c r="J38" s="4">
        <f t="array" ref="J38">IFERROR(INDEX(Unified_Matrix!$A:$ZZ,ROW(A35),MATCH("Max "&amp;$J$9,Unified_Matrix!$1:$1,0)),"")</f>
        <v/>
      </c>
      <c r="K38" s="4">
        <f t="array" ref="K38">IFERROR(INDEX(Unified_Matrix!$A:$ZZ,ROW(A35),MATCH("Evolution_Name",Unified_Matrix!$1:$1,0)),"")</f>
        <v/>
      </c>
      <c r="L38" s="4">
        <f>IF(J38="","",IF(J38=0,"",IF(J38=$AB$28,1,IF(J38=$AB$29,2,IF(J38=$AB$30,3,"")))))</f>
        <v/>
      </c>
      <c r="M38" s="4">
        <f t="array" ref="M38">IFERROR(INDEX(Unified_Matrix!$A:$ZZ,ROW(A35),MATCH("+ OVR",Unified_Matrix!$1:$1,0)),"")</f>
        <v/>
      </c>
      <c r="N38" s="4">
        <f t="array" ref="N38">IFERROR(INDEX(Unified_Matrix!$A:$ZZ,ROW(A35),MATCH("Max OVR",Unified_Matrix!$1:$1,0)),"")</f>
        <v/>
      </c>
      <c r="O38" s="4">
        <f t="array" ref="O38">IFERROR(INDEX(Unified_Matrix!$A:$ZZ,ROW(A35),MATCH("Req_Position",Unified_Matrix!$1:$1,0)),"")</f>
        <v/>
      </c>
      <c r="P38" s="4">
        <f t="array" ref="P38">IFERROR(INDEX(Unified_Matrix!$A:$ZZ,ROW(A35),MATCH("Req_OVR_Max",Unified_Matrix!$1:$1,0)),"")</f>
        <v/>
      </c>
      <c r="Q38" s="4">
        <f t="array" ref="Q38">IFERROR(INDEX(Unified_Matrix!$A:$ZZ,ROW(A35),MATCH("Req_Other",Unified_Matrix!$1:$1,0)),"")</f>
        <v/>
      </c>
    </row>
    <row r="39" hidden="1">
      <c r="J39" s="4">
        <f t="array" ref="J39">IFERROR(INDEX(Unified_Matrix!$A:$ZZ,ROW(A36),MATCH("Max "&amp;$J$9,Unified_Matrix!$1:$1,0)),"")</f>
        <v/>
      </c>
      <c r="K39" s="4">
        <f t="array" ref="K39">IFERROR(INDEX(Unified_Matrix!$A:$ZZ,ROW(A36),MATCH("Evolution_Name",Unified_Matrix!$1:$1,0)),"")</f>
        <v/>
      </c>
      <c r="L39" s="4">
        <f>IF(J39="","",IF(J39=0,"",IF(J39=$AB$28,1,IF(J39=$AB$29,2,IF(J39=$AB$30,3,"")))))</f>
        <v/>
      </c>
      <c r="M39" s="4">
        <f t="array" ref="M39">IFERROR(INDEX(Unified_Matrix!$A:$ZZ,ROW(A36),MATCH("+ OVR",Unified_Matrix!$1:$1,0)),"")</f>
        <v/>
      </c>
      <c r="N39" s="4">
        <f t="array" ref="N39">IFERROR(INDEX(Unified_Matrix!$A:$ZZ,ROW(A36),MATCH("Max OVR",Unified_Matrix!$1:$1,0)),"")</f>
        <v/>
      </c>
      <c r="O39" s="4">
        <f t="array" ref="O39">IFERROR(INDEX(Unified_Matrix!$A:$ZZ,ROW(A36),MATCH("Req_Position",Unified_Matrix!$1:$1,0)),"")</f>
        <v/>
      </c>
      <c r="P39" s="4">
        <f t="array" ref="P39">IFERROR(INDEX(Unified_Matrix!$A:$ZZ,ROW(A36),MATCH("Req_OVR_Max",Unified_Matrix!$1:$1,0)),"")</f>
        <v/>
      </c>
      <c r="Q39" s="4">
        <f t="array" ref="Q39">IFERROR(INDEX(Unified_Matrix!$A:$ZZ,ROW(A36),MATCH("Req_Other",Unified_Matrix!$1:$1,0)),"")</f>
        <v/>
      </c>
    </row>
    <row r="40" hidden="1">
      <c r="J40" s="4">
        <f t="array" ref="J40">IFERROR(INDEX(Unified_Matrix!$A:$ZZ,ROW(A37),MATCH("Max "&amp;$J$9,Unified_Matrix!$1:$1,0)),"")</f>
        <v/>
      </c>
      <c r="K40" s="4">
        <f t="array" ref="K40">IFERROR(INDEX(Unified_Matrix!$A:$ZZ,ROW(A37),MATCH("Evolution_Name",Unified_Matrix!$1:$1,0)),"")</f>
        <v/>
      </c>
      <c r="L40" s="4">
        <f>IF(J40="","",IF(J40=0,"",IF(J40=$AB$28,1,IF(J40=$AB$29,2,IF(J40=$AB$30,3,"")))))</f>
        <v/>
      </c>
      <c r="M40" s="4">
        <f t="array" ref="M40">IFERROR(INDEX(Unified_Matrix!$A:$ZZ,ROW(A37),MATCH("+ OVR",Unified_Matrix!$1:$1,0)),"")</f>
        <v/>
      </c>
      <c r="N40" s="4">
        <f t="array" ref="N40">IFERROR(INDEX(Unified_Matrix!$A:$ZZ,ROW(A37),MATCH("Max OVR",Unified_Matrix!$1:$1,0)),"")</f>
        <v/>
      </c>
      <c r="O40" s="4">
        <f t="array" ref="O40">IFERROR(INDEX(Unified_Matrix!$A:$ZZ,ROW(A37),MATCH("Req_Position",Unified_Matrix!$1:$1,0)),"")</f>
        <v/>
      </c>
      <c r="P40" s="4">
        <f t="array" ref="P40">IFERROR(INDEX(Unified_Matrix!$A:$ZZ,ROW(A37),MATCH("Req_OVR_Max",Unified_Matrix!$1:$1,0)),"")</f>
        <v/>
      </c>
      <c r="Q40" s="4">
        <f t="array" ref="Q40">IFERROR(INDEX(Unified_Matrix!$A:$ZZ,ROW(A37),MATCH("Req_Other",Unified_Matrix!$1:$1,0)),"")</f>
        <v/>
      </c>
    </row>
    <row r="41" hidden="1">
      <c r="J41" s="4">
        <f t="array" ref="J41">IFERROR(INDEX(Unified_Matrix!$A:$ZZ,ROW(A38),MATCH("Max "&amp;$J$9,Unified_Matrix!$1:$1,0)),"")</f>
        <v/>
      </c>
      <c r="K41" s="4">
        <f t="array" ref="K41">IFERROR(INDEX(Unified_Matrix!$A:$ZZ,ROW(A38),MATCH("Evolution_Name",Unified_Matrix!$1:$1,0)),"")</f>
        <v/>
      </c>
      <c r="L41" s="4">
        <f>IF(J41="","",IF(J41=0,"",IF(J41=$AB$28,1,IF(J41=$AB$29,2,IF(J41=$AB$30,3,"")))))</f>
        <v/>
      </c>
      <c r="M41" s="4">
        <f t="array" ref="M41">IFERROR(INDEX(Unified_Matrix!$A:$ZZ,ROW(A38),MATCH("+ OVR",Unified_Matrix!$1:$1,0)),"")</f>
        <v/>
      </c>
      <c r="N41" s="4">
        <f t="array" ref="N41">IFERROR(INDEX(Unified_Matrix!$A:$ZZ,ROW(A38),MATCH("Max OVR",Unified_Matrix!$1:$1,0)),"")</f>
        <v/>
      </c>
      <c r="O41" s="4">
        <f t="array" ref="O41">IFERROR(INDEX(Unified_Matrix!$A:$ZZ,ROW(A38),MATCH("Req_Position",Unified_Matrix!$1:$1,0)),"")</f>
        <v/>
      </c>
      <c r="P41" s="4">
        <f t="array" ref="P41">IFERROR(INDEX(Unified_Matrix!$A:$ZZ,ROW(A38),MATCH("Req_OVR_Max",Unified_Matrix!$1:$1,0)),"")</f>
        <v/>
      </c>
      <c r="Q41" s="4">
        <f t="array" ref="Q41">IFERROR(INDEX(Unified_Matrix!$A:$ZZ,ROW(A38),MATCH("Req_Other",Unified_Matrix!$1:$1,0)),"")</f>
        <v/>
      </c>
    </row>
    <row r="42" hidden="1">
      <c r="J42" s="4">
        <f t="array" ref="J42">IFERROR(INDEX(Unified_Matrix!$A:$ZZ,ROW(A39),MATCH("Max "&amp;$J$9,Unified_Matrix!$1:$1,0)),"")</f>
        <v/>
      </c>
      <c r="K42" s="4">
        <f t="array" ref="K42">IFERROR(INDEX(Unified_Matrix!$A:$ZZ,ROW(A39),MATCH("Evolution_Name",Unified_Matrix!$1:$1,0)),"")</f>
        <v/>
      </c>
      <c r="L42" s="4">
        <f>IF(J42="","",IF(J42=0,"",IF(J42=$AB$28,1,IF(J42=$AB$29,2,IF(J42=$AB$30,3,"")))))</f>
        <v/>
      </c>
      <c r="M42" s="4">
        <f t="array" ref="M42">IFERROR(INDEX(Unified_Matrix!$A:$ZZ,ROW(A39),MATCH("+ OVR",Unified_Matrix!$1:$1,0)),"")</f>
        <v/>
      </c>
      <c r="N42" s="4">
        <f t="array" ref="N42">IFERROR(INDEX(Unified_Matrix!$A:$ZZ,ROW(A39),MATCH("Max OVR",Unified_Matrix!$1:$1,0)),"")</f>
        <v/>
      </c>
      <c r="O42" s="4">
        <f t="array" ref="O42">IFERROR(INDEX(Unified_Matrix!$A:$ZZ,ROW(A39),MATCH("Req_Position",Unified_Matrix!$1:$1,0)),"")</f>
        <v/>
      </c>
      <c r="P42" s="4">
        <f t="array" ref="P42">IFERROR(INDEX(Unified_Matrix!$A:$ZZ,ROW(A39),MATCH("Req_OVR_Max",Unified_Matrix!$1:$1,0)),"")</f>
        <v/>
      </c>
      <c r="Q42" s="4">
        <f t="array" ref="Q42">IFERROR(INDEX(Unified_Matrix!$A:$ZZ,ROW(A39),MATCH("Req_Other",Unified_Matrix!$1:$1,0)),"")</f>
        <v/>
      </c>
    </row>
    <row r="43" hidden="1">
      <c r="J43" s="4">
        <f t="array" ref="J43">IFERROR(INDEX(Unified_Matrix!$A:$ZZ,ROW(A40),MATCH("Max "&amp;$J$9,Unified_Matrix!$1:$1,0)),"")</f>
        <v/>
      </c>
      <c r="K43" s="4">
        <f t="array" ref="K43">IFERROR(INDEX(Unified_Matrix!$A:$ZZ,ROW(A40),MATCH("Evolution_Name",Unified_Matrix!$1:$1,0)),"")</f>
        <v/>
      </c>
      <c r="L43" s="4">
        <f>IF(J43="","",IF(J43=0,"",IF(J43=$AB$28,1,IF(J43=$AB$29,2,IF(J43=$AB$30,3,"")))))</f>
        <v/>
      </c>
      <c r="M43" s="4">
        <f t="array" ref="M43">IFERROR(INDEX(Unified_Matrix!$A:$ZZ,ROW(A40),MATCH("+ OVR",Unified_Matrix!$1:$1,0)),"")</f>
        <v/>
      </c>
      <c r="N43" s="4">
        <f t="array" ref="N43">IFERROR(INDEX(Unified_Matrix!$A:$ZZ,ROW(A40),MATCH("Max OVR",Unified_Matrix!$1:$1,0)),"")</f>
        <v/>
      </c>
      <c r="O43" s="4">
        <f t="array" ref="O43">IFERROR(INDEX(Unified_Matrix!$A:$ZZ,ROW(A40),MATCH("Req_Position",Unified_Matrix!$1:$1,0)),"")</f>
        <v/>
      </c>
      <c r="P43" s="4">
        <f t="array" ref="P43">IFERROR(INDEX(Unified_Matrix!$A:$ZZ,ROW(A40),MATCH("Req_OVR_Max",Unified_Matrix!$1:$1,0)),"")</f>
        <v/>
      </c>
      <c r="Q43" s="4">
        <f t="array" ref="Q43">IFERROR(INDEX(Unified_Matrix!$A:$ZZ,ROW(A40),MATCH("Req_Other",Unified_Matrix!$1:$1,0)),"")</f>
        <v/>
      </c>
    </row>
    <row r="44" hidden="1">
      <c r="J44" s="4">
        <f t="array" ref="J44">IFERROR(INDEX(Unified_Matrix!$A:$ZZ,ROW(A41),MATCH("Max "&amp;$J$9,Unified_Matrix!$1:$1,0)),"")</f>
        <v/>
      </c>
      <c r="K44" s="4">
        <f t="array" ref="K44">IFERROR(INDEX(Unified_Matrix!$A:$ZZ,ROW(A41),MATCH("Evolution_Name",Unified_Matrix!$1:$1,0)),"")</f>
        <v/>
      </c>
      <c r="L44" s="4">
        <f>IF(J44="","",IF(J44=0,"",IF(J44=$AB$28,1,IF(J44=$AB$29,2,IF(J44=$AB$30,3,"")))))</f>
        <v/>
      </c>
      <c r="M44" s="4">
        <f t="array" ref="M44">IFERROR(INDEX(Unified_Matrix!$A:$ZZ,ROW(A41),MATCH("+ OVR",Unified_Matrix!$1:$1,0)),"")</f>
        <v/>
      </c>
      <c r="N44" s="4">
        <f t="array" ref="N44">IFERROR(INDEX(Unified_Matrix!$A:$ZZ,ROW(A41),MATCH("Max OVR",Unified_Matrix!$1:$1,0)),"")</f>
        <v/>
      </c>
      <c r="O44" s="4">
        <f t="array" ref="O44">IFERROR(INDEX(Unified_Matrix!$A:$ZZ,ROW(A41),MATCH("Req_Position",Unified_Matrix!$1:$1,0)),"")</f>
        <v/>
      </c>
      <c r="P44" s="4">
        <f t="array" ref="P44">IFERROR(INDEX(Unified_Matrix!$A:$ZZ,ROW(A41),MATCH("Req_OVR_Max",Unified_Matrix!$1:$1,0)),"")</f>
        <v/>
      </c>
      <c r="Q44" s="4">
        <f t="array" ref="Q44">IFERROR(INDEX(Unified_Matrix!$A:$ZZ,ROW(A41),MATCH("Req_Other",Unified_Matrix!$1:$1,0)),"")</f>
        <v/>
      </c>
    </row>
    <row r="45" hidden="1">
      <c r="J45" s="4">
        <f t="array" ref="J45">IFERROR(INDEX(Unified_Matrix!$A:$ZZ,ROW(A42),MATCH("Max "&amp;$J$9,Unified_Matrix!$1:$1,0)),"")</f>
        <v/>
      </c>
      <c r="K45" s="4">
        <f t="array" ref="K45">IFERROR(INDEX(Unified_Matrix!$A:$ZZ,ROW(A42),MATCH("Evolution_Name",Unified_Matrix!$1:$1,0)),"")</f>
        <v/>
      </c>
      <c r="L45" s="4">
        <f>IF(J45="","",IF(J45=0,"",IF(J45=$AB$28,1,IF(J45=$AB$29,2,IF(J45=$AB$30,3,"")))))</f>
        <v/>
      </c>
      <c r="M45" s="4">
        <f t="array" ref="M45">IFERROR(INDEX(Unified_Matrix!$A:$ZZ,ROW(A42),MATCH("+ OVR",Unified_Matrix!$1:$1,0)),"")</f>
        <v/>
      </c>
      <c r="N45" s="4">
        <f t="array" ref="N45">IFERROR(INDEX(Unified_Matrix!$A:$ZZ,ROW(A42),MATCH("Max OVR",Unified_Matrix!$1:$1,0)),"")</f>
        <v/>
      </c>
      <c r="O45" s="4">
        <f t="array" ref="O45">IFERROR(INDEX(Unified_Matrix!$A:$ZZ,ROW(A42),MATCH("Req_Position",Unified_Matrix!$1:$1,0)),"")</f>
        <v/>
      </c>
      <c r="P45" s="4">
        <f t="array" ref="P45">IFERROR(INDEX(Unified_Matrix!$A:$ZZ,ROW(A42),MATCH("Req_OVR_Max",Unified_Matrix!$1:$1,0)),"")</f>
        <v/>
      </c>
      <c r="Q45" s="4">
        <f t="array" ref="Q45">IFERROR(INDEX(Unified_Matrix!$A:$ZZ,ROW(A42),MATCH("Req_Other",Unified_Matrix!$1:$1,0)),"")</f>
        <v/>
      </c>
    </row>
    <row r="46" hidden="1">
      <c r="J46" s="4">
        <f t="array" ref="J46">IFERROR(INDEX(Unified_Matrix!$A:$ZZ,ROW(A43),MATCH("Max "&amp;$J$9,Unified_Matrix!$1:$1,0)),"")</f>
        <v/>
      </c>
      <c r="K46" s="4">
        <f t="array" ref="K46">IFERROR(INDEX(Unified_Matrix!$A:$ZZ,ROW(A43),MATCH("Evolution_Name",Unified_Matrix!$1:$1,0)),"")</f>
        <v/>
      </c>
      <c r="L46" s="4">
        <f>IF(J46="","",IF(J46=0,"",IF(J46=$AB$28,1,IF(J46=$AB$29,2,IF(J46=$AB$30,3,"")))))</f>
        <v/>
      </c>
      <c r="M46" s="4">
        <f t="array" ref="M46">IFERROR(INDEX(Unified_Matrix!$A:$ZZ,ROW(A43),MATCH("+ OVR",Unified_Matrix!$1:$1,0)),"")</f>
        <v/>
      </c>
      <c r="N46" s="4">
        <f t="array" ref="N46">IFERROR(INDEX(Unified_Matrix!$A:$ZZ,ROW(A43),MATCH("Max OVR",Unified_Matrix!$1:$1,0)),"")</f>
        <v/>
      </c>
      <c r="O46" s="4">
        <f t="array" ref="O46">IFERROR(INDEX(Unified_Matrix!$A:$ZZ,ROW(A43),MATCH("Req_Position",Unified_Matrix!$1:$1,0)),"")</f>
        <v/>
      </c>
      <c r="P46" s="4">
        <f t="array" ref="P46">IFERROR(INDEX(Unified_Matrix!$A:$ZZ,ROW(A43),MATCH("Req_OVR_Max",Unified_Matrix!$1:$1,0)),"")</f>
        <v/>
      </c>
      <c r="Q46" s="4">
        <f t="array" ref="Q46">IFERROR(INDEX(Unified_Matrix!$A:$ZZ,ROW(A43),MATCH("Req_Other",Unified_Matrix!$1:$1,0)),"")</f>
        <v/>
      </c>
    </row>
    <row r="47" hidden="1">
      <c r="J47" s="4">
        <f t="array" ref="J47">IFERROR(INDEX(Unified_Matrix!$A:$ZZ,ROW(A44),MATCH("Max "&amp;$J$9,Unified_Matrix!$1:$1,0)),"")</f>
        <v/>
      </c>
      <c r="K47" s="4">
        <f t="array" ref="K47">IFERROR(INDEX(Unified_Matrix!$A:$ZZ,ROW(A44),MATCH("Evolution_Name",Unified_Matrix!$1:$1,0)),"")</f>
        <v/>
      </c>
      <c r="L47" s="4">
        <f>IF(J47="","",IF(J47=0,"",IF(J47=$AB$28,1,IF(J47=$AB$29,2,IF(J47=$AB$30,3,"")))))</f>
        <v/>
      </c>
      <c r="M47" s="4">
        <f t="array" ref="M47">IFERROR(INDEX(Unified_Matrix!$A:$ZZ,ROW(A44),MATCH("+ OVR",Unified_Matrix!$1:$1,0)),"")</f>
        <v/>
      </c>
      <c r="N47" s="4">
        <f t="array" ref="N47">IFERROR(INDEX(Unified_Matrix!$A:$ZZ,ROW(A44),MATCH("Max OVR",Unified_Matrix!$1:$1,0)),"")</f>
        <v/>
      </c>
      <c r="O47" s="4">
        <f t="array" ref="O47">IFERROR(INDEX(Unified_Matrix!$A:$ZZ,ROW(A44),MATCH("Req_Position",Unified_Matrix!$1:$1,0)),"")</f>
        <v/>
      </c>
      <c r="P47" s="4">
        <f t="array" ref="P47">IFERROR(INDEX(Unified_Matrix!$A:$ZZ,ROW(A44),MATCH("Req_OVR_Max",Unified_Matrix!$1:$1,0)),"")</f>
        <v/>
      </c>
      <c r="Q47" s="4">
        <f t="array" ref="Q47">IFERROR(INDEX(Unified_Matrix!$A:$ZZ,ROW(A44),MATCH("Req_Other",Unified_Matrix!$1:$1,0)),"")</f>
        <v/>
      </c>
    </row>
    <row r="48" hidden="1">
      <c r="J48" s="4">
        <f t="array" ref="J48">IFERROR(INDEX(Unified_Matrix!$A:$ZZ,ROW(A45),MATCH("Max "&amp;$J$9,Unified_Matrix!$1:$1,0)),"")</f>
        <v/>
      </c>
      <c r="K48" s="4">
        <f t="array" ref="K48">IFERROR(INDEX(Unified_Matrix!$A:$ZZ,ROW(A45),MATCH("Evolution_Name",Unified_Matrix!$1:$1,0)),"")</f>
        <v/>
      </c>
      <c r="L48" s="4">
        <f>IF(J48="","",IF(J48=0,"",IF(J48=$AB$28,1,IF(J48=$AB$29,2,IF(J48=$AB$30,3,"")))))</f>
        <v/>
      </c>
      <c r="M48" s="4">
        <f t="array" ref="M48">IFERROR(INDEX(Unified_Matrix!$A:$ZZ,ROW(A45),MATCH("+ OVR",Unified_Matrix!$1:$1,0)),"")</f>
        <v/>
      </c>
      <c r="N48" s="4">
        <f t="array" ref="N48">IFERROR(INDEX(Unified_Matrix!$A:$ZZ,ROW(A45),MATCH("Max OVR",Unified_Matrix!$1:$1,0)),"")</f>
        <v/>
      </c>
      <c r="O48" s="4">
        <f t="array" ref="O48">IFERROR(INDEX(Unified_Matrix!$A:$ZZ,ROW(A45),MATCH("Req_Position",Unified_Matrix!$1:$1,0)),"")</f>
        <v/>
      </c>
      <c r="P48" s="4">
        <f t="array" ref="P48">IFERROR(INDEX(Unified_Matrix!$A:$ZZ,ROW(A45),MATCH("Req_OVR_Max",Unified_Matrix!$1:$1,0)),"")</f>
        <v/>
      </c>
      <c r="Q48" s="4">
        <f t="array" ref="Q48">IFERROR(INDEX(Unified_Matrix!$A:$ZZ,ROW(A45),MATCH("Req_Other",Unified_Matrix!$1:$1,0)),"")</f>
        <v/>
      </c>
    </row>
    <row r="49" hidden="1">
      <c r="J49" s="4">
        <f t="array" ref="J49">IFERROR(INDEX(Unified_Matrix!$A:$ZZ,ROW(A46),MATCH("Max "&amp;$J$9,Unified_Matrix!$1:$1,0)),"")</f>
        <v/>
      </c>
      <c r="K49" s="4">
        <f t="array" ref="K49">IFERROR(INDEX(Unified_Matrix!$A:$ZZ,ROW(A46),MATCH("Evolution_Name",Unified_Matrix!$1:$1,0)),"")</f>
        <v/>
      </c>
      <c r="L49" s="4">
        <f>IF(J49="","",IF(J49=0,"",IF(J49=$AB$28,1,IF(J49=$AB$29,2,IF(J49=$AB$30,3,"")))))</f>
        <v/>
      </c>
      <c r="M49" s="4">
        <f t="array" ref="M49">IFERROR(INDEX(Unified_Matrix!$A:$ZZ,ROW(A46),MATCH("+ OVR",Unified_Matrix!$1:$1,0)),"")</f>
        <v/>
      </c>
      <c r="N49" s="4">
        <f t="array" ref="N49">IFERROR(INDEX(Unified_Matrix!$A:$ZZ,ROW(A46),MATCH("Max OVR",Unified_Matrix!$1:$1,0)),"")</f>
        <v/>
      </c>
      <c r="O49" s="4">
        <f t="array" ref="O49">IFERROR(INDEX(Unified_Matrix!$A:$ZZ,ROW(A46),MATCH("Req_Position",Unified_Matrix!$1:$1,0)),"")</f>
        <v/>
      </c>
      <c r="P49" s="4">
        <f t="array" ref="P49">IFERROR(INDEX(Unified_Matrix!$A:$ZZ,ROW(A46),MATCH("Req_OVR_Max",Unified_Matrix!$1:$1,0)),"")</f>
        <v/>
      </c>
      <c r="Q49" s="4">
        <f t="array" ref="Q49">IFERROR(INDEX(Unified_Matrix!$A:$ZZ,ROW(A46),MATCH("Req_Other",Unified_Matrix!$1:$1,0)),"")</f>
        <v/>
      </c>
    </row>
    <row r="50" hidden="1">
      <c r="J50" s="4">
        <f t="array" ref="J50">IFERROR(INDEX(Unified_Matrix!$A:$ZZ,ROW(A47),MATCH("Max "&amp;$J$9,Unified_Matrix!$1:$1,0)),"")</f>
        <v/>
      </c>
      <c r="K50" s="4">
        <f t="array" ref="K50">IFERROR(INDEX(Unified_Matrix!$A:$ZZ,ROW(A47),MATCH("Evolution_Name",Unified_Matrix!$1:$1,0)),"")</f>
        <v/>
      </c>
      <c r="L50" s="4">
        <f>IF(J50="","",IF(J50=0,"",IF(J50=$AB$28,1,IF(J50=$AB$29,2,IF(J50=$AB$30,3,"")))))</f>
        <v/>
      </c>
      <c r="M50" s="4">
        <f t="array" ref="M50">IFERROR(INDEX(Unified_Matrix!$A:$ZZ,ROW(A47),MATCH("+ OVR",Unified_Matrix!$1:$1,0)),"")</f>
        <v/>
      </c>
      <c r="N50" s="4">
        <f t="array" ref="N50">IFERROR(INDEX(Unified_Matrix!$A:$ZZ,ROW(A47),MATCH("Max OVR",Unified_Matrix!$1:$1,0)),"")</f>
        <v/>
      </c>
      <c r="O50" s="4">
        <f t="array" ref="O50">IFERROR(INDEX(Unified_Matrix!$A:$ZZ,ROW(A47),MATCH("Req_Position",Unified_Matrix!$1:$1,0)),"")</f>
        <v/>
      </c>
      <c r="P50" s="4">
        <f t="array" ref="P50">IFERROR(INDEX(Unified_Matrix!$A:$ZZ,ROW(A47),MATCH("Req_OVR_Max",Unified_Matrix!$1:$1,0)),"")</f>
        <v/>
      </c>
      <c r="Q50" s="4">
        <f t="array" ref="Q50">IFERROR(INDEX(Unified_Matrix!$A:$ZZ,ROW(A47),MATCH("Req_Other",Unified_Matrix!$1:$1,0)),"")</f>
        <v/>
      </c>
    </row>
    <row r="51" hidden="1">
      <c r="J51" s="4">
        <f t="array" ref="J51">IFERROR(INDEX(Unified_Matrix!$A:$ZZ,ROW(A48),MATCH("Max "&amp;$J$9,Unified_Matrix!$1:$1,0)),"")</f>
        <v/>
      </c>
      <c r="K51" s="4">
        <f t="array" ref="K51">IFERROR(INDEX(Unified_Matrix!$A:$ZZ,ROW(A48),MATCH("Evolution_Name",Unified_Matrix!$1:$1,0)),"")</f>
        <v/>
      </c>
      <c r="L51" s="4">
        <f>IF(J51="","",IF(J51=0,"",IF(J51=$AB$28,1,IF(J51=$AB$29,2,IF(J51=$AB$30,3,"")))))</f>
        <v/>
      </c>
      <c r="M51" s="4">
        <f t="array" ref="M51">IFERROR(INDEX(Unified_Matrix!$A:$ZZ,ROW(A48),MATCH("+ OVR",Unified_Matrix!$1:$1,0)),"")</f>
        <v/>
      </c>
      <c r="N51" s="4">
        <f t="array" ref="N51">IFERROR(INDEX(Unified_Matrix!$A:$ZZ,ROW(A48),MATCH("Max OVR",Unified_Matrix!$1:$1,0)),"")</f>
        <v/>
      </c>
      <c r="O51" s="4">
        <f t="array" ref="O51">IFERROR(INDEX(Unified_Matrix!$A:$ZZ,ROW(A48),MATCH("Req_Position",Unified_Matrix!$1:$1,0)),"")</f>
        <v/>
      </c>
      <c r="P51" s="4">
        <f t="array" ref="P51">IFERROR(INDEX(Unified_Matrix!$A:$ZZ,ROW(A48),MATCH("Req_OVR_Max",Unified_Matrix!$1:$1,0)),"")</f>
        <v/>
      </c>
      <c r="Q51" s="4">
        <f t="array" ref="Q51">IFERROR(INDEX(Unified_Matrix!$A:$ZZ,ROW(A48),MATCH("Req_Other",Unified_Matrix!$1:$1,0)),"")</f>
        <v/>
      </c>
    </row>
    <row r="52" hidden="1">
      <c r="J52" s="4">
        <f t="array" ref="J52">IFERROR(INDEX(Unified_Matrix!$A:$ZZ,ROW(A49),MATCH("Max "&amp;$J$9,Unified_Matrix!$1:$1,0)),"")</f>
        <v/>
      </c>
      <c r="K52" s="4">
        <f t="array" ref="K52">IFERROR(INDEX(Unified_Matrix!$A:$ZZ,ROW(A49),MATCH("Evolution_Name",Unified_Matrix!$1:$1,0)),"")</f>
        <v/>
      </c>
      <c r="L52" s="4">
        <f>IF(J52="","",IF(J52=0,"",IF(J52=$AB$28,1,IF(J52=$AB$29,2,IF(J52=$AB$30,3,"")))))</f>
        <v/>
      </c>
      <c r="M52" s="4">
        <f t="array" ref="M52">IFERROR(INDEX(Unified_Matrix!$A:$ZZ,ROW(A49),MATCH("+ OVR",Unified_Matrix!$1:$1,0)),"")</f>
        <v/>
      </c>
      <c r="N52" s="4">
        <f t="array" ref="N52">IFERROR(INDEX(Unified_Matrix!$A:$ZZ,ROW(A49),MATCH("Max OVR",Unified_Matrix!$1:$1,0)),"")</f>
        <v/>
      </c>
      <c r="O52" s="4">
        <f t="array" ref="O52">IFERROR(INDEX(Unified_Matrix!$A:$ZZ,ROW(A49),MATCH("Req_Position",Unified_Matrix!$1:$1,0)),"")</f>
        <v/>
      </c>
      <c r="P52" s="4">
        <f t="array" ref="P52">IFERROR(INDEX(Unified_Matrix!$A:$ZZ,ROW(A49),MATCH("Req_OVR_Max",Unified_Matrix!$1:$1,0)),"")</f>
        <v/>
      </c>
      <c r="Q52" s="4">
        <f t="array" ref="Q52">IFERROR(INDEX(Unified_Matrix!$A:$ZZ,ROW(A49),MATCH("Req_Other",Unified_Matrix!$1:$1,0)),"")</f>
        <v/>
      </c>
    </row>
    <row r="53" hidden="1">
      <c r="J53" s="4">
        <f t="array" ref="J53">IFERROR(INDEX(Unified_Matrix!$A:$ZZ,ROW(A50),MATCH("Max "&amp;$J$9,Unified_Matrix!$1:$1,0)),"")</f>
        <v/>
      </c>
      <c r="K53" s="4">
        <f t="array" ref="K53">IFERROR(INDEX(Unified_Matrix!$A:$ZZ,ROW(A50),MATCH("Evolution_Name",Unified_Matrix!$1:$1,0)),"")</f>
        <v/>
      </c>
      <c r="L53" s="4">
        <f>IF(J53="","",IF(J53=0,"",IF(J53=$AB$28,1,IF(J53=$AB$29,2,IF(J53=$AB$30,3,"")))))</f>
        <v/>
      </c>
      <c r="M53" s="4">
        <f t="array" ref="M53">IFERROR(INDEX(Unified_Matrix!$A:$ZZ,ROW(A50),MATCH("+ OVR",Unified_Matrix!$1:$1,0)),"")</f>
        <v/>
      </c>
      <c r="N53" s="4">
        <f t="array" ref="N53">IFERROR(INDEX(Unified_Matrix!$A:$ZZ,ROW(A50),MATCH("Max OVR",Unified_Matrix!$1:$1,0)),"")</f>
        <v/>
      </c>
      <c r="O53" s="4">
        <f t="array" ref="O53">IFERROR(INDEX(Unified_Matrix!$A:$ZZ,ROW(A50),MATCH("Req_Position",Unified_Matrix!$1:$1,0)),"")</f>
        <v/>
      </c>
      <c r="P53" s="4">
        <f t="array" ref="P53">IFERROR(INDEX(Unified_Matrix!$A:$ZZ,ROW(A50),MATCH("Req_OVR_Max",Unified_Matrix!$1:$1,0)),"")</f>
        <v/>
      </c>
      <c r="Q53" s="4">
        <f t="array" ref="Q53">IFERROR(INDEX(Unified_Matrix!$A:$ZZ,ROW(A50),MATCH("Req_Other",Unified_Matrix!$1:$1,0)),"")</f>
        <v/>
      </c>
    </row>
    <row r="54" hidden="1">
      <c r="J54" s="4">
        <f t="array" ref="J54">IFERROR(INDEX(Unified_Matrix!$A:$ZZ,ROW(A51),MATCH("Max "&amp;$J$9,Unified_Matrix!$1:$1,0)),"")</f>
        <v/>
      </c>
      <c r="K54" s="4">
        <f t="array" ref="K54">IFERROR(INDEX(Unified_Matrix!$A:$ZZ,ROW(A51),MATCH("Evolution_Name",Unified_Matrix!$1:$1,0)),"")</f>
        <v/>
      </c>
      <c r="L54" s="4">
        <f>IF(J54="","",IF(J54=0,"",IF(J54=$AB$28,1,IF(J54=$AB$29,2,IF(J54=$AB$30,3,"")))))</f>
        <v/>
      </c>
      <c r="M54" s="4">
        <f t="array" ref="M54">IFERROR(INDEX(Unified_Matrix!$A:$ZZ,ROW(A51),MATCH("+ OVR",Unified_Matrix!$1:$1,0)),"")</f>
        <v/>
      </c>
      <c r="N54" s="4">
        <f t="array" ref="N54">IFERROR(INDEX(Unified_Matrix!$A:$ZZ,ROW(A51),MATCH("Max OVR",Unified_Matrix!$1:$1,0)),"")</f>
        <v/>
      </c>
      <c r="O54" s="4">
        <f t="array" ref="O54">IFERROR(INDEX(Unified_Matrix!$A:$ZZ,ROW(A51),MATCH("Req_Position",Unified_Matrix!$1:$1,0)),"")</f>
        <v/>
      </c>
      <c r="P54" s="4">
        <f t="array" ref="P54">IFERROR(INDEX(Unified_Matrix!$A:$ZZ,ROW(A51),MATCH("Req_OVR_Max",Unified_Matrix!$1:$1,0)),"")</f>
        <v/>
      </c>
      <c r="Q54" s="4">
        <f t="array" ref="Q54">IFERROR(INDEX(Unified_Matrix!$A:$ZZ,ROW(A51),MATCH("Req_Other",Unified_Matrix!$1:$1,0)),"")</f>
        <v/>
      </c>
    </row>
    <row r="55" hidden="1">
      <c r="J55" s="4">
        <f t="array" ref="J55">IFERROR(INDEX(Unified_Matrix!$A:$ZZ,ROW(A52),MATCH("Max "&amp;$J$9,Unified_Matrix!$1:$1,0)),"")</f>
        <v/>
      </c>
      <c r="K55" s="4">
        <f t="array" ref="K55">IFERROR(INDEX(Unified_Matrix!$A:$ZZ,ROW(A52),MATCH("Evolution_Name",Unified_Matrix!$1:$1,0)),"")</f>
        <v/>
      </c>
      <c r="L55" s="4">
        <f>IF(J55="","",IF(J55=0,"",IF(J55=$AB$28,1,IF(J55=$AB$29,2,IF(J55=$AB$30,3,"")))))</f>
        <v/>
      </c>
      <c r="M55" s="4">
        <f t="array" ref="M55">IFERROR(INDEX(Unified_Matrix!$A:$ZZ,ROW(A52),MATCH("+ OVR",Unified_Matrix!$1:$1,0)),"")</f>
        <v/>
      </c>
      <c r="N55" s="4">
        <f t="array" ref="N55">IFERROR(INDEX(Unified_Matrix!$A:$ZZ,ROW(A52),MATCH("Max OVR",Unified_Matrix!$1:$1,0)),"")</f>
        <v/>
      </c>
      <c r="O55" s="4">
        <f t="array" ref="O55">IFERROR(INDEX(Unified_Matrix!$A:$ZZ,ROW(A52),MATCH("Req_Position",Unified_Matrix!$1:$1,0)),"")</f>
        <v/>
      </c>
      <c r="P55" s="4">
        <f t="array" ref="P55">IFERROR(INDEX(Unified_Matrix!$A:$ZZ,ROW(A52),MATCH("Req_OVR_Max",Unified_Matrix!$1:$1,0)),"")</f>
        <v/>
      </c>
      <c r="Q55" s="4">
        <f t="array" ref="Q55">IFERROR(INDEX(Unified_Matrix!$A:$ZZ,ROW(A52),MATCH("Req_Other",Unified_Matrix!$1:$1,0)),"")</f>
        <v/>
      </c>
    </row>
    <row r="56" hidden="1">
      <c r="J56" s="4">
        <f t="array" ref="J56">IFERROR(INDEX(Unified_Matrix!$A:$ZZ,ROW(A53),MATCH("Max "&amp;$J$9,Unified_Matrix!$1:$1,0)),"")</f>
        <v/>
      </c>
      <c r="K56" s="4">
        <f t="array" ref="K56">IFERROR(INDEX(Unified_Matrix!$A:$ZZ,ROW(A53),MATCH("Evolution_Name",Unified_Matrix!$1:$1,0)),"")</f>
        <v/>
      </c>
      <c r="L56" s="4">
        <f>IF(J56="","",IF(J56=0,"",IF(J56=$AB$28,1,IF(J56=$AB$29,2,IF(J56=$AB$30,3,"")))))</f>
        <v/>
      </c>
      <c r="M56" s="4">
        <f t="array" ref="M56">IFERROR(INDEX(Unified_Matrix!$A:$ZZ,ROW(A53),MATCH("+ OVR",Unified_Matrix!$1:$1,0)),"")</f>
        <v/>
      </c>
      <c r="N56" s="4">
        <f t="array" ref="N56">IFERROR(INDEX(Unified_Matrix!$A:$ZZ,ROW(A53),MATCH("Max OVR",Unified_Matrix!$1:$1,0)),"")</f>
        <v/>
      </c>
      <c r="O56" s="4">
        <f t="array" ref="O56">IFERROR(INDEX(Unified_Matrix!$A:$ZZ,ROW(A53),MATCH("Req_Position",Unified_Matrix!$1:$1,0)),"")</f>
        <v/>
      </c>
      <c r="P56" s="4">
        <f t="array" ref="P56">IFERROR(INDEX(Unified_Matrix!$A:$ZZ,ROW(A53),MATCH("Req_OVR_Max",Unified_Matrix!$1:$1,0)),"")</f>
        <v/>
      </c>
      <c r="Q56" s="4">
        <f t="array" ref="Q56">IFERROR(INDEX(Unified_Matrix!$A:$ZZ,ROW(A53),MATCH("Req_Other",Unified_Matrix!$1:$1,0)),"")</f>
        <v/>
      </c>
    </row>
    <row r="57" hidden="1">
      <c r="J57" s="4">
        <f t="array" ref="J57">IFERROR(INDEX(Unified_Matrix!$A:$ZZ,ROW(A54),MATCH("Max "&amp;$J$9,Unified_Matrix!$1:$1,0)),"")</f>
        <v/>
      </c>
      <c r="K57" s="4">
        <f t="array" ref="K57">IFERROR(INDEX(Unified_Matrix!$A:$ZZ,ROW(A54),MATCH("Evolution_Name",Unified_Matrix!$1:$1,0)),"")</f>
        <v/>
      </c>
      <c r="L57" s="4">
        <f>IF(J57="","",IF(J57=0,"",IF(J57=$AB$28,1,IF(J57=$AB$29,2,IF(J57=$AB$30,3,"")))))</f>
        <v/>
      </c>
      <c r="M57" s="4">
        <f t="array" ref="M57">IFERROR(INDEX(Unified_Matrix!$A:$ZZ,ROW(A54),MATCH("+ OVR",Unified_Matrix!$1:$1,0)),"")</f>
        <v/>
      </c>
      <c r="N57" s="4">
        <f t="array" ref="N57">IFERROR(INDEX(Unified_Matrix!$A:$ZZ,ROW(A54),MATCH("Max OVR",Unified_Matrix!$1:$1,0)),"")</f>
        <v/>
      </c>
      <c r="O57" s="4">
        <f t="array" ref="O57">IFERROR(INDEX(Unified_Matrix!$A:$ZZ,ROW(A54),MATCH("Req_Position",Unified_Matrix!$1:$1,0)),"")</f>
        <v/>
      </c>
      <c r="P57" s="4">
        <f t="array" ref="P57">IFERROR(INDEX(Unified_Matrix!$A:$ZZ,ROW(A54),MATCH("Req_OVR_Max",Unified_Matrix!$1:$1,0)),"")</f>
        <v/>
      </c>
      <c r="Q57" s="4">
        <f t="array" ref="Q57">IFERROR(INDEX(Unified_Matrix!$A:$ZZ,ROW(A54),MATCH("Req_Other",Unified_Matrix!$1:$1,0)),"")</f>
        <v/>
      </c>
    </row>
    <row r="58" hidden="1">
      <c r="J58" s="4">
        <f t="array" ref="J58">IFERROR(INDEX(Unified_Matrix!$A:$ZZ,ROW(A55),MATCH("Max "&amp;$J$9,Unified_Matrix!$1:$1,0)),"")</f>
        <v/>
      </c>
      <c r="K58" s="4">
        <f t="array" ref="K58">IFERROR(INDEX(Unified_Matrix!$A:$ZZ,ROW(A55),MATCH("Evolution_Name",Unified_Matrix!$1:$1,0)),"")</f>
        <v/>
      </c>
      <c r="L58" s="4">
        <f>IF(J58="","",IF(J58=0,"",IF(J58=$AB$28,1,IF(J58=$AB$29,2,IF(J58=$AB$30,3,"")))))</f>
        <v/>
      </c>
      <c r="M58" s="4">
        <f t="array" ref="M58">IFERROR(INDEX(Unified_Matrix!$A:$ZZ,ROW(A55),MATCH("+ OVR",Unified_Matrix!$1:$1,0)),"")</f>
        <v/>
      </c>
      <c r="N58" s="4">
        <f t="array" ref="N58">IFERROR(INDEX(Unified_Matrix!$A:$ZZ,ROW(A55),MATCH("Max OVR",Unified_Matrix!$1:$1,0)),"")</f>
        <v/>
      </c>
      <c r="O58" s="4">
        <f t="array" ref="O58">IFERROR(INDEX(Unified_Matrix!$A:$ZZ,ROW(A55),MATCH("Req_Position",Unified_Matrix!$1:$1,0)),"")</f>
        <v/>
      </c>
      <c r="P58" s="4">
        <f t="array" ref="P58">IFERROR(INDEX(Unified_Matrix!$A:$ZZ,ROW(A55),MATCH("Req_OVR_Max",Unified_Matrix!$1:$1,0)),"")</f>
        <v/>
      </c>
      <c r="Q58" s="4">
        <f t="array" ref="Q58">IFERROR(INDEX(Unified_Matrix!$A:$ZZ,ROW(A55),MATCH("Req_Other",Unified_Matrix!$1:$1,0)),"")</f>
        <v/>
      </c>
    </row>
    <row r="59" hidden="1">
      <c r="J59" s="4">
        <f t="array" ref="J59">IFERROR(INDEX(Unified_Matrix!$A:$ZZ,ROW(A56),MATCH("Max "&amp;$J$9,Unified_Matrix!$1:$1,0)),"")</f>
        <v/>
      </c>
      <c r="K59" s="4">
        <f t="array" ref="K59">IFERROR(INDEX(Unified_Matrix!$A:$ZZ,ROW(A56),MATCH("Evolution_Name",Unified_Matrix!$1:$1,0)),"")</f>
        <v/>
      </c>
      <c r="L59" s="4">
        <f>IF(J59="","",IF(J59=0,"",IF(J59=$AB$28,1,IF(J59=$AB$29,2,IF(J59=$AB$30,3,"")))))</f>
        <v/>
      </c>
      <c r="M59" s="4">
        <f t="array" ref="M59">IFERROR(INDEX(Unified_Matrix!$A:$ZZ,ROW(A56),MATCH("+ OVR",Unified_Matrix!$1:$1,0)),"")</f>
        <v/>
      </c>
      <c r="N59" s="4">
        <f t="array" ref="N59">IFERROR(INDEX(Unified_Matrix!$A:$ZZ,ROW(A56),MATCH("Max OVR",Unified_Matrix!$1:$1,0)),"")</f>
        <v/>
      </c>
      <c r="O59" s="4">
        <f t="array" ref="O59">IFERROR(INDEX(Unified_Matrix!$A:$ZZ,ROW(A56),MATCH("Req_Position",Unified_Matrix!$1:$1,0)),"")</f>
        <v/>
      </c>
      <c r="P59" s="4">
        <f t="array" ref="P59">IFERROR(INDEX(Unified_Matrix!$A:$ZZ,ROW(A56),MATCH("Req_OVR_Max",Unified_Matrix!$1:$1,0)),"")</f>
        <v/>
      </c>
      <c r="Q59" s="4">
        <f t="array" ref="Q59">IFERROR(INDEX(Unified_Matrix!$A:$ZZ,ROW(A56),MATCH("Req_Other",Unified_Matrix!$1:$1,0)),"")</f>
        <v/>
      </c>
    </row>
    <row r="60" hidden="1">
      <c r="J60" s="4">
        <f t="array" ref="J60">IFERROR(INDEX(Unified_Matrix!$A:$ZZ,ROW(A57),MATCH("Max "&amp;$J$9,Unified_Matrix!$1:$1,0)),"")</f>
        <v/>
      </c>
      <c r="K60" s="4">
        <f t="array" ref="K60">IFERROR(INDEX(Unified_Matrix!$A:$ZZ,ROW(A57),MATCH("Evolution_Name",Unified_Matrix!$1:$1,0)),"")</f>
        <v/>
      </c>
      <c r="L60" s="4">
        <f>IF(J60="","",IF(J60=0,"",IF(J60=$AB$28,1,IF(J60=$AB$29,2,IF(J60=$AB$30,3,"")))))</f>
        <v/>
      </c>
      <c r="M60" s="4">
        <f t="array" ref="M60">IFERROR(INDEX(Unified_Matrix!$A:$ZZ,ROW(A57),MATCH("+ OVR",Unified_Matrix!$1:$1,0)),"")</f>
        <v/>
      </c>
      <c r="N60" s="4">
        <f t="array" ref="N60">IFERROR(INDEX(Unified_Matrix!$A:$ZZ,ROW(A57),MATCH("Max OVR",Unified_Matrix!$1:$1,0)),"")</f>
        <v/>
      </c>
      <c r="O60" s="4">
        <f t="array" ref="O60">IFERROR(INDEX(Unified_Matrix!$A:$ZZ,ROW(A57),MATCH("Req_Position",Unified_Matrix!$1:$1,0)),"")</f>
        <v/>
      </c>
      <c r="P60" s="4">
        <f t="array" ref="P60">IFERROR(INDEX(Unified_Matrix!$A:$ZZ,ROW(A57),MATCH("Req_OVR_Max",Unified_Matrix!$1:$1,0)),"")</f>
        <v/>
      </c>
      <c r="Q60" s="4">
        <f t="array" ref="Q60">IFERROR(INDEX(Unified_Matrix!$A:$ZZ,ROW(A57),MATCH("Req_Other",Unified_Matrix!$1:$1,0)),"")</f>
        <v/>
      </c>
    </row>
    <row r="61" hidden="1">
      <c r="J61" s="4">
        <f t="array" ref="J61">IFERROR(INDEX(Unified_Matrix!$A:$ZZ,ROW(A58),MATCH("Max "&amp;$J$9,Unified_Matrix!$1:$1,0)),"")</f>
        <v/>
      </c>
      <c r="K61" s="4">
        <f t="array" ref="K61">IFERROR(INDEX(Unified_Matrix!$A:$ZZ,ROW(A58),MATCH("Evolution_Name",Unified_Matrix!$1:$1,0)),"")</f>
        <v/>
      </c>
      <c r="L61" s="4">
        <f>IF(J61="","",IF(J61=0,"",IF(J61=$AB$28,1,IF(J61=$AB$29,2,IF(J61=$AB$30,3,"")))))</f>
        <v/>
      </c>
      <c r="M61" s="4">
        <f t="array" ref="M61">IFERROR(INDEX(Unified_Matrix!$A:$ZZ,ROW(A58),MATCH("+ OVR",Unified_Matrix!$1:$1,0)),"")</f>
        <v/>
      </c>
      <c r="N61" s="4">
        <f t="array" ref="N61">IFERROR(INDEX(Unified_Matrix!$A:$ZZ,ROW(A58),MATCH("Max OVR",Unified_Matrix!$1:$1,0)),"")</f>
        <v/>
      </c>
      <c r="O61" s="4">
        <f t="array" ref="O61">IFERROR(INDEX(Unified_Matrix!$A:$ZZ,ROW(A58),MATCH("Req_Position",Unified_Matrix!$1:$1,0)),"")</f>
        <v/>
      </c>
      <c r="P61" s="4">
        <f t="array" ref="P61">IFERROR(INDEX(Unified_Matrix!$A:$ZZ,ROW(A58),MATCH("Req_OVR_Max",Unified_Matrix!$1:$1,0)),"")</f>
        <v/>
      </c>
      <c r="Q61" s="4">
        <f t="array" ref="Q61">IFERROR(INDEX(Unified_Matrix!$A:$ZZ,ROW(A58),MATCH("Req_Other",Unified_Matrix!$1:$1,0)),"")</f>
        <v/>
      </c>
    </row>
    <row r="62" hidden="1">
      <c r="J62" s="4">
        <f t="array" ref="J62">IFERROR(INDEX(Unified_Matrix!$A:$ZZ,ROW(A59),MATCH("Max "&amp;$J$9,Unified_Matrix!$1:$1,0)),"")</f>
        <v/>
      </c>
      <c r="K62" s="4">
        <f t="array" ref="K62">IFERROR(INDEX(Unified_Matrix!$A:$ZZ,ROW(A59),MATCH("Evolution_Name",Unified_Matrix!$1:$1,0)),"")</f>
        <v/>
      </c>
      <c r="L62" s="4">
        <f>IF(J62="","",IF(J62=0,"",IF(J62=$AB$28,1,IF(J62=$AB$29,2,IF(J62=$AB$30,3,"")))))</f>
        <v/>
      </c>
      <c r="M62" s="4">
        <f t="array" ref="M62">IFERROR(INDEX(Unified_Matrix!$A:$ZZ,ROW(A59),MATCH("+ OVR",Unified_Matrix!$1:$1,0)),"")</f>
        <v/>
      </c>
      <c r="N62" s="4">
        <f t="array" ref="N62">IFERROR(INDEX(Unified_Matrix!$A:$ZZ,ROW(A59),MATCH("Max OVR",Unified_Matrix!$1:$1,0)),"")</f>
        <v/>
      </c>
      <c r="O62" s="4">
        <f t="array" ref="O62">IFERROR(INDEX(Unified_Matrix!$A:$ZZ,ROW(A59),MATCH("Req_Position",Unified_Matrix!$1:$1,0)),"")</f>
        <v/>
      </c>
      <c r="P62" s="4">
        <f t="array" ref="P62">IFERROR(INDEX(Unified_Matrix!$A:$ZZ,ROW(A59),MATCH("Req_OVR_Max",Unified_Matrix!$1:$1,0)),"")</f>
        <v/>
      </c>
      <c r="Q62" s="4">
        <f t="array" ref="Q62">IFERROR(INDEX(Unified_Matrix!$A:$ZZ,ROW(A59),MATCH("Req_Other",Unified_Matrix!$1:$1,0)),"")</f>
        <v/>
      </c>
    </row>
    <row r="63" hidden="1">
      <c r="J63" s="4">
        <f t="array" ref="J63">IFERROR(INDEX(Unified_Matrix!$A:$ZZ,ROW(A60),MATCH("Max "&amp;$J$9,Unified_Matrix!$1:$1,0)),"")</f>
        <v/>
      </c>
      <c r="K63" s="4">
        <f t="array" ref="K63">IFERROR(INDEX(Unified_Matrix!$A:$ZZ,ROW(A60),MATCH("Evolution_Name",Unified_Matrix!$1:$1,0)),"")</f>
        <v/>
      </c>
      <c r="L63" s="4">
        <f>IF(J63="","",IF(J63=0,"",IF(J63=$AB$28,1,IF(J63=$AB$29,2,IF(J63=$AB$30,3,"")))))</f>
        <v/>
      </c>
      <c r="M63" s="4">
        <f t="array" ref="M63">IFERROR(INDEX(Unified_Matrix!$A:$ZZ,ROW(A60),MATCH("+ OVR",Unified_Matrix!$1:$1,0)),"")</f>
        <v/>
      </c>
      <c r="N63" s="4">
        <f t="array" ref="N63">IFERROR(INDEX(Unified_Matrix!$A:$ZZ,ROW(A60),MATCH("Max OVR",Unified_Matrix!$1:$1,0)),"")</f>
        <v/>
      </c>
      <c r="O63" s="4">
        <f t="array" ref="O63">IFERROR(INDEX(Unified_Matrix!$A:$ZZ,ROW(A60),MATCH("Req_Position",Unified_Matrix!$1:$1,0)),"")</f>
        <v/>
      </c>
      <c r="P63" s="4">
        <f t="array" ref="P63">IFERROR(INDEX(Unified_Matrix!$A:$ZZ,ROW(A60),MATCH("Req_OVR_Max",Unified_Matrix!$1:$1,0)),"")</f>
        <v/>
      </c>
      <c r="Q63" s="4">
        <f t="array" ref="Q63">IFERROR(INDEX(Unified_Matrix!$A:$ZZ,ROW(A60),MATCH("Req_Other",Unified_Matrix!$1:$1,0)),"")</f>
        <v/>
      </c>
    </row>
    <row r="64" hidden="1">
      <c r="J64" s="4">
        <f t="array" ref="J64">IFERROR(INDEX(Unified_Matrix!$A:$ZZ,ROW(A61),MATCH("Max "&amp;$J$9,Unified_Matrix!$1:$1,0)),"")</f>
        <v/>
      </c>
      <c r="K64" s="4">
        <f t="array" ref="K64">IFERROR(INDEX(Unified_Matrix!$A:$ZZ,ROW(A61),MATCH("Evolution_Name",Unified_Matrix!$1:$1,0)),"")</f>
        <v/>
      </c>
      <c r="L64" s="4">
        <f>IF(J64="","",IF(J64=0,"",IF(J64=$AB$28,1,IF(J64=$AB$29,2,IF(J64=$AB$30,3,"")))))</f>
        <v/>
      </c>
      <c r="M64" s="4">
        <f t="array" ref="M64">IFERROR(INDEX(Unified_Matrix!$A:$ZZ,ROW(A61),MATCH("+ OVR",Unified_Matrix!$1:$1,0)),"")</f>
        <v/>
      </c>
      <c r="N64" s="4">
        <f t="array" ref="N64">IFERROR(INDEX(Unified_Matrix!$A:$ZZ,ROW(A61),MATCH("Max OVR",Unified_Matrix!$1:$1,0)),"")</f>
        <v/>
      </c>
      <c r="O64" s="4">
        <f t="array" ref="O64">IFERROR(INDEX(Unified_Matrix!$A:$ZZ,ROW(A61),MATCH("Req_Position",Unified_Matrix!$1:$1,0)),"")</f>
        <v/>
      </c>
      <c r="P64" s="4">
        <f t="array" ref="P64">IFERROR(INDEX(Unified_Matrix!$A:$ZZ,ROW(A61),MATCH("Req_OVR_Max",Unified_Matrix!$1:$1,0)),"")</f>
        <v/>
      </c>
      <c r="Q64" s="4">
        <f t="array" ref="Q64">IFERROR(INDEX(Unified_Matrix!$A:$ZZ,ROW(A61),MATCH("Req_Other",Unified_Matrix!$1:$1,0)),"")</f>
        <v/>
      </c>
    </row>
    <row r="65" hidden="1">
      <c r="J65" s="4">
        <f t="array" ref="J65">IFERROR(INDEX(Unified_Matrix!$A:$ZZ,ROW(A62),MATCH("Max "&amp;$J$9,Unified_Matrix!$1:$1,0)),"")</f>
        <v/>
      </c>
      <c r="K65" s="4">
        <f t="array" ref="K65">IFERROR(INDEX(Unified_Matrix!$A:$ZZ,ROW(A62),MATCH("Evolution_Name",Unified_Matrix!$1:$1,0)),"")</f>
        <v/>
      </c>
      <c r="L65" s="4">
        <f>IF(J65="","",IF(J65=0,"",IF(J65=$AB$28,1,IF(J65=$AB$29,2,IF(J65=$AB$30,3,"")))))</f>
        <v/>
      </c>
      <c r="M65" s="4">
        <f t="array" ref="M65">IFERROR(INDEX(Unified_Matrix!$A:$ZZ,ROW(A62),MATCH("+ OVR",Unified_Matrix!$1:$1,0)),"")</f>
        <v/>
      </c>
      <c r="N65" s="4">
        <f t="array" ref="N65">IFERROR(INDEX(Unified_Matrix!$A:$ZZ,ROW(A62),MATCH("Max OVR",Unified_Matrix!$1:$1,0)),"")</f>
        <v/>
      </c>
      <c r="O65" s="4">
        <f t="array" ref="O65">IFERROR(INDEX(Unified_Matrix!$A:$ZZ,ROW(A62),MATCH("Req_Position",Unified_Matrix!$1:$1,0)),"")</f>
        <v/>
      </c>
      <c r="P65" s="4">
        <f t="array" ref="P65">IFERROR(INDEX(Unified_Matrix!$A:$ZZ,ROW(A62),MATCH("Req_OVR_Max",Unified_Matrix!$1:$1,0)),"")</f>
        <v/>
      </c>
      <c r="Q65" s="4">
        <f t="array" ref="Q65">IFERROR(INDEX(Unified_Matrix!$A:$ZZ,ROW(A62),MATCH("Req_Other",Unified_Matrix!$1:$1,0)),"")</f>
        <v/>
      </c>
    </row>
    <row r="66" hidden="1">
      <c r="J66" s="4">
        <f t="array" ref="J66">IFERROR(INDEX(Unified_Matrix!$A:$ZZ,ROW(A63),MATCH("Max "&amp;$J$9,Unified_Matrix!$1:$1,0)),"")</f>
        <v/>
      </c>
      <c r="K66" s="4">
        <f t="array" ref="K66">IFERROR(INDEX(Unified_Matrix!$A:$ZZ,ROW(A63),MATCH("Evolution_Name",Unified_Matrix!$1:$1,0)),"")</f>
        <v/>
      </c>
      <c r="L66" s="4">
        <f>IF(J66="","",IF(J66=0,"",IF(J66=$AB$28,1,IF(J66=$AB$29,2,IF(J66=$AB$30,3,"")))))</f>
        <v/>
      </c>
      <c r="M66" s="4">
        <f t="array" ref="M66">IFERROR(INDEX(Unified_Matrix!$A:$ZZ,ROW(A63),MATCH("+ OVR",Unified_Matrix!$1:$1,0)),"")</f>
        <v/>
      </c>
      <c r="N66" s="4">
        <f t="array" ref="N66">IFERROR(INDEX(Unified_Matrix!$A:$ZZ,ROW(A63),MATCH("Max OVR",Unified_Matrix!$1:$1,0)),"")</f>
        <v/>
      </c>
      <c r="O66" s="4">
        <f t="array" ref="O66">IFERROR(INDEX(Unified_Matrix!$A:$ZZ,ROW(A63),MATCH("Req_Position",Unified_Matrix!$1:$1,0)),"")</f>
        <v/>
      </c>
      <c r="P66" s="4">
        <f t="array" ref="P66">IFERROR(INDEX(Unified_Matrix!$A:$ZZ,ROW(A63),MATCH("Req_OVR_Max",Unified_Matrix!$1:$1,0)),"")</f>
        <v/>
      </c>
      <c r="Q66" s="4">
        <f t="array" ref="Q66">IFERROR(INDEX(Unified_Matrix!$A:$ZZ,ROW(A63),MATCH("Req_Other",Unified_Matrix!$1:$1,0)),"")</f>
        <v/>
      </c>
    </row>
    <row r="67" hidden="1">
      <c r="J67" s="4">
        <f t="array" ref="J67">IFERROR(INDEX(Unified_Matrix!$A:$ZZ,ROW(A64),MATCH("Max "&amp;$J$9,Unified_Matrix!$1:$1,0)),"")</f>
        <v/>
      </c>
      <c r="K67" s="4">
        <f t="array" ref="K67">IFERROR(INDEX(Unified_Matrix!$A:$ZZ,ROW(A64),MATCH("Evolution_Name",Unified_Matrix!$1:$1,0)),"")</f>
        <v/>
      </c>
      <c r="L67" s="4">
        <f>IF(J67="","",IF(J67=0,"",IF(J67=$AB$28,1,IF(J67=$AB$29,2,IF(J67=$AB$30,3,"")))))</f>
        <v/>
      </c>
      <c r="M67" s="4">
        <f t="array" ref="M67">IFERROR(INDEX(Unified_Matrix!$A:$ZZ,ROW(A64),MATCH("+ OVR",Unified_Matrix!$1:$1,0)),"")</f>
        <v/>
      </c>
      <c r="N67" s="4">
        <f t="array" ref="N67">IFERROR(INDEX(Unified_Matrix!$A:$ZZ,ROW(A64),MATCH("Max OVR",Unified_Matrix!$1:$1,0)),"")</f>
        <v/>
      </c>
      <c r="O67" s="4">
        <f t="array" ref="O67">IFERROR(INDEX(Unified_Matrix!$A:$ZZ,ROW(A64),MATCH("Req_Position",Unified_Matrix!$1:$1,0)),"")</f>
        <v/>
      </c>
      <c r="P67" s="4">
        <f t="array" ref="P67">IFERROR(INDEX(Unified_Matrix!$A:$ZZ,ROW(A64),MATCH("Req_OVR_Max",Unified_Matrix!$1:$1,0)),"")</f>
        <v/>
      </c>
      <c r="Q67" s="4">
        <f t="array" ref="Q67">IFERROR(INDEX(Unified_Matrix!$A:$ZZ,ROW(A64),MATCH("Req_Other",Unified_Matrix!$1:$1,0)),"")</f>
        <v/>
      </c>
    </row>
    <row r="68" hidden="1">
      <c r="J68" s="4">
        <f t="array" ref="J68">IFERROR(INDEX(Unified_Matrix!$A:$ZZ,ROW(A65),MATCH("Max "&amp;$J$9,Unified_Matrix!$1:$1,0)),"")</f>
        <v/>
      </c>
      <c r="K68" s="4">
        <f t="array" ref="K68">IFERROR(INDEX(Unified_Matrix!$A:$ZZ,ROW(A65),MATCH("Evolution_Name",Unified_Matrix!$1:$1,0)),"")</f>
        <v/>
      </c>
      <c r="L68" s="4">
        <f>IF(J68="","",IF(J68=0,"",IF(J68=$AB$28,1,IF(J68=$AB$29,2,IF(J68=$AB$30,3,"")))))</f>
        <v/>
      </c>
      <c r="M68" s="4">
        <f t="array" ref="M68">IFERROR(INDEX(Unified_Matrix!$A:$ZZ,ROW(A65),MATCH("+ OVR",Unified_Matrix!$1:$1,0)),"")</f>
        <v/>
      </c>
      <c r="N68" s="4">
        <f t="array" ref="N68">IFERROR(INDEX(Unified_Matrix!$A:$ZZ,ROW(A65),MATCH("Max OVR",Unified_Matrix!$1:$1,0)),"")</f>
        <v/>
      </c>
      <c r="O68" s="4">
        <f t="array" ref="O68">IFERROR(INDEX(Unified_Matrix!$A:$ZZ,ROW(A65),MATCH("Req_Position",Unified_Matrix!$1:$1,0)),"")</f>
        <v/>
      </c>
      <c r="P68" s="4">
        <f t="array" ref="P68">IFERROR(INDEX(Unified_Matrix!$A:$ZZ,ROW(A65),MATCH("Req_OVR_Max",Unified_Matrix!$1:$1,0)),"")</f>
        <v/>
      </c>
      <c r="Q68" s="4">
        <f t="array" ref="Q68">IFERROR(INDEX(Unified_Matrix!$A:$ZZ,ROW(A65),MATCH("Req_Other",Unified_Matrix!$1:$1,0)),"")</f>
        <v/>
      </c>
    </row>
    <row r="69" hidden="1">
      <c r="J69" s="4">
        <f t="array" ref="J69">IFERROR(INDEX(Unified_Matrix!$A:$ZZ,ROW(A66),MATCH("Max "&amp;$J$9,Unified_Matrix!$1:$1,0)),"")</f>
        <v/>
      </c>
      <c r="K69" s="4">
        <f t="array" ref="K69">IFERROR(INDEX(Unified_Matrix!$A:$ZZ,ROW(A66),MATCH("Evolution_Name",Unified_Matrix!$1:$1,0)),"")</f>
        <v/>
      </c>
      <c r="L69" s="4">
        <f>IF(J69="","",IF(J69=0,"",IF(J69=$AB$28,1,IF(J69=$AB$29,2,IF(J69=$AB$30,3,"")))))</f>
        <v/>
      </c>
      <c r="M69" s="4">
        <f t="array" ref="M69">IFERROR(INDEX(Unified_Matrix!$A:$ZZ,ROW(A66),MATCH("+ OVR",Unified_Matrix!$1:$1,0)),"")</f>
        <v/>
      </c>
      <c r="N69" s="4">
        <f t="array" ref="N69">IFERROR(INDEX(Unified_Matrix!$A:$ZZ,ROW(A66),MATCH("Max OVR",Unified_Matrix!$1:$1,0)),"")</f>
        <v/>
      </c>
      <c r="O69" s="4">
        <f t="array" ref="O69">IFERROR(INDEX(Unified_Matrix!$A:$ZZ,ROW(A66),MATCH("Req_Position",Unified_Matrix!$1:$1,0)),"")</f>
        <v/>
      </c>
      <c r="P69" s="4">
        <f t="array" ref="P69">IFERROR(INDEX(Unified_Matrix!$A:$ZZ,ROW(A66),MATCH("Req_OVR_Max",Unified_Matrix!$1:$1,0)),"")</f>
        <v/>
      </c>
      <c r="Q69" s="4">
        <f t="array" ref="Q69">IFERROR(INDEX(Unified_Matrix!$A:$ZZ,ROW(A66),MATCH("Req_Other",Unified_Matrix!$1:$1,0)),"")</f>
        <v/>
      </c>
    </row>
    <row r="70" hidden="1">
      <c r="J70" s="4">
        <f t="array" ref="J70">IFERROR(INDEX(Unified_Matrix!$A:$ZZ,ROW(A67),MATCH("Max "&amp;$J$9,Unified_Matrix!$1:$1,0)),"")</f>
        <v/>
      </c>
      <c r="K70" s="4">
        <f t="array" ref="K70">IFERROR(INDEX(Unified_Matrix!$A:$ZZ,ROW(A67),MATCH("Evolution_Name",Unified_Matrix!$1:$1,0)),"")</f>
        <v/>
      </c>
      <c r="L70" s="4">
        <f>IF(J70="","",IF(J70=0,"",IF(J70=$AB$28,1,IF(J70=$AB$29,2,IF(J70=$AB$30,3,"")))))</f>
        <v/>
      </c>
      <c r="M70" s="4">
        <f t="array" ref="M70">IFERROR(INDEX(Unified_Matrix!$A:$ZZ,ROW(A67),MATCH("+ OVR",Unified_Matrix!$1:$1,0)),"")</f>
        <v/>
      </c>
      <c r="N70" s="4">
        <f t="array" ref="N70">IFERROR(INDEX(Unified_Matrix!$A:$ZZ,ROW(A67),MATCH("Max OVR",Unified_Matrix!$1:$1,0)),"")</f>
        <v/>
      </c>
      <c r="O70" s="4">
        <f t="array" ref="O70">IFERROR(INDEX(Unified_Matrix!$A:$ZZ,ROW(A67),MATCH("Req_Position",Unified_Matrix!$1:$1,0)),"")</f>
        <v/>
      </c>
      <c r="P70" s="4">
        <f t="array" ref="P70">IFERROR(INDEX(Unified_Matrix!$A:$ZZ,ROW(A67),MATCH("Req_OVR_Max",Unified_Matrix!$1:$1,0)),"")</f>
        <v/>
      </c>
      <c r="Q70" s="4">
        <f t="array" ref="Q70">IFERROR(INDEX(Unified_Matrix!$A:$ZZ,ROW(A67),MATCH("Req_Other",Unified_Matrix!$1:$1,0)),"")</f>
        <v/>
      </c>
    </row>
    <row r="71" hidden="1">
      <c r="J71" s="4">
        <f t="array" ref="J71">IFERROR(INDEX(Unified_Matrix!$A:$ZZ,ROW(A68),MATCH("Max "&amp;$J$9,Unified_Matrix!$1:$1,0)),"")</f>
        <v/>
      </c>
      <c r="K71" s="4">
        <f t="array" ref="K71">IFERROR(INDEX(Unified_Matrix!$A:$ZZ,ROW(A68),MATCH("Evolution_Name",Unified_Matrix!$1:$1,0)),"")</f>
        <v/>
      </c>
      <c r="L71" s="4">
        <f>IF(J71="","",IF(J71=0,"",IF(J71=$AB$28,1,IF(J71=$AB$29,2,IF(J71=$AB$30,3,"")))))</f>
        <v/>
      </c>
      <c r="M71" s="4">
        <f t="array" ref="M71">IFERROR(INDEX(Unified_Matrix!$A:$ZZ,ROW(A68),MATCH("+ OVR",Unified_Matrix!$1:$1,0)),"")</f>
        <v/>
      </c>
      <c r="N71" s="4">
        <f t="array" ref="N71">IFERROR(INDEX(Unified_Matrix!$A:$ZZ,ROW(A68),MATCH("Max OVR",Unified_Matrix!$1:$1,0)),"")</f>
        <v/>
      </c>
      <c r="O71" s="4">
        <f t="array" ref="O71">IFERROR(INDEX(Unified_Matrix!$A:$ZZ,ROW(A68),MATCH("Req_Position",Unified_Matrix!$1:$1,0)),"")</f>
        <v/>
      </c>
      <c r="P71" s="4">
        <f t="array" ref="P71">IFERROR(INDEX(Unified_Matrix!$A:$ZZ,ROW(A68),MATCH("Req_OVR_Max",Unified_Matrix!$1:$1,0)),"")</f>
        <v/>
      </c>
      <c r="Q71" s="4">
        <f t="array" ref="Q71">IFERROR(INDEX(Unified_Matrix!$A:$ZZ,ROW(A68),MATCH("Req_Other",Unified_Matrix!$1:$1,0)),"")</f>
        <v/>
      </c>
    </row>
    <row r="72" hidden="1">
      <c r="J72" s="4">
        <f t="array" ref="J72">IFERROR(INDEX(Unified_Matrix!$A:$ZZ,ROW(A69),MATCH("Max "&amp;$J$9,Unified_Matrix!$1:$1,0)),"")</f>
        <v/>
      </c>
      <c r="K72" s="4">
        <f t="array" ref="K72">IFERROR(INDEX(Unified_Matrix!$A:$ZZ,ROW(A69),MATCH("Evolution_Name",Unified_Matrix!$1:$1,0)),"")</f>
        <v/>
      </c>
      <c r="L72" s="4">
        <f>IF(J72="","",IF(J72=0,"",IF(J72=$AB$28,1,IF(J72=$AB$29,2,IF(J72=$AB$30,3,"")))))</f>
        <v/>
      </c>
      <c r="M72" s="4">
        <f t="array" ref="M72">IFERROR(INDEX(Unified_Matrix!$A:$ZZ,ROW(A69),MATCH("+ OVR",Unified_Matrix!$1:$1,0)),"")</f>
        <v/>
      </c>
      <c r="N72" s="4">
        <f t="array" ref="N72">IFERROR(INDEX(Unified_Matrix!$A:$ZZ,ROW(A69),MATCH("Max OVR",Unified_Matrix!$1:$1,0)),"")</f>
        <v/>
      </c>
      <c r="O72" s="4">
        <f t="array" ref="O72">IFERROR(INDEX(Unified_Matrix!$A:$ZZ,ROW(A69),MATCH("Req_Position",Unified_Matrix!$1:$1,0)),"")</f>
        <v/>
      </c>
      <c r="P72" s="4">
        <f t="array" ref="P72">IFERROR(INDEX(Unified_Matrix!$A:$ZZ,ROW(A69),MATCH("Req_OVR_Max",Unified_Matrix!$1:$1,0)),"")</f>
        <v/>
      </c>
      <c r="Q72" s="4">
        <f t="array" ref="Q72">IFERROR(INDEX(Unified_Matrix!$A:$ZZ,ROW(A69),MATCH("Req_Other",Unified_Matrix!$1:$1,0)),"")</f>
        <v/>
      </c>
    </row>
    <row r="73" hidden="1">
      <c r="J73" s="4">
        <f t="array" ref="J73">IFERROR(INDEX(Unified_Matrix!$A:$ZZ,ROW(A70),MATCH("Max "&amp;$J$9,Unified_Matrix!$1:$1,0)),"")</f>
        <v/>
      </c>
      <c r="K73" s="4">
        <f t="array" ref="K73">IFERROR(INDEX(Unified_Matrix!$A:$ZZ,ROW(A70),MATCH("Evolution_Name",Unified_Matrix!$1:$1,0)),"")</f>
        <v/>
      </c>
      <c r="L73" s="4">
        <f>IF(J73="","",IF(J73=0,"",IF(J73=$AB$28,1,IF(J73=$AB$29,2,IF(J73=$AB$30,3,"")))))</f>
        <v/>
      </c>
      <c r="M73" s="4">
        <f t="array" ref="M73">IFERROR(INDEX(Unified_Matrix!$A:$ZZ,ROW(A70),MATCH("+ OVR",Unified_Matrix!$1:$1,0)),"")</f>
        <v/>
      </c>
      <c r="N73" s="4">
        <f t="array" ref="N73">IFERROR(INDEX(Unified_Matrix!$A:$ZZ,ROW(A70),MATCH("Max OVR",Unified_Matrix!$1:$1,0)),"")</f>
        <v/>
      </c>
      <c r="O73" s="4">
        <f t="array" ref="O73">IFERROR(INDEX(Unified_Matrix!$A:$ZZ,ROW(A70),MATCH("Req_Position",Unified_Matrix!$1:$1,0)),"")</f>
        <v/>
      </c>
      <c r="P73" s="4">
        <f t="array" ref="P73">IFERROR(INDEX(Unified_Matrix!$A:$ZZ,ROW(A70),MATCH("Req_OVR_Max",Unified_Matrix!$1:$1,0)),"")</f>
        <v/>
      </c>
      <c r="Q73" s="4">
        <f t="array" ref="Q73">IFERROR(INDEX(Unified_Matrix!$A:$ZZ,ROW(A70),MATCH("Req_Other",Unified_Matrix!$1:$1,0)),"")</f>
        <v/>
      </c>
    </row>
    <row r="74" hidden="1">
      <c r="J74" s="4">
        <f t="array" ref="J74">IFERROR(INDEX(Unified_Matrix!$A:$ZZ,ROW(A71),MATCH("Max "&amp;$J$9,Unified_Matrix!$1:$1,0)),"")</f>
        <v/>
      </c>
      <c r="K74" s="4">
        <f t="array" ref="K74">IFERROR(INDEX(Unified_Matrix!$A:$ZZ,ROW(A71),MATCH("Evolution_Name",Unified_Matrix!$1:$1,0)),"")</f>
        <v/>
      </c>
      <c r="L74" s="4">
        <f>IF(J74="","",IF(J74=0,"",IF(J74=$AB$28,1,IF(J74=$AB$29,2,IF(J74=$AB$30,3,"")))))</f>
        <v/>
      </c>
      <c r="M74" s="4">
        <f t="array" ref="M74">IFERROR(INDEX(Unified_Matrix!$A:$ZZ,ROW(A71),MATCH("+ OVR",Unified_Matrix!$1:$1,0)),"")</f>
        <v/>
      </c>
      <c r="N74" s="4">
        <f t="array" ref="N74">IFERROR(INDEX(Unified_Matrix!$A:$ZZ,ROW(A71),MATCH("Max OVR",Unified_Matrix!$1:$1,0)),"")</f>
        <v/>
      </c>
      <c r="O74" s="4">
        <f t="array" ref="O74">IFERROR(INDEX(Unified_Matrix!$A:$ZZ,ROW(A71),MATCH("Req_Position",Unified_Matrix!$1:$1,0)),"")</f>
        <v/>
      </c>
      <c r="P74" s="4">
        <f t="array" ref="P74">IFERROR(INDEX(Unified_Matrix!$A:$ZZ,ROW(A71),MATCH("Req_OVR_Max",Unified_Matrix!$1:$1,0)),"")</f>
        <v/>
      </c>
      <c r="Q74" s="4">
        <f t="array" ref="Q74">IFERROR(INDEX(Unified_Matrix!$A:$ZZ,ROW(A71),MATCH("Req_Other",Unified_Matrix!$1:$1,0)),"")</f>
        <v/>
      </c>
    </row>
    <row r="75" hidden="1">
      <c r="J75" s="4">
        <f t="array" ref="J75">IFERROR(INDEX(Unified_Matrix!$A:$ZZ,ROW(A72),MATCH("Max "&amp;$J$9,Unified_Matrix!$1:$1,0)),"")</f>
        <v/>
      </c>
      <c r="K75" s="4">
        <f t="array" ref="K75">IFERROR(INDEX(Unified_Matrix!$A:$ZZ,ROW(A72),MATCH("Evolution_Name",Unified_Matrix!$1:$1,0)),"")</f>
        <v/>
      </c>
      <c r="L75" s="4">
        <f>IF(J75="","",IF(J75=0,"",IF(J75=$AB$28,1,IF(J75=$AB$29,2,IF(J75=$AB$30,3,"")))))</f>
        <v/>
      </c>
      <c r="M75" s="4">
        <f t="array" ref="M75">IFERROR(INDEX(Unified_Matrix!$A:$ZZ,ROW(A72),MATCH("+ OVR",Unified_Matrix!$1:$1,0)),"")</f>
        <v/>
      </c>
      <c r="N75" s="4">
        <f t="array" ref="N75">IFERROR(INDEX(Unified_Matrix!$A:$ZZ,ROW(A72),MATCH("Max OVR",Unified_Matrix!$1:$1,0)),"")</f>
        <v/>
      </c>
      <c r="O75" s="4">
        <f t="array" ref="O75">IFERROR(INDEX(Unified_Matrix!$A:$ZZ,ROW(A72),MATCH("Req_Position",Unified_Matrix!$1:$1,0)),"")</f>
        <v/>
      </c>
      <c r="P75" s="4">
        <f t="array" ref="P75">IFERROR(INDEX(Unified_Matrix!$A:$ZZ,ROW(A72),MATCH("Req_OVR_Max",Unified_Matrix!$1:$1,0)),"")</f>
        <v/>
      </c>
      <c r="Q75" s="4">
        <f t="array" ref="Q75">IFERROR(INDEX(Unified_Matrix!$A:$ZZ,ROW(A72),MATCH("Req_Other",Unified_Matrix!$1:$1,0)),"")</f>
        <v/>
      </c>
    </row>
    <row r="76" hidden="1">
      <c r="J76" s="4">
        <f t="array" ref="J76">IFERROR(INDEX(Unified_Matrix!$A:$ZZ,ROW(A73),MATCH("Max "&amp;$J$9,Unified_Matrix!$1:$1,0)),"")</f>
        <v/>
      </c>
      <c r="K76" s="4">
        <f t="array" ref="K76">IFERROR(INDEX(Unified_Matrix!$A:$ZZ,ROW(A73),MATCH("Evolution_Name",Unified_Matrix!$1:$1,0)),"")</f>
        <v/>
      </c>
      <c r="L76" s="4">
        <f>IF(J76="","",IF(J76=0,"",IF(J76=$AB$28,1,IF(J76=$AB$29,2,IF(J76=$AB$30,3,"")))))</f>
        <v/>
      </c>
      <c r="M76" s="4">
        <f t="array" ref="M76">IFERROR(INDEX(Unified_Matrix!$A:$ZZ,ROW(A73),MATCH("+ OVR",Unified_Matrix!$1:$1,0)),"")</f>
        <v/>
      </c>
      <c r="N76" s="4">
        <f t="array" ref="N76">IFERROR(INDEX(Unified_Matrix!$A:$ZZ,ROW(A73),MATCH("Max OVR",Unified_Matrix!$1:$1,0)),"")</f>
        <v/>
      </c>
      <c r="O76" s="4">
        <f t="array" ref="O76">IFERROR(INDEX(Unified_Matrix!$A:$ZZ,ROW(A73),MATCH("Req_Position",Unified_Matrix!$1:$1,0)),"")</f>
        <v/>
      </c>
      <c r="P76" s="4">
        <f t="array" ref="P76">IFERROR(INDEX(Unified_Matrix!$A:$ZZ,ROW(A73),MATCH("Req_OVR_Max",Unified_Matrix!$1:$1,0)),"")</f>
        <v/>
      </c>
      <c r="Q76" s="4">
        <f t="array" ref="Q76">IFERROR(INDEX(Unified_Matrix!$A:$ZZ,ROW(A73),MATCH("Req_Other",Unified_Matrix!$1:$1,0)),"")</f>
        <v/>
      </c>
    </row>
    <row r="77" hidden="1">
      <c r="J77" s="4">
        <f t="array" ref="J77">IFERROR(INDEX(Unified_Matrix!$A:$ZZ,ROW(A74),MATCH("Max "&amp;$J$9,Unified_Matrix!$1:$1,0)),"")</f>
        <v/>
      </c>
      <c r="K77" s="4">
        <f t="array" ref="K77">IFERROR(INDEX(Unified_Matrix!$A:$ZZ,ROW(A74),MATCH("Evolution_Name",Unified_Matrix!$1:$1,0)),"")</f>
        <v/>
      </c>
      <c r="L77" s="4">
        <f>IF(J77="","",IF(J77=0,"",IF(J77=$AB$28,1,IF(J77=$AB$29,2,IF(J77=$AB$30,3,"")))))</f>
        <v/>
      </c>
      <c r="M77" s="4">
        <f t="array" ref="M77">IFERROR(INDEX(Unified_Matrix!$A:$ZZ,ROW(A74),MATCH("+ OVR",Unified_Matrix!$1:$1,0)),"")</f>
        <v/>
      </c>
      <c r="N77" s="4">
        <f t="array" ref="N77">IFERROR(INDEX(Unified_Matrix!$A:$ZZ,ROW(A74),MATCH("Max OVR",Unified_Matrix!$1:$1,0)),"")</f>
        <v/>
      </c>
      <c r="O77" s="4">
        <f t="array" ref="O77">IFERROR(INDEX(Unified_Matrix!$A:$ZZ,ROW(A74),MATCH("Req_Position",Unified_Matrix!$1:$1,0)),"")</f>
        <v/>
      </c>
      <c r="P77" s="4">
        <f t="array" ref="P77">IFERROR(INDEX(Unified_Matrix!$A:$ZZ,ROW(A74),MATCH("Req_OVR_Max",Unified_Matrix!$1:$1,0)),"")</f>
        <v/>
      </c>
      <c r="Q77" s="4">
        <f t="array" ref="Q77">IFERROR(INDEX(Unified_Matrix!$A:$ZZ,ROW(A74),MATCH("Req_Other",Unified_Matrix!$1:$1,0)),"")</f>
        <v/>
      </c>
    </row>
    <row r="78" hidden="1">
      <c r="J78" s="4">
        <f t="array" ref="J78">IFERROR(INDEX(Unified_Matrix!$A:$ZZ,ROW(A75),MATCH("Max "&amp;$J$9,Unified_Matrix!$1:$1,0)),"")</f>
        <v/>
      </c>
      <c r="K78" s="4">
        <f t="array" ref="K78">IFERROR(INDEX(Unified_Matrix!$A:$ZZ,ROW(A75),MATCH("Evolution_Name",Unified_Matrix!$1:$1,0)),"")</f>
        <v/>
      </c>
      <c r="L78" s="4">
        <f>IF(J78="","",IF(J78=0,"",IF(J78=$AB$28,1,IF(J78=$AB$29,2,IF(J78=$AB$30,3,"")))))</f>
        <v/>
      </c>
      <c r="M78" s="4">
        <f t="array" ref="M78">IFERROR(INDEX(Unified_Matrix!$A:$ZZ,ROW(A75),MATCH("+ OVR",Unified_Matrix!$1:$1,0)),"")</f>
        <v/>
      </c>
      <c r="N78" s="4">
        <f t="array" ref="N78">IFERROR(INDEX(Unified_Matrix!$A:$ZZ,ROW(A75),MATCH("Max OVR",Unified_Matrix!$1:$1,0)),"")</f>
        <v/>
      </c>
      <c r="O78" s="4">
        <f t="array" ref="O78">IFERROR(INDEX(Unified_Matrix!$A:$ZZ,ROW(A75),MATCH("Req_Position",Unified_Matrix!$1:$1,0)),"")</f>
        <v/>
      </c>
      <c r="P78" s="4">
        <f t="array" ref="P78">IFERROR(INDEX(Unified_Matrix!$A:$ZZ,ROW(A75),MATCH("Req_OVR_Max",Unified_Matrix!$1:$1,0)),"")</f>
        <v/>
      </c>
      <c r="Q78" s="4">
        <f t="array" ref="Q78">IFERROR(INDEX(Unified_Matrix!$A:$ZZ,ROW(A75),MATCH("Req_Other",Unified_Matrix!$1:$1,0)),"")</f>
        <v/>
      </c>
    </row>
    <row r="79" hidden="1">
      <c r="J79" s="4">
        <f t="array" ref="J79">IFERROR(INDEX(Unified_Matrix!$A:$ZZ,ROW(A76),MATCH("Max "&amp;$J$9,Unified_Matrix!$1:$1,0)),"")</f>
        <v/>
      </c>
      <c r="K79" s="4">
        <f t="array" ref="K79">IFERROR(INDEX(Unified_Matrix!$A:$ZZ,ROW(A76),MATCH("Evolution_Name",Unified_Matrix!$1:$1,0)),"")</f>
        <v/>
      </c>
      <c r="L79" s="4">
        <f>IF(J79="","",IF(J79=0,"",IF(J79=$AB$28,1,IF(J79=$AB$29,2,IF(J79=$AB$30,3,"")))))</f>
        <v/>
      </c>
      <c r="M79" s="4">
        <f t="array" ref="M79">IFERROR(INDEX(Unified_Matrix!$A:$ZZ,ROW(A76),MATCH("+ OVR",Unified_Matrix!$1:$1,0)),"")</f>
        <v/>
      </c>
      <c r="N79" s="4">
        <f t="array" ref="N79">IFERROR(INDEX(Unified_Matrix!$A:$ZZ,ROW(A76),MATCH("Max OVR",Unified_Matrix!$1:$1,0)),"")</f>
        <v/>
      </c>
      <c r="O79" s="4">
        <f t="array" ref="O79">IFERROR(INDEX(Unified_Matrix!$A:$ZZ,ROW(A76),MATCH("Req_Position",Unified_Matrix!$1:$1,0)),"")</f>
        <v/>
      </c>
      <c r="P79" s="4">
        <f t="array" ref="P79">IFERROR(INDEX(Unified_Matrix!$A:$ZZ,ROW(A76),MATCH("Req_OVR_Max",Unified_Matrix!$1:$1,0)),"")</f>
        <v/>
      </c>
      <c r="Q79" s="4">
        <f t="array" ref="Q79">IFERROR(INDEX(Unified_Matrix!$A:$ZZ,ROW(A76),MATCH("Req_Other",Unified_Matrix!$1:$1,0)),"")</f>
        <v/>
      </c>
    </row>
    <row r="80" hidden="1">
      <c r="J80" s="4">
        <f t="array" ref="J80">IFERROR(INDEX(Unified_Matrix!$A:$ZZ,ROW(A77),MATCH("Max "&amp;$J$9,Unified_Matrix!$1:$1,0)),"")</f>
        <v/>
      </c>
      <c r="K80" s="4">
        <f t="array" ref="K80">IFERROR(INDEX(Unified_Matrix!$A:$ZZ,ROW(A77),MATCH("Evolution_Name",Unified_Matrix!$1:$1,0)),"")</f>
        <v/>
      </c>
      <c r="L80" s="4">
        <f>IF(J80="","",IF(J80=0,"",IF(J80=$AB$28,1,IF(J80=$AB$29,2,IF(J80=$AB$30,3,"")))))</f>
        <v/>
      </c>
      <c r="M80" s="4">
        <f t="array" ref="M80">IFERROR(INDEX(Unified_Matrix!$A:$ZZ,ROW(A77),MATCH("+ OVR",Unified_Matrix!$1:$1,0)),"")</f>
        <v/>
      </c>
      <c r="N80" s="4">
        <f t="array" ref="N80">IFERROR(INDEX(Unified_Matrix!$A:$ZZ,ROW(A77),MATCH("Max OVR",Unified_Matrix!$1:$1,0)),"")</f>
        <v/>
      </c>
      <c r="O80" s="4">
        <f t="array" ref="O80">IFERROR(INDEX(Unified_Matrix!$A:$ZZ,ROW(A77),MATCH("Req_Position",Unified_Matrix!$1:$1,0)),"")</f>
        <v/>
      </c>
      <c r="P80" s="4">
        <f t="array" ref="P80">IFERROR(INDEX(Unified_Matrix!$A:$ZZ,ROW(A77),MATCH("Req_OVR_Max",Unified_Matrix!$1:$1,0)),"")</f>
        <v/>
      </c>
      <c r="Q80" s="4">
        <f t="array" ref="Q80">IFERROR(INDEX(Unified_Matrix!$A:$ZZ,ROW(A77),MATCH("Req_Other",Unified_Matrix!$1:$1,0)),"")</f>
        <v/>
      </c>
    </row>
    <row r="81" hidden="1">
      <c r="J81" s="4">
        <f t="array" ref="J81">IFERROR(INDEX(Unified_Matrix!$A:$ZZ,ROW(A78),MATCH("Max "&amp;$J$9,Unified_Matrix!$1:$1,0)),"")</f>
        <v/>
      </c>
      <c r="K81" s="4">
        <f t="array" ref="K81">IFERROR(INDEX(Unified_Matrix!$A:$ZZ,ROW(A78),MATCH("Evolution_Name",Unified_Matrix!$1:$1,0)),"")</f>
        <v/>
      </c>
      <c r="L81" s="4">
        <f>IF(J81="","",IF(J81=0,"",IF(J81=$AB$28,1,IF(J81=$AB$29,2,IF(J81=$AB$30,3,"")))))</f>
        <v/>
      </c>
      <c r="M81" s="4">
        <f t="array" ref="M81">IFERROR(INDEX(Unified_Matrix!$A:$ZZ,ROW(A78),MATCH("+ OVR",Unified_Matrix!$1:$1,0)),"")</f>
        <v/>
      </c>
      <c r="N81" s="4">
        <f t="array" ref="N81">IFERROR(INDEX(Unified_Matrix!$A:$ZZ,ROW(A78),MATCH("Max OVR",Unified_Matrix!$1:$1,0)),"")</f>
        <v/>
      </c>
      <c r="O81" s="4">
        <f t="array" ref="O81">IFERROR(INDEX(Unified_Matrix!$A:$ZZ,ROW(A78),MATCH("Req_Position",Unified_Matrix!$1:$1,0)),"")</f>
        <v/>
      </c>
      <c r="P81" s="4">
        <f t="array" ref="P81">IFERROR(INDEX(Unified_Matrix!$A:$ZZ,ROW(A78),MATCH("Req_OVR_Max",Unified_Matrix!$1:$1,0)),"")</f>
        <v/>
      </c>
      <c r="Q81" s="4">
        <f t="array" ref="Q81">IFERROR(INDEX(Unified_Matrix!$A:$ZZ,ROW(A78),MATCH("Req_Other",Unified_Matrix!$1:$1,0)),"")</f>
        <v/>
      </c>
    </row>
    <row r="82" hidden="1">
      <c r="J82" s="4">
        <f t="array" ref="J82">IFERROR(INDEX(Unified_Matrix!$A:$ZZ,ROW(A79),MATCH("Max "&amp;$J$9,Unified_Matrix!$1:$1,0)),"")</f>
        <v/>
      </c>
      <c r="K82" s="4">
        <f t="array" ref="K82">IFERROR(INDEX(Unified_Matrix!$A:$ZZ,ROW(A79),MATCH("Evolution_Name",Unified_Matrix!$1:$1,0)),"")</f>
        <v/>
      </c>
      <c r="L82" s="4">
        <f>IF(J82="","",IF(J82=0,"",IF(J82=$AB$28,1,IF(J82=$AB$29,2,IF(J82=$AB$30,3,"")))))</f>
        <v/>
      </c>
      <c r="M82" s="4">
        <f t="array" ref="M82">IFERROR(INDEX(Unified_Matrix!$A:$ZZ,ROW(A79),MATCH("+ OVR",Unified_Matrix!$1:$1,0)),"")</f>
        <v/>
      </c>
      <c r="N82" s="4">
        <f t="array" ref="N82">IFERROR(INDEX(Unified_Matrix!$A:$ZZ,ROW(A79),MATCH("Max OVR",Unified_Matrix!$1:$1,0)),"")</f>
        <v/>
      </c>
      <c r="O82" s="4">
        <f t="array" ref="O82">IFERROR(INDEX(Unified_Matrix!$A:$ZZ,ROW(A79),MATCH("Req_Position",Unified_Matrix!$1:$1,0)),"")</f>
        <v/>
      </c>
      <c r="P82" s="4">
        <f t="array" ref="P82">IFERROR(INDEX(Unified_Matrix!$A:$ZZ,ROW(A79),MATCH("Req_OVR_Max",Unified_Matrix!$1:$1,0)),"")</f>
        <v/>
      </c>
      <c r="Q82" s="4">
        <f t="array" ref="Q82">IFERROR(INDEX(Unified_Matrix!$A:$ZZ,ROW(A79),MATCH("Req_Other",Unified_Matrix!$1:$1,0)),"")</f>
        <v/>
      </c>
    </row>
    <row r="83" hidden="1">
      <c r="J83" s="4">
        <f t="array" ref="J83">IFERROR(INDEX(Unified_Matrix!$A:$ZZ,ROW(A80),MATCH("Max "&amp;$J$9,Unified_Matrix!$1:$1,0)),"")</f>
        <v/>
      </c>
      <c r="K83" s="4">
        <f t="array" ref="K83">IFERROR(INDEX(Unified_Matrix!$A:$ZZ,ROW(A80),MATCH("Evolution_Name",Unified_Matrix!$1:$1,0)),"")</f>
        <v/>
      </c>
      <c r="L83" s="4">
        <f>IF(J83="","",IF(J83=0,"",IF(J83=$AB$28,1,IF(J83=$AB$29,2,IF(J83=$AB$30,3,"")))))</f>
        <v/>
      </c>
      <c r="M83" s="4">
        <f t="array" ref="M83">IFERROR(INDEX(Unified_Matrix!$A:$ZZ,ROW(A80),MATCH("+ OVR",Unified_Matrix!$1:$1,0)),"")</f>
        <v/>
      </c>
      <c r="N83" s="4">
        <f t="array" ref="N83">IFERROR(INDEX(Unified_Matrix!$A:$ZZ,ROW(A80),MATCH("Max OVR",Unified_Matrix!$1:$1,0)),"")</f>
        <v/>
      </c>
      <c r="O83" s="4">
        <f t="array" ref="O83">IFERROR(INDEX(Unified_Matrix!$A:$ZZ,ROW(A80),MATCH("Req_Position",Unified_Matrix!$1:$1,0)),"")</f>
        <v/>
      </c>
      <c r="P83" s="4">
        <f t="array" ref="P83">IFERROR(INDEX(Unified_Matrix!$A:$ZZ,ROW(A80),MATCH("Req_OVR_Max",Unified_Matrix!$1:$1,0)),"")</f>
        <v/>
      </c>
      <c r="Q83" s="4">
        <f t="array" ref="Q83">IFERROR(INDEX(Unified_Matrix!$A:$ZZ,ROW(A80),MATCH("Req_Other",Unified_Matrix!$1:$1,0)),"")</f>
        <v/>
      </c>
    </row>
    <row r="84" hidden="1">
      <c r="J84" s="4">
        <f t="array" ref="J84">IFERROR(INDEX(Unified_Matrix!$A:$ZZ,ROW(A81),MATCH("Max "&amp;$J$9,Unified_Matrix!$1:$1,0)),"")</f>
        <v/>
      </c>
      <c r="K84" s="4">
        <f t="array" ref="K84">IFERROR(INDEX(Unified_Matrix!$A:$ZZ,ROW(A81),MATCH("Evolution_Name",Unified_Matrix!$1:$1,0)),"")</f>
        <v/>
      </c>
      <c r="L84" s="4">
        <f>IF(J84="","",IF(J84=0,"",IF(J84=$AB$28,1,IF(J84=$AB$29,2,IF(J84=$AB$30,3,"")))))</f>
        <v/>
      </c>
      <c r="M84" s="4">
        <f t="array" ref="M84">IFERROR(INDEX(Unified_Matrix!$A:$ZZ,ROW(A81),MATCH("+ OVR",Unified_Matrix!$1:$1,0)),"")</f>
        <v/>
      </c>
      <c r="N84" s="4">
        <f t="array" ref="N84">IFERROR(INDEX(Unified_Matrix!$A:$ZZ,ROW(A81),MATCH("Max OVR",Unified_Matrix!$1:$1,0)),"")</f>
        <v/>
      </c>
      <c r="O84" s="4">
        <f t="array" ref="O84">IFERROR(INDEX(Unified_Matrix!$A:$ZZ,ROW(A81),MATCH("Req_Position",Unified_Matrix!$1:$1,0)),"")</f>
        <v/>
      </c>
      <c r="P84" s="4">
        <f t="array" ref="P84">IFERROR(INDEX(Unified_Matrix!$A:$ZZ,ROW(A81),MATCH("Req_OVR_Max",Unified_Matrix!$1:$1,0)),"")</f>
        <v/>
      </c>
      <c r="Q84" s="4">
        <f t="array" ref="Q84">IFERROR(INDEX(Unified_Matrix!$A:$ZZ,ROW(A81),MATCH("Req_Other",Unified_Matrix!$1:$1,0)),"")</f>
        <v/>
      </c>
    </row>
    <row r="85" hidden="1">
      <c r="J85" s="4">
        <f t="array" ref="J85">IFERROR(INDEX(Unified_Matrix!$A:$ZZ,ROW(A82),MATCH("Max "&amp;$J$9,Unified_Matrix!$1:$1,0)),"")</f>
        <v/>
      </c>
      <c r="K85" s="4">
        <f t="array" ref="K85">IFERROR(INDEX(Unified_Matrix!$A:$ZZ,ROW(A82),MATCH("Evolution_Name",Unified_Matrix!$1:$1,0)),"")</f>
        <v/>
      </c>
      <c r="L85" s="4">
        <f>IF(J85="","",IF(J85=0,"",IF(J85=$AB$28,1,IF(J85=$AB$29,2,IF(J85=$AB$30,3,"")))))</f>
        <v/>
      </c>
      <c r="M85" s="4">
        <f t="array" ref="M85">IFERROR(INDEX(Unified_Matrix!$A:$ZZ,ROW(A82),MATCH("+ OVR",Unified_Matrix!$1:$1,0)),"")</f>
        <v/>
      </c>
      <c r="N85" s="4">
        <f t="array" ref="N85">IFERROR(INDEX(Unified_Matrix!$A:$ZZ,ROW(A82),MATCH("Max OVR",Unified_Matrix!$1:$1,0)),"")</f>
        <v/>
      </c>
      <c r="O85" s="4">
        <f t="array" ref="O85">IFERROR(INDEX(Unified_Matrix!$A:$ZZ,ROW(A82),MATCH("Req_Position",Unified_Matrix!$1:$1,0)),"")</f>
        <v/>
      </c>
      <c r="P85" s="4">
        <f t="array" ref="P85">IFERROR(INDEX(Unified_Matrix!$A:$ZZ,ROW(A82),MATCH("Req_OVR_Max",Unified_Matrix!$1:$1,0)),"")</f>
        <v/>
      </c>
      <c r="Q85" s="4">
        <f t="array" ref="Q85">IFERROR(INDEX(Unified_Matrix!$A:$ZZ,ROW(A82),MATCH("Req_Other",Unified_Matrix!$1:$1,0)),"")</f>
        <v/>
      </c>
    </row>
    <row r="86" hidden="1">
      <c r="J86" s="4">
        <f t="array" ref="J86">IFERROR(INDEX(Unified_Matrix!$A:$ZZ,ROW(A83),MATCH("Max "&amp;$J$9,Unified_Matrix!$1:$1,0)),"")</f>
        <v/>
      </c>
      <c r="K86" s="4">
        <f t="array" ref="K86">IFERROR(INDEX(Unified_Matrix!$A:$ZZ,ROW(A83),MATCH("Evolution_Name",Unified_Matrix!$1:$1,0)),"")</f>
        <v/>
      </c>
      <c r="L86" s="4">
        <f>IF(J86="","",IF(J86=0,"",IF(J86=$AB$28,1,IF(J86=$AB$29,2,IF(J86=$AB$30,3,"")))))</f>
        <v/>
      </c>
      <c r="M86" s="4">
        <f t="array" ref="M86">IFERROR(INDEX(Unified_Matrix!$A:$ZZ,ROW(A83),MATCH("+ OVR",Unified_Matrix!$1:$1,0)),"")</f>
        <v/>
      </c>
      <c r="N86" s="4">
        <f t="array" ref="N86">IFERROR(INDEX(Unified_Matrix!$A:$ZZ,ROW(A83),MATCH("Max OVR",Unified_Matrix!$1:$1,0)),"")</f>
        <v/>
      </c>
      <c r="O86" s="4">
        <f t="array" ref="O86">IFERROR(INDEX(Unified_Matrix!$A:$ZZ,ROW(A83),MATCH("Req_Position",Unified_Matrix!$1:$1,0)),"")</f>
        <v/>
      </c>
      <c r="P86" s="4">
        <f t="array" ref="P86">IFERROR(INDEX(Unified_Matrix!$A:$ZZ,ROW(A83),MATCH("Req_OVR_Max",Unified_Matrix!$1:$1,0)),"")</f>
        <v/>
      </c>
      <c r="Q86" s="4">
        <f t="array" ref="Q86">IFERROR(INDEX(Unified_Matrix!$A:$ZZ,ROW(A83),MATCH("Req_Other",Unified_Matrix!$1:$1,0)),"")</f>
        <v/>
      </c>
    </row>
    <row r="87" hidden="1">
      <c r="J87" s="4">
        <f t="array" ref="J87">IFERROR(INDEX(Unified_Matrix!$A:$ZZ,ROW(A84),MATCH("Max "&amp;$J$9,Unified_Matrix!$1:$1,0)),"")</f>
        <v/>
      </c>
      <c r="K87" s="4">
        <f t="array" ref="K87">IFERROR(INDEX(Unified_Matrix!$A:$ZZ,ROW(A84),MATCH("Evolution_Name",Unified_Matrix!$1:$1,0)),"")</f>
        <v/>
      </c>
      <c r="L87" s="4">
        <f>IF(J87="","",IF(J87=0,"",IF(J87=$AB$28,1,IF(J87=$AB$29,2,IF(J87=$AB$30,3,"")))))</f>
        <v/>
      </c>
      <c r="M87" s="4">
        <f t="array" ref="M87">IFERROR(INDEX(Unified_Matrix!$A:$ZZ,ROW(A84),MATCH("+ OVR",Unified_Matrix!$1:$1,0)),"")</f>
        <v/>
      </c>
      <c r="N87" s="4">
        <f t="array" ref="N87">IFERROR(INDEX(Unified_Matrix!$A:$ZZ,ROW(A84),MATCH("Max OVR",Unified_Matrix!$1:$1,0)),"")</f>
        <v/>
      </c>
      <c r="O87" s="4">
        <f t="array" ref="O87">IFERROR(INDEX(Unified_Matrix!$A:$ZZ,ROW(A84),MATCH("Req_Position",Unified_Matrix!$1:$1,0)),"")</f>
        <v/>
      </c>
      <c r="P87" s="4">
        <f t="array" ref="P87">IFERROR(INDEX(Unified_Matrix!$A:$ZZ,ROW(A84),MATCH("Req_OVR_Max",Unified_Matrix!$1:$1,0)),"")</f>
        <v/>
      </c>
      <c r="Q87" s="4">
        <f t="array" ref="Q87">IFERROR(INDEX(Unified_Matrix!$A:$ZZ,ROW(A84),MATCH("Req_Other",Unified_Matrix!$1:$1,0)),"")</f>
        <v/>
      </c>
    </row>
    <row r="88" hidden="1">
      <c r="J88" s="4">
        <f t="array" ref="J88">IFERROR(INDEX(Unified_Matrix!$A:$ZZ,ROW(A85),MATCH("Max "&amp;$J$9,Unified_Matrix!$1:$1,0)),"")</f>
        <v/>
      </c>
      <c r="K88" s="4">
        <f t="array" ref="K88">IFERROR(INDEX(Unified_Matrix!$A:$ZZ,ROW(A85),MATCH("Evolution_Name",Unified_Matrix!$1:$1,0)),"")</f>
        <v/>
      </c>
      <c r="L88" s="4">
        <f>IF(J88="","",IF(J88=0,"",IF(J88=$AB$28,1,IF(J88=$AB$29,2,IF(J88=$AB$30,3,"")))))</f>
        <v/>
      </c>
      <c r="M88" s="4">
        <f t="array" ref="M88">IFERROR(INDEX(Unified_Matrix!$A:$ZZ,ROW(A85),MATCH("+ OVR",Unified_Matrix!$1:$1,0)),"")</f>
        <v/>
      </c>
      <c r="N88" s="4">
        <f t="array" ref="N88">IFERROR(INDEX(Unified_Matrix!$A:$ZZ,ROW(A85),MATCH("Max OVR",Unified_Matrix!$1:$1,0)),"")</f>
        <v/>
      </c>
      <c r="O88" s="4">
        <f t="array" ref="O88">IFERROR(INDEX(Unified_Matrix!$A:$ZZ,ROW(A85),MATCH("Req_Position",Unified_Matrix!$1:$1,0)),"")</f>
        <v/>
      </c>
      <c r="P88" s="4">
        <f t="array" ref="P88">IFERROR(INDEX(Unified_Matrix!$A:$ZZ,ROW(A85),MATCH("Req_OVR_Max",Unified_Matrix!$1:$1,0)),"")</f>
        <v/>
      </c>
      <c r="Q88" s="4">
        <f t="array" ref="Q88">IFERROR(INDEX(Unified_Matrix!$A:$ZZ,ROW(A85),MATCH("Req_Other",Unified_Matrix!$1:$1,0)),"")</f>
        <v/>
      </c>
    </row>
    <row r="89" hidden="1">
      <c r="J89" s="4">
        <f t="array" ref="J89">IFERROR(INDEX(Unified_Matrix!$A:$ZZ,ROW(A86),MATCH("Max "&amp;$J$9,Unified_Matrix!$1:$1,0)),"")</f>
        <v/>
      </c>
      <c r="K89" s="4">
        <f t="array" ref="K89">IFERROR(INDEX(Unified_Matrix!$A:$ZZ,ROW(A86),MATCH("Evolution_Name",Unified_Matrix!$1:$1,0)),"")</f>
        <v/>
      </c>
      <c r="L89" s="4">
        <f>IF(J89="","",IF(J89=0,"",IF(J89=$AB$28,1,IF(J89=$AB$29,2,IF(J89=$AB$30,3,"")))))</f>
        <v/>
      </c>
      <c r="M89" s="4">
        <f t="array" ref="M89">IFERROR(INDEX(Unified_Matrix!$A:$ZZ,ROW(A86),MATCH("+ OVR",Unified_Matrix!$1:$1,0)),"")</f>
        <v/>
      </c>
      <c r="N89" s="4">
        <f t="array" ref="N89">IFERROR(INDEX(Unified_Matrix!$A:$ZZ,ROW(A86),MATCH("Max OVR",Unified_Matrix!$1:$1,0)),"")</f>
        <v/>
      </c>
      <c r="O89" s="4">
        <f t="array" ref="O89">IFERROR(INDEX(Unified_Matrix!$A:$ZZ,ROW(A86),MATCH("Req_Position",Unified_Matrix!$1:$1,0)),"")</f>
        <v/>
      </c>
      <c r="P89" s="4">
        <f t="array" ref="P89">IFERROR(INDEX(Unified_Matrix!$A:$ZZ,ROW(A86),MATCH("Req_OVR_Max",Unified_Matrix!$1:$1,0)),"")</f>
        <v/>
      </c>
      <c r="Q89" s="4">
        <f t="array" ref="Q89">IFERROR(INDEX(Unified_Matrix!$A:$ZZ,ROW(A86),MATCH("Req_Other",Unified_Matrix!$1:$1,0)),"")</f>
        <v/>
      </c>
    </row>
    <row r="90" hidden="1">
      <c r="J90" s="4">
        <f t="array" ref="J90">IFERROR(INDEX(Unified_Matrix!$A:$ZZ,ROW(A87),MATCH("Max "&amp;$J$9,Unified_Matrix!$1:$1,0)),"")</f>
        <v/>
      </c>
      <c r="K90" s="4">
        <f t="array" ref="K90">IFERROR(INDEX(Unified_Matrix!$A:$ZZ,ROW(A87),MATCH("Evolution_Name",Unified_Matrix!$1:$1,0)),"")</f>
        <v/>
      </c>
      <c r="L90" s="4">
        <f>IF(J90="","",IF(J90=0,"",IF(J90=$AB$28,1,IF(J90=$AB$29,2,IF(J90=$AB$30,3,"")))))</f>
        <v/>
      </c>
      <c r="M90" s="4">
        <f t="array" ref="M90">IFERROR(INDEX(Unified_Matrix!$A:$ZZ,ROW(A87),MATCH("+ OVR",Unified_Matrix!$1:$1,0)),"")</f>
        <v/>
      </c>
      <c r="N90" s="4">
        <f t="array" ref="N90">IFERROR(INDEX(Unified_Matrix!$A:$ZZ,ROW(A87),MATCH("Max OVR",Unified_Matrix!$1:$1,0)),"")</f>
        <v/>
      </c>
      <c r="O90" s="4">
        <f t="array" ref="O90">IFERROR(INDEX(Unified_Matrix!$A:$ZZ,ROW(A87),MATCH("Req_Position",Unified_Matrix!$1:$1,0)),"")</f>
        <v/>
      </c>
      <c r="P90" s="4">
        <f t="array" ref="P90">IFERROR(INDEX(Unified_Matrix!$A:$ZZ,ROW(A87),MATCH("Req_OVR_Max",Unified_Matrix!$1:$1,0)),"")</f>
        <v/>
      </c>
      <c r="Q90" s="4">
        <f t="array" ref="Q90">IFERROR(INDEX(Unified_Matrix!$A:$ZZ,ROW(A87),MATCH("Req_Other",Unified_Matrix!$1:$1,0)),"")</f>
        <v/>
      </c>
    </row>
    <row r="91" hidden="1">
      <c r="J91" s="4">
        <f t="array" ref="J91">IFERROR(INDEX(Unified_Matrix!$A:$ZZ,ROW(A88),MATCH("Max "&amp;$J$9,Unified_Matrix!$1:$1,0)),"")</f>
        <v/>
      </c>
      <c r="K91" s="4">
        <f t="array" ref="K91">IFERROR(INDEX(Unified_Matrix!$A:$ZZ,ROW(A88),MATCH("Evolution_Name",Unified_Matrix!$1:$1,0)),"")</f>
        <v/>
      </c>
      <c r="L91" s="4">
        <f>IF(J91="","",IF(J91=0,"",IF(J91=$AB$28,1,IF(J91=$AB$29,2,IF(J91=$AB$30,3,"")))))</f>
        <v/>
      </c>
      <c r="M91" s="4">
        <f t="array" ref="M91">IFERROR(INDEX(Unified_Matrix!$A:$ZZ,ROW(A88),MATCH("+ OVR",Unified_Matrix!$1:$1,0)),"")</f>
        <v/>
      </c>
      <c r="N91" s="4">
        <f t="array" ref="N91">IFERROR(INDEX(Unified_Matrix!$A:$ZZ,ROW(A88),MATCH("Max OVR",Unified_Matrix!$1:$1,0)),"")</f>
        <v/>
      </c>
      <c r="O91" s="4">
        <f t="array" ref="O91">IFERROR(INDEX(Unified_Matrix!$A:$ZZ,ROW(A88),MATCH("Req_Position",Unified_Matrix!$1:$1,0)),"")</f>
        <v/>
      </c>
      <c r="P91" s="4">
        <f t="array" ref="P91">IFERROR(INDEX(Unified_Matrix!$A:$ZZ,ROW(A88),MATCH("Req_OVR_Max",Unified_Matrix!$1:$1,0)),"")</f>
        <v/>
      </c>
      <c r="Q91" s="4">
        <f t="array" ref="Q91">IFERROR(INDEX(Unified_Matrix!$A:$ZZ,ROW(A88),MATCH("Req_Other",Unified_Matrix!$1:$1,0)),"")</f>
        <v/>
      </c>
    </row>
    <row r="92" hidden="1">
      <c r="J92" s="4">
        <f t="array" ref="J92">IFERROR(INDEX(Unified_Matrix!$A:$ZZ,ROW(A89),MATCH("Max "&amp;$J$9,Unified_Matrix!$1:$1,0)),"")</f>
        <v/>
      </c>
      <c r="K92" s="4">
        <f t="array" ref="K92">IFERROR(INDEX(Unified_Matrix!$A:$ZZ,ROW(A89),MATCH("Evolution_Name",Unified_Matrix!$1:$1,0)),"")</f>
        <v/>
      </c>
      <c r="L92" s="4">
        <f>IF(J92="","",IF(J92=0,"",IF(J92=$AB$28,1,IF(J92=$AB$29,2,IF(J92=$AB$30,3,"")))))</f>
        <v/>
      </c>
      <c r="M92" s="4">
        <f t="array" ref="M92">IFERROR(INDEX(Unified_Matrix!$A:$ZZ,ROW(A89),MATCH("+ OVR",Unified_Matrix!$1:$1,0)),"")</f>
        <v/>
      </c>
      <c r="N92" s="4">
        <f t="array" ref="N92">IFERROR(INDEX(Unified_Matrix!$A:$ZZ,ROW(A89),MATCH("Max OVR",Unified_Matrix!$1:$1,0)),"")</f>
        <v/>
      </c>
      <c r="O92" s="4">
        <f t="array" ref="O92">IFERROR(INDEX(Unified_Matrix!$A:$ZZ,ROW(A89),MATCH("Req_Position",Unified_Matrix!$1:$1,0)),"")</f>
        <v/>
      </c>
      <c r="P92" s="4">
        <f t="array" ref="P92">IFERROR(INDEX(Unified_Matrix!$A:$ZZ,ROW(A89),MATCH("Req_OVR_Max",Unified_Matrix!$1:$1,0)),"")</f>
        <v/>
      </c>
      <c r="Q92" s="4">
        <f t="array" ref="Q92">IFERROR(INDEX(Unified_Matrix!$A:$ZZ,ROW(A89),MATCH("Req_Other",Unified_Matrix!$1:$1,0)),"")</f>
        <v/>
      </c>
    </row>
    <row r="93" hidden="1">
      <c r="J93" s="4">
        <f t="array" ref="J93">IFERROR(INDEX(Unified_Matrix!$A:$ZZ,ROW(A90),MATCH("Max "&amp;$J$9,Unified_Matrix!$1:$1,0)),"")</f>
        <v/>
      </c>
      <c r="K93" s="4">
        <f t="array" ref="K93">IFERROR(INDEX(Unified_Matrix!$A:$ZZ,ROW(A90),MATCH("Evolution_Name",Unified_Matrix!$1:$1,0)),"")</f>
        <v/>
      </c>
      <c r="L93" s="4">
        <f>IF(J93="","",IF(J93=0,"",IF(J93=$AB$28,1,IF(J93=$AB$29,2,IF(J93=$AB$30,3,"")))))</f>
        <v/>
      </c>
      <c r="M93" s="4">
        <f t="array" ref="M93">IFERROR(INDEX(Unified_Matrix!$A:$ZZ,ROW(A90),MATCH("+ OVR",Unified_Matrix!$1:$1,0)),"")</f>
        <v/>
      </c>
      <c r="N93" s="4">
        <f t="array" ref="N93">IFERROR(INDEX(Unified_Matrix!$A:$ZZ,ROW(A90),MATCH("Max OVR",Unified_Matrix!$1:$1,0)),"")</f>
        <v/>
      </c>
      <c r="O93" s="4">
        <f t="array" ref="O93">IFERROR(INDEX(Unified_Matrix!$A:$ZZ,ROW(A90),MATCH("Req_Position",Unified_Matrix!$1:$1,0)),"")</f>
        <v/>
      </c>
      <c r="P93" s="4">
        <f t="array" ref="P93">IFERROR(INDEX(Unified_Matrix!$A:$ZZ,ROW(A90),MATCH("Req_OVR_Max",Unified_Matrix!$1:$1,0)),"")</f>
        <v/>
      </c>
      <c r="Q93" s="4">
        <f t="array" ref="Q93">IFERROR(INDEX(Unified_Matrix!$A:$ZZ,ROW(A90),MATCH("Req_Other",Unified_Matrix!$1:$1,0)),"")</f>
        <v/>
      </c>
    </row>
    <row r="94" hidden="1">
      <c r="J94" s="4">
        <f t="array" ref="J94">IFERROR(INDEX(Unified_Matrix!$A:$ZZ,ROW(A91),MATCH("Max "&amp;$J$9,Unified_Matrix!$1:$1,0)),"")</f>
        <v/>
      </c>
      <c r="K94" s="4">
        <f t="array" ref="K94">IFERROR(INDEX(Unified_Matrix!$A:$ZZ,ROW(A91),MATCH("Evolution_Name",Unified_Matrix!$1:$1,0)),"")</f>
        <v/>
      </c>
      <c r="L94" s="4">
        <f>IF(J94="","",IF(J94=0,"",IF(J94=$AB$28,1,IF(J94=$AB$29,2,IF(J94=$AB$30,3,"")))))</f>
        <v/>
      </c>
      <c r="M94" s="4">
        <f t="array" ref="M94">IFERROR(INDEX(Unified_Matrix!$A:$ZZ,ROW(A91),MATCH("+ OVR",Unified_Matrix!$1:$1,0)),"")</f>
        <v/>
      </c>
      <c r="N94" s="4">
        <f t="array" ref="N94">IFERROR(INDEX(Unified_Matrix!$A:$ZZ,ROW(A91),MATCH("Max OVR",Unified_Matrix!$1:$1,0)),"")</f>
        <v/>
      </c>
      <c r="O94" s="4">
        <f t="array" ref="O94">IFERROR(INDEX(Unified_Matrix!$A:$ZZ,ROW(A91),MATCH("Req_Position",Unified_Matrix!$1:$1,0)),"")</f>
        <v/>
      </c>
      <c r="P94" s="4">
        <f t="array" ref="P94">IFERROR(INDEX(Unified_Matrix!$A:$ZZ,ROW(A91),MATCH("Req_OVR_Max",Unified_Matrix!$1:$1,0)),"")</f>
        <v/>
      </c>
      <c r="Q94" s="4">
        <f t="array" ref="Q94">IFERROR(INDEX(Unified_Matrix!$A:$ZZ,ROW(A91),MATCH("Req_Other",Unified_Matrix!$1:$1,0)),"")</f>
        <v/>
      </c>
    </row>
    <row r="95" hidden="1">
      <c r="J95" s="4">
        <f t="array" ref="J95">IFERROR(INDEX(Unified_Matrix!$A:$ZZ,ROW(A92),MATCH("Max "&amp;$J$9,Unified_Matrix!$1:$1,0)),"")</f>
        <v/>
      </c>
      <c r="K95" s="4">
        <f t="array" ref="K95">IFERROR(INDEX(Unified_Matrix!$A:$ZZ,ROW(A92),MATCH("Evolution_Name",Unified_Matrix!$1:$1,0)),"")</f>
        <v/>
      </c>
      <c r="L95" s="4">
        <f>IF(J95="","",IF(J95=0,"",IF(J95=$AB$28,1,IF(J95=$AB$29,2,IF(J95=$AB$30,3,"")))))</f>
        <v/>
      </c>
      <c r="M95" s="4">
        <f t="array" ref="M95">IFERROR(INDEX(Unified_Matrix!$A:$ZZ,ROW(A92),MATCH("+ OVR",Unified_Matrix!$1:$1,0)),"")</f>
        <v/>
      </c>
      <c r="N95" s="4">
        <f t="array" ref="N95">IFERROR(INDEX(Unified_Matrix!$A:$ZZ,ROW(A92),MATCH("Max OVR",Unified_Matrix!$1:$1,0)),"")</f>
        <v/>
      </c>
      <c r="O95" s="4">
        <f t="array" ref="O95">IFERROR(INDEX(Unified_Matrix!$A:$ZZ,ROW(A92),MATCH("Req_Position",Unified_Matrix!$1:$1,0)),"")</f>
        <v/>
      </c>
      <c r="P95" s="4">
        <f t="array" ref="P95">IFERROR(INDEX(Unified_Matrix!$A:$ZZ,ROW(A92),MATCH("Req_OVR_Max",Unified_Matrix!$1:$1,0)),"")</f>
        <v/>
      </c>
      <c r="Q95" s="4">
        <f t="array" ref="Q95">IFERROR(INDEX(Unified_Matrix!$A:$ZZ,ROW(A92),MATCH("Req_Other",Unified_Matrix!$1:$1,0)),"")</f>
        <v/>
      </c>
    </row>
    <row r="96" hidden="1">
      <c r="J96" s="4">
        <f t="array" ref="J96">IFERROR(INDEX(Unified_Matrix!$A:$ZZ,ROW(A93),MATCH("Max "&amp;$J$9,Unified_Matrix!$1:$1,0)),"")</f>
        <v/>
      </c>
      <c r="K96" s="4">
        <f t="array" ref="K96">IFERROR(INDEX(Unified_Matrix!$A:$ZZ,ROW(A93),MATCH("Evolution_Name",Unified_Matrix!$1:$1,0)),"")</f>
        <v/>
      </c>
      <c r="L96" s="4">
        <f>IF(J96="","",IF(J96=0,"",IF(J96=$AB$28,1,IF(J96=$AB$29,2,IF(J96=$AB$30,3,"")))))</f>
        <v/>
      </c>
      <c r="M96" s="4">
        <f t="array" ref="M96">IFERROR(INDEX(Unified_Matrix!$A:$ZZ,ROW(A93),MATCH("+ OVR",Unified_Matrix!$1:$1,0)),"")</f>
        <v/>
      </c>
      <c r="N96" s="4">
        <f t="array" ref="N96">IFERROR(INDEX(Unified_Matrix!$A:$ZZ,ROW(A93),MATCH("Max OVR",Unified_Matrix!$1:$1,0)),"")</f>
        <v/>
      </c>
      <c r="O96" s="4">
        <f t="array" ref="O96">IFERROR(INDEX(Unified_Matrix!$A:$ZZ,ROW(A93),MATCH("Req_Position",Unified_Matrix!$1:$1,0)),"")</f>
        <v/>
      </c>
      <c r="P96" s="4">
        <f t="array" ref="P96">IFERROR(INDEX(Unified_Matrix!$A:$ZZ,ROW(A93),MATCH("Req_OVR_Max",Unified_Matrix!$1:$1,0)),"")</f>
        <v/>
      </c>
      <c r="Q96" s="4">
        <f t="array" ref="Q96">IFERROR(INDEX(Unified_Matrix!$A:$ZZ,ROW(A93),MATCH("Req_Other",Unified_Matrix!$1:$1,0)),"")</f>
        <v/>
      </c>
    </row>
    <row r="97" hidden="1">
      <c r="J97" s="4">
        <f t="array" ref="J97">IFERROR(INDEX(Unified_Matrix!$A:$ZZ,ROW(A94),MATCH("Max "&amp;$J$9,Unified_Matrix!$1:$1,0)),"")</f>
        <v/>
      </c>
      <c r="K97" s="4">
        <f t="array" ref="K97">IFERROR(INDEX(Unified_Matrix!$A:$ZZ,ROW(A94),MATCH("Evolution_Name",Unified_Matrix!$1:$1,0)),"")</f>
        <v/>
      </c>
      <c r="L97" s="4">
        <f>IF(J97="","",IF(J97=0,"",IF(J97=$AB$28,1,IF(J97=$AB$29,2,IF(J97=$AB$30,3,"")))))</f>
        <v/>
      </c>
      <c r="M97" s="4">
        <f t="array" ref="M97">IFERROR(INDEX(Unified_Matrix!$A:$ZZ,ROW(A94),MATCH("+ OVR",Unified_Matrix!$1:$1,0)),"")</f>
        <v/>
      </c>
      <c r="N97" s="4">
        <f t="array" ref="N97">IFERROR(INDEX(Unified_Matrix!$A:$ZZ,ROW(A94),MATCH("Max OVR",Unified_Matrix!$1:$1,0)),"")</f>
        <v/>
      </c>
      <c r="O97" s="4">
        <f t="array" ref="O97">IFERROR(INDEX(Unified_Matrix!$A:$ZZ,ROW(A94),MATCH("Req_Position",Unified_Matrix!$1:$1,0)),"")</f>
        <v/>
      </c>
      <c r="P97" s="4">
        <f t="array" ref="P97">IFERROR(INDEX(Unified_Matrix!$A:$ZZ,ROW(A94),MATCH("Req_OVR_Max",Unified_Matrix!$1:$1,0)),"")</f>
        <v/>
      </c>
      <c r="Q97" s="4">
        <f t="array" ref="Q97">IFERROR(INDEX(Unified_Matrix!$A:$ZZ,ROW(A94),MATCH("Req_Other",Unified_Matrix!$1:$1,0)),"")</f>
        <v/>
      </c>
    </row>
    <row r="98" hidden="1">
      <c r="J98" s="4">
        <f t="array" ref="J98">IFERROR(INDEX(Unified_Matrix!$A:$ZZ,ROW(A95),MATCH("Max "&amp;$J$9,Unified_Matrix!$1:$1,0)),"")</f>
        <v/>
      </c>
      <c r="K98" s="4">
        <f t="array" ref="K98">IFERROR(INDEX(Unified_Matrix!$A:$ZZ,ROW(A95),MATCH("Evolution_Name",Unified_Matrix!$1:$1,0)),"")</f>
        <v/>
      </c>
      <c r="L98" s="4">
        <f>IF(J98="","",IF(J98=0,"",IF(J98=$AB$28,1,IF(J98=$AB$29,2,IF(J98=$AB$30,3,"")))))</f>
        <v/>
      </c>
      <c r="M98" s="4">
        <f t="array" ref="M98">IFERROR(INDEX(Unified_Matrix!$A:$ZZ,ROW(A95),MATCH("+ OVR",Unified_Matrix!$1:$1,0)),"")</f>
        <v/>
      </c>
      <c r="N98" s="4">
        <f t="array" ref="N98">IFERROR(INDEX(Unified_Matrix!$A:$ZZ,ROW(A95),MATCH("Max OVR",Unified_Matrix!$1:$1,0)),"")</f>
        <v/>
      </c>
      <c r="O98" s="4">
        <f t="array" ref="O98">IFERROR(INDEX(Unified_Matrix!$A:$ZZ,ROW(A95),MATCH("Req_Position",Unified_Matrix!$1:$1,0)),"")</f>
        <v/>
      </c>
      <c r="P98" s="4">
        <f t="array" ref="P98">IFERROR(INDEX(Unified_Matrix!$A:$ZZ,ROW(A95),MATCH("Req_OVR_Max",Unified_Matrix!$1:$1,0)),"")</f>
        <v/>
      </c>
      <c r="Q98" s="4">
        <f t="array" ref="Q98">IFERROR(INDEX(Unified_Matrix!$A:$ZZ,ROW(A95),MATCH("Req_Other",Unified_Matrix!$1:$1,0)),"")</f>
        <v/>
      </c>
    </row>
    <row r="99" hidden="1">
      <c r="J99" s="4">
        <f t="array" ref="J99">IFERROR(INDEX(Unified_Matrix!$A:$ZZ,ROW(A96),MATCH("Max "&amp;$J$9,Unified_Matrix!$1:$1,0)),"")</f>
        <v/>
      </c>
      <c r="K99" s="4">
        <f t="array" ref="K99">IFERROR(INDEX(Unified_Matrix!$A:$ZZ,ROW(A96),MATCH("Evolution_Name",Unified_Matrix!$1:$1,0)),"")</f>
        <v/>
      </c>
      <c r="L99" s="4">
        <f>IF(J99="","",IF(J99=0,"",IF(J99=$AB$28,1,IF(J99=$AB$29,2,IF(J99=$AB$30,3,"")))))</f>
        <v/>
      </c>
      <c r="M99" s="4">
        <f t="array" ref="M99">IFERROR(INDEX(Unified_Matrix!$A:$ZZ,ROW(A96),MATCH("+ OVR",Unified_Matrix!$1:$1,0)),"")</f>
        <v/>
      </c>
      <c r="N99" s="4">
        <f t="array" ref="N99">IFERROR(INDEX(Unified_Matrix!$A:$ZZ,ROW(A96),MATCH("Max OVR",Unified_Matrix!$1:$1,0)),"")</f>
        <v/>
      </c>
      <c r="O99" s="4">
        <f t="array" ref="O99">IFERROR(INDEX(Unified_Matrix!$A:$ZZ,ROW(A96),MATCH("Req_Position",Unified_Matrix!$1:$1,0)),"")</f>
        <v/>
      </c>
      <c r="P99" s="4">
        <f t="array" ref="P99">IFERROR(INDEX(Unified_Matrix!$A:$ZZ,ROW(A96),MATCH("Req_OVR_Max",Unified_Matrix!$1:$1,0)),"")</f>
        <v/>
      </c>
      <c r="Q99" s="4">
        <f t="array" ref="Q99">IFERROR(INDEX(Unified_Matrix!$A:$ZZ,ROW(A96),MATCH("Req_Other",Unified_Matrix!$1:$1,0)),"")</f>
        <v/>
      </c>
    </row>
    <row r="100" hidden="1">
      <c r="J100" s="4">
        <f t="array" ref="J100">IFERROR(INDEX(Unified_Matrix!$A:$ZZ,ROW(A97),MATCH("Max "&amp;$J$9,Unified_Matrix!$1:$1,0)),"")</f>
        <v/>
      </c>
      <c r="K100" s="4">
        <f t="array" ref="K100">IFERROR(INDEX(Unified_Matrix!$A:$ZZ,ROW(A97),MATCH("Evolution_Name",Unified_Matrix!$1:$1,0)),"")</f>
        <v/>
      </c>
      <c r="L100" s="4">
        <f>IF(J100="","",IF(J100=0,"",IF(J100=$AB$28,1,IF(J100=$AB$29,2,IF(J100=$AB$30,3,"")))))</f>
        <v/>
      </c>
      <c r="M100" s="4">
        <f t="array" ref="M100">IFERROR(INDEX(Unified_Matrix!$A:$ZZ,ROW(A97),MATCH("+ OVR",Unified_Matrix!$1:$1,0)),"")</f>
        <v/>
      </c>
      <c r="N100" s="4">
        <f t="array" ref="N100">IFERROR(INDEX(Unified_Matrix!$A:$ZZ,ROW(A97),MATCH("Max OVR",Unified_Matrix!$1:$1,0)),"")</f>
        <v/>
      </c>
      <c r="O100" s="4">
        <f t="array" ref="O100">IFERROR(INDEX(Unified_Matrix!$A:$ZZ,ROW(A97),MATCH("Req_Position",Unified_Matrix!$1:$1,0)),"")</f>
        <v/>
      </c>
      <c r="P100" s="4">
        <f t="array" ref="P100">IFERROR(INDEX(Unified_Matrix!$A:$ZZ,ROW(A97),MATCH("Req_OVR_Max",Unified_Matrix!$1:$1,0)),"")</f>
        <v/>
      </c>
      <c r="Q100" s="4">
        <f t="array" ref="Q100">IFERROR(INDEX(Unified_Matrix!$A:$ZZ,ROW(A97),MATCH("Req_Other",Unified_Matrix!$1:$1,0)),"")</f>
        <v/>
      </c>
    </row>
    <row r="101" hidden="1">
      <c r="J101" s="4">
        <f t="array" ref="J101">IFERROR(INDEX(Unified_Matrix!$A:$ZZ,ROW(A98),MATCH("Max "&amp;$J$9,Unified_Matrix!$1:$1,0)),"")</f>
        <v/>
      </c>
      <c r="K101" s="4">
        <f t="array" ref="K101">IFERROR(INDEX(Unified_Matrix!$A:$ZZ,ROW(A98),MATCH("Evolution_Name",Unified_Matrix!$1:$1,0)),"")</f>
        <v/>
      </c>
      <c r="L101" s="4">
        <f>IF(J101="","",IF(J101=0,"",IF(J101=$AB$28,1,IF(J101=$AB$29,2,IF(J101=$AB$30,3,"")))))</f>
        <v/>
      </c>
      <c r="M101" s="4">
        <f t="array" ref="M101">IFERROR(INDEX(Unified_Matrix!$A:$ZZ,ROW(A98),MATCH("+ OVR",Unified_Matrix!$1:$1,0)),"")</f>
        <v/>
      </c>
      <c r="N101" s="4">
        <f t="array" ref="N101">IFERROR(INDEX(Unified_Matrix!$A:$ZZ,ROW(A98),MATCH("Max OVR",Unified_Matrix!$1:$1,0)),"")</f>
        <v/>
      </c>
      <c r="O101" s="4">
        <f t="array" ref="O101">IFERROR(INDEX(Unified_Matrix!$A:$ZZ,ROW(A98),MATCH("Req_Position",Unified_Matrix!$1:$1,0)),"")</f>
        <v/>
      </c>
      <c r="P101" s="4">
        <f t="array" ref="P101">IFERROR(INDEX(Unified_Matrix!$A:$ZZ,ROW(A98),MATCH("Req_OVR_Max",Unified_Matrix!$1:$1,0)),"")</f>
        <v/>
      </c>
      <c r="Q101" s="4">
        <f t="array" ref="Q101">IFERROR(INDEX(Unified_Matrix!$A:$ZZ,ROW(A98),MATCH("Req_Other",Unified_Matrix!$1:$1,0)),"")</f>
        <v/>
      </c>
    </row>
    <row r="102" hidden="1">
      <c r="J102" s="4">
        <f t="array" ref="J102">IFERROR(INDEX(Unified_Matrix!$A:$ZZ,ROW(A99),MATCH("Max "&amp;$J$9,Unified_Matrix!$1:$1,0)),"")</f>
        <v/>
      </c>
      <c r="K102" s="4">
        <f t="array" ref="K102">IFERROR(INDEX(Unified_Matrix!$A:$ZZ,ROW(A99),MATCH("Evolution_Name",Unified_Matrix!$1:$1,0)),"")</f>
        <v/>
      </c>
      <c r="L102" s="4">
        <f>IF(J102="","",IF(J102=0,"",IF(J102=$AB$28,1,IF(J102=$AB$29,2,IF(J102=$AB$30,3,"")))))</f>
        <v/>
      </c>
      <c r="M102" s="4">
        <f t="array" ref="M102">IFERROR(INDEX(Unified_Matrix!$A:$ZZ,ROW(A99),MATCH("+ OVR",Unified_Matrix!$1:$1,0)),"")</f>
        <v/>
      </c>
      <c r="N102" s="4">
        <f t="array" ref="N102">IFERROR(INDEX(Unified_Matrix!$A:$ZZ,ROW(A99),MATCH("Max OVR",Unified_Matrix!$1:$1,0)),"")</f>
        <v/>
      </c>
      <c r="O102" s="4">
        <f t="array" ref="O102">IFERROR(INDEX(Unified_Matrix!$A:$ZZ,ROW(A99),MATCH("Req_Position",Unified_Matrix!$1:$1,0)),"")</f>
        <v/>
      </c>
      <c r="P102" s="4">
        <f t="array" ref="P102">IFERROR(INDEX(Unified_Matrix!$A:$ZZ,ROW(A99),MATCH("Req_OVR_Max",Unified_Matrix!$1:$1,0)),"")</f>
        <v/>
      </c>
      <c r="Q102" s="4">
        <f t="array" ref="Q102">IFERROR(INDEX(Unified_Matrix!$A:$ZZ,ROW(A99),MATCH("Req_Other",Unified_Matrix!$1:$1,0)),"")</f>
        <v/>
      </c>
    </row>
    <row r="103" hidden="1">
      <c r="J103" s="4">
        <f t="array" ref="J103">IFERROR(INDEX(Unified_Matrix!$A:$ZZ,ROW(A100),MATCH("Max "&amp;$J$9,Unified_Matrix!$1:$1,0)),"")</f>
        <v/>
      </c>
      <c r="K103" s="4">
        <f t="array" ref="K103">IFERROR(INDEX(Unified_Matrix!$A:$ZZ,ROW(A100),MATCH("Evolution_Name",Unified_Matrix!$1:$1,0)),"")</f>
        <v/>
      </c>
      <c r="L103" s="4">
        <f>IF(J103="","",IF(J103=0,"",IF(J103=$AB$28,1,IF(J103=$AB$29,2,IF(J103=$AB$30,3,"")))))</f>
        <v/>
      </c>
      <c r="M103" s="4">
        <f t="array" ref="M103">IFERROR(INDEX(Unified_Matrix!$A:$ZZ,ROW(A100),MATCH("+ OVR",Unified_Matrix!$1:$1,0)),"")</f>
        <v/>
      </c>
      <c r="N103" s="4">
        <f t="array" ref="N103">IFERROR(INDEX(Unified_Matrix!$A:$ZZ,ROW(A100),MATCH("Max OVR",Unified_Matrix!$1:$1,0)),"")</f>
        <v/>
      </c>
      <c r="O103" s="4">
        <f t="array" ref="O103">IFERROR(INDEX(Unified_Matrix!$A:$ZZ,ROW(A100),MATCH("Req_Position",Unified_Matrix!$1:$1,0)),"")</f>
        <v/>
      </c>
      <c r="P103" s="4">
        <f t="array" ref="P103">IFERROR(INDEX(Unified_Matrix!$A:$ZZ,ROW(A100),MATCH("Req_OVR_Max",Unified_Matrix!$1:$1,0)),"")</f>
        <v/>
      </c>
      <c r="Q103" s="4">
        <f t="array" ref="Q103">IFERROR(INDEX(Unified_Matrix!$A:$ZZ,ROW(A100),MATCH("Req_Other",Unified_Matrix!$1:$1,0)),"")</f>
        <v/>
      </c>
    </row>
    <row r="104" hidden="1">
      <c r="J104" s="4">
        <f t="array" ref="J104">IFERROR(INDEX(Unified_Matrix!$A:$ZZ,ROW(A101),MATCH("Max "&amp;$J$9,Unified_Matrix!$1:$1,0)),"")</f>
        <v/>
      </c>
      <c r="K104" s="4">
        <f t="array" ref="K104">IFERROR(INDEX(Unified_Matrix!$A:$ZZ,ROW(A101),MATCH("Evolution_Name",Unified_Matrix!$1:$1,0)),"")</f>
        <v/>
      </c>
      <c r="L104" s="4">
        <f>IF(J104="","",IF(J104=0,"",IF(J104=$AB$28,1,IF(J104=$AB$29,2,IF(J104=$AB$30,3,"")))))</f>
        <v/>
      </c>
      <c r="M104" s="4">
        <f t="array" ref="M104">IFERROR(INDEX(Unified_Matrix!$A:$ZZ,ROW(A101),MATCH("+ OVR",Unified_Matrix!$1:$1,0)),"")</f>
        <v/>
      </c>
      <c r="N104" s="4">
        <f t="array" ref="N104">IFERROR(INDEX(Unified_Matrix!$A:$ZZ,ROW(A101),MATCH("Max OVR",Unified_Matrix!$1:$1,0)),"")</f>
        <v/>
      </c>
      <c r="O104" s="4">
        <f t="array" ref="O104">IFERROR(INDEX(Unified_Matrix!$A:$ZZ,ROW(A101),MATCH("Req_Position",Unified_Matrix!$1:$1,0)),"")</f>
        <v/>
      </c>
      <c r="P104" s="4">
        <f t="array" ref="P104">IFERROR(INDEX(Unified_Matrix!$A:$ZZ,ROW(A101),MATCH("Req_OVR_Max",Unified_Matrix!$1:$1,0)),"")</f>
        <v/>
      </c>
      <c r="Q104" s="4">
        <f t="array" ref="Q104">IFERROR(INDEX(Unified_Matrix!$A:$ZZ,ROW(A101),MATCH("Req_Other",Unified_Matrix!$1:$1,0)),"")</f>
        <v/>
      </c>
    </row>
    <row r="105" hidden="1">
      <c r="J105" s="4">
        <f t="array" ref="J105">IFERROR(INDEX(Unified_Matrix!$A:$ZZ,ROW(A102),MATCH("Max "&amp;$J$9,Unified_Matrix!$1:$1,0)),"")</f>
        <v/>
      </c>
      <c r="K105" s="4">
        <f t="array" ref="K105">IFERROR(INDEX(Unified_Matrix!$A:$ZZ,ROW(A102),MATCH("Evolution_Name",Unified_Matrix!$1:$1,0)),"")</f>
        <v/>
      </c>
      <c r="L105" s="4">
        <f>IF(J105="","",IF(J105=0,"",IF(J105=$AB$28,1,IF(J105=$AB$29,2,IF(J105=$AB$30,3,"")))))</f>
        <v/>
      </c>
      <c r="M105" s="4">
        <f t="array" ref="M105">IFERROR(INDEX(Unified_Matrix!$A:$ZZ,ROW(A102),MATCH("+ OVR",Unified_Matrix!$1:$1,0)),"")</f>
        <v/>
      </c>
      <c r="N105" s="4">
        <f t="array" ref="N105">IFERROR(INDEX(Unified_Matrix!$A:$ZZ,ROW(A102),MATCH("Max OVR",Unified_Matrix!$1:$1,0)),"")</f>
        <v/>
      </c>
      <c r="O105" s="4">
        <f t="array" ref="O105">IFERROR(INDEX(Unified_Matrix!$A:$ZZ,ROW(A102),MATCH("Req_Position",Unified_Matrix!$1:$1,0)),"")</f>
        <v/>
      </c>
      <c r="P105" s="4">
        <f t="array" ref="P105">IFERROR(INDEX(Unified_Matrix!$A:$ZZ,ROW(A102),MATCH("Req_OVR_Max",Unified_Matrix!$1:$1,0)),"")</f>
        <v/>
      </c>
      <c r="Q105" s="4">
        <f t="array" ref="Q105">IFERROR(INDEX(Unified_Matrix!$A:$ZZ,ROW(A102),MATCH("Req_Other",Unified_Matrix!$1:$1,0)),"")</f>
        <v/>
      </c>
    </row>
    <row r="106" hidden="1">
      <c r="J106" s="4">
        <f t="array" ref="J106">IFERROR(INDEX(Unified_Matrix!$A:$ZZ,ROW(A103),MATCH("Max "&amp;$J$9,Unified_Matrix!$1:$1,0)),"")</f>
        <v/>
      </c>
      <c r="K106" s="4">
        <f t="array" ref="K106">IFERROR(INDEX(Unified_Matrix!$A:$ZZ,ROW(A103),MATCH("Evolution_Name",Unified_Matrix!$1:$1,0)),"")</f>
        <v/>
      </c>
      <c r="L106" s="4">
        <f>IF(J106="","",IF(J106=0,"",IF(J106=$AB$28,1,IF(J106=$AB$29,2,IF(J106=$AB$30,3,"")))))</f>
        <v/>
      </c>
      <c r="M106" s="4">
        <f t="array" ref="M106">IFERROR(INDEX(Unified_Matrix!$A:$ZZ,ROW(A103),MATCH("+ OVR",Unified_Matrix!$1:$1,0)),"")</f>
        <v/>
      </c>
      <c r="N106" s="4">
        <f t="array" ref="N106">IFERROR(INDEX(Unified_Matrix!$A:$ZZ,ROW(A103),MATCH("Max OVR",Unified_Matrix!$1:$1,0)),"")</f>
        <v/>
      </c>
      <c r="O106" s="4">
        <f t="array" ref="O106">IFERROR(INDEX(Unified_Matrix!$A:$ZZ,ROW(A103),MATCH("Req_Position",Unified_Matrix!$1:$1,0)),"")</f>
        <v/>
      </c>
      <c r="P106" s="4">
        <f t="array" ref="P106">IFERROR(INDEX(Unified_Matrix!$A:$ZZ,ROW(A103),MATCH("Req_OVR_Max",Unified_Matrix!$1:$1,0)),"")</f>
        <v/>
      </c>
      <c r="Q106" s="4">
        <f t="array" ref="Q106">IFERROR(INDEX(Unified_Matrix!$A:$ZZ,ROW(A103),MATCH("Req_Other",Unified_Matrix!$1:$1,0)),"")</f>
        <v/>
      </c>
    </row>
    <row r="107" hidden="1">
      <c r="J107" s="4">
        <f t="array" ref="J107">IFERROR(INDEX(Unified_Matrix!$A:$ZZ,ROW(A104),MATCH("Max "&amp;$J$9,Unified_Matrix!$1:$1,0)),"")</f>
        <v/>
      </c>
      <c r="K107" s="4">
        <f t="array" ref="K107">IFERROR(INDEX(Unified_Matrix!$A:$ZZ,ROW(A104),MATCH("Evolution_Name",Unified_Matrix!$1:$1,0)),"")</f>
        <v/>
      </c>
      <c r="L107" s="4">
        <f>IF(J107="","",IF(J107=0,"",IF(J107=$AB$28,1,IF(J107=$AB$29,2,IF(J107=$AB$30,3,"")))))</f>
        <v/>
      </c>
      <c r="M107" s="4">
        <f t="array" ref="M107">IFERROR(INDEX(Unified_Matrix!$A:$ZZ,ROW(A104),MATCH("+ OVR",Unified_Matrix!$1:$1,0)),"")</f>
        <v/>
      </c>
      <c r="N107" s="4">
        <f t="array" ref="N107">IFERROR(INDEX(Unified_Matrix!$A:$ZZ,ROW(A104),MATCH("Max OVR",Unified_Matrix!$1:$1,0)),"")</f>
        <v/>
      </c>
      <c r="O107" s="4">
        <f t="array" ref="O107">IFERROR(INDEX(Unified_Matrix!$A:$ZZ,ROW(A104),MATCH("Req_Position",Unified_Matrix!$1:$1,0)),"")</f>
        <v/>
      </c>
      <c r="P107" s="4">
        <f t="array" ref="P107">IFERROR(INDEX(Unified_Matrix!$A:$ZZ,ROW(A104),MATCH("Req_OVR_Max",Unified_Matrix!$1:$1,0)),"")</f>
        <v/>
      </c>
      <c r="Q107" s="4">
        <f t="array" ref="Q107">IFERROR(INDEX(Unified_Matrix!$A:$ZZ,ROW(A104),MATCH("Req_Other",Unified_Matrix!$1:$1,0)),"")</f>
        <v/>
      </c>
    </row>
    <row r="108" hidden="1">
      <c r="J108" s="4">
        <f t="array" ref="J108">IFERROR(INDEX(Unified_Matrix!$A:$ZZ,ROW(A105),MATCH("Max "&amp;$J$9,Unified_Matrix!$1:$1,0)),"")</f>
        <v/>
      </c>
      <c r="K108" s="4">
        <f t="array" ref="K108">IFERROR(INDEX(Unified_Matrix!$A:$ZZ,ROW(A105),MATCH("Evolution_Name",Unified_Matrix!$1:$1,0)),"")</f>
        <v/>
      </c>
      <c r="L108" s="4">
        <f>IF(J108="","",IF(J108=0,"",IF(J108=$AB$28,1,IF(J108=$AB$29,2,IF(J108=$AB$30,3,"")))))</f>
        <v/>
      </c>
      <c r="M108" s="4">
        <f t="array" ref="M108">IFERROR(INDEX(Unified_Matrix!$A:$ZZ,ROW(A105),MATCH("+ OVR",Unified_Matrix!$1:$1,0)),"")</f>
        <v/>
      </c>
      <c r="N108" s="4">
        <f t="array" ref="N108">IFERROR(INDEX(Unified_Matrix!$A:$ZZ,ROW(A105),MATCH("Max OVR",Unified_Matrix!$1:$1,0)),"")</f>
        <v/>
      </c>
      <c r="O108" s="4">
        <f t="array" ref="O108">IFERROR(INDEX(Unified_Matrix!$A:$ZZ,ROW(A105),MATCH("Req_Position",Unified_Matrix!$1:$1,0)),"")</f>
        <v/>
      </c>
      <c r="P108" s="4">
        <f t="array" ref="P108">IFERROR(INDEX(Unified_Matrix!$A:$ZZ,ROW(A105),MATCH("Req_OVR_Max",Unified_Matrix!$1:$1,0)),"")</f>
        <v/>
      </c>
      <c r="Q108" s="4">
        <f t="array" ref="Q108">IFERROR(INDEX(Unified_Matrix!$A:$ZZ,ROW(A105),MATCH("Req_Other",Unified_Matrix!$1:$1,0)),"")</f>
        <v/>
      </c>
    </row>
    <row r="109" hidden="1">
      <c r="J109" s="4">
        <f t="array" ref="J109">IFERROR(INDEX(Unified_Matrix!$A:$ZZ,ROW(A106),MATCH("Max "&amp;$J$9,Unified_Matrix!$1:$1,0)),"")</f>
        <v/>
      </c>
      <c r="K109" s="4">
        <f t="array" ref="K109">IFERROR(INDEX(Unified_Matrix!$A:$ZZ,ROW(A106),MATCH("Evolution_Name",Unified_Matrix!$1:$1,0)),"")</f>
        <v/>
      </c>
      <c r="L109" s="4">
        <f>IF(J109="","",IF(J109=0,"",IF(J109=$AB$28,1,IF(J109=$AB$29,2,IF(J109=$AB$30,3,"")))))</f>
        <v/>
      </c>
      <c r="M109" s="4">
        <f t="array" ref="M109">IFERROR(INDEX(Unified_Matrix!$A:$ZZ,ROW(A106),MATCH("+ OVR",Unified_Matrix!$1:$1,0)),"")</f>
        <v/>
      </c>
      <c r="N109" s="4">
        <f t="array" ref="N109">IFERROR(INDEX(Unified_Matrix!$A:$ZZ,ROW(A106),MATCH("Max OVR",Unified_Matrix!$1:$1,0)),"")</f>
        <v/>
      </c>
      <c r="O109" s="4">
        <f t="array" ref="O109">IFERROR(INDEX(Unified_Matrix!$A:$ZZ,ROW(A106),MATCH("Req_Position",Unified_Matrix!$1:$1,0)),"")</f>
        <v/>
      </c>
      <c r="P109" s="4">
        <f t="array" ref="P109">IFERROR(INDEX(Unified_Matrix!$A:$ZZ,ROW(A106),MATCH("Req_OVR_Max",Unified_Matrix!$1:$1,0)),"")</f>
        <v/>
      </c>
      <c r="Q109" s="4">
        <f t="array" ref="Q109">IFERROR(INDEX(Unified_Matrix!$A:$ZZ,ROW(A106),MATCH("Req_Other",Unified_Matrix!$1:$1,0)),"")</f>
        <v/>
      </c>
    </row>
    <row r="110" hidden="1">
      <c r="J110" s="4">
        <f t="array" ref="J110">IFERROR(INDEX(Unified_Matrix!$A:$ZZ,ROW(A107),MATCH("Max "&amp;$J$9,Unified_Matrix!$1:$1,0)),"")</f>
        <v/>
      </c>
      <c r="K110" s="4">
        <f t="array" ref="K110">IFERROR(INDEX(Unified_Matrix!$A:$ZZ,ROW(A107),MATCH("Evolution_Name",Unified_Matrix!$1:$1,0)),"")</f>
        <v/>
      </c>
      <c r="L110" s="4">
        <f>IF(J110="","",IF(J110=0,"",IF(J110=$AB$28,1,IF(J110=$AB$29,2,IF(J110=$AB$30,3,"")))))</f>
        <v/>
      </c>
      <c r="M110" s="4">
        <f t="array" ref="M110">IFERROR(INDEX(Unified_Matrix!$A:$ZZ,ROW(A107),MATCH("+ OVR",Unified_Matrix!$1:$1,0)),"")</f>
        <v/>
      </c>
      <c r="N110" s="4">
        <f t="array" ref="N110">IFERROR(INDEX(Unified_Matrix!$A:$ZZ,ROW(A107),MATCH("Max OVR",Unified_Matrix!$1:$1,0)),"")</f>
        <v/>
      </c>
      <c r="O110" s="4">
        <f t="array" ref="O110">IFERROR(INDEX(Unified_Matrix!$A:$ZZ,ROW(A107),MATCH("Req_Position",Unified_Matrix!$1:$1,0)),"")</f>
        <v/>
      </c>
      <c r="P110" s="4">
        <f t="array" ref="P110">IFERROR(INDEX(Unified_Matrix!$A:$ZZ,ROW(A107),MATCH("Req_OVR_Max",Unified_Matrix!$1:$1,0)),"")</f>
        <v/>
      </c>
      <c r="Q110" s="4">
        <f t="array" ref="Q110">IFERROR(INDEX(Unified_Matrix!$A:$ZZ,ROW(A107),MATCH("Req_Other",Unified_Matrix!$1:$1,0)),"")</f>
        <v/>
      </c>
    </row>
    <row r="111" hidden="1">
      <c r="J111" s="4">
        <f t="array" ref="J111">IFERROR(INDEX(Unified_Matrix!$A:$ZZ,ROW(A108),MATCH("Max "&amp;$J$9,Unified_Matrix!$1:$1,0)),"")</f>
        <v/>
      </c>
      <c r="K111" s="4">
        <f t="array" ref="K111">IFERROR(INDEX(Unified_Matrix!$A:$ZZ,ROW(A108),MATCH("Evolution_Name",Unified_Matrix!$1:$1,0)),"")</f>
        <v/>
      </c>
      <c r="L111" s="4">
        <f>IF(J111="","",IF(J111=0,"",IF(J111=$AB$28,1,IF(J111=$AB$29,2,IF(J111=$AB$30,3,"")))))</f>
        <v/>
      </c>
      <c r="M111" s="4">
        <f t="array" ref="M111">IFERROR(INDEX(Unified_Matrix!$A:$ZZ,ROW(A108),MATCH("+ OVR",Unified_Matrix!$1:$1,0)),"")</f>
        <v/>
      </c>
      <c r="N111" s="4">
        <f t="array" ref="N111">IFERROR(INDEX(Unified_Matrix!$A:$ZZ,ROW(A108),MATCH("Max OVR",Unified_Matrix!$1:$1,0)),"")</f>
        <v/>
      </c>
      <c r="O111" s="4">
        <f t="array" ref="O111">IFERROR(INDEX(Unified_Matrix!$A:$ZZ,ROW(A108),MATCH("Req_Position",Unified_Matrix!$1:$1,0)),"")</f>
        <v/>
      </c>
      <c r="P111" s="4">
        <f t="array" ref="P111">IFERROR(INDEX(Unified_Matrix!$A:$ZZ,ROW(A108),MATCH("Req_OVR_Max",Unified_Matrix!$1:$1,0)),"")</f>
        <v/>
      </c>
      <c r="Q111" s="4">
        <f t="array" ref="Q111">IFERROR(INDEX(Unified_Matrix!$A:$ZZ,ROW(A108),MATCH("Req_Other",Unified_Matrix!$1:$1,0)),"")</f>
        <v/>
      </c>
    </row>
    <row r="112" hidden="1">
      <c r="J112" s="4">
        <f t="array" ref="J112">IFERROR(INDEX(Unified_Matrix!$A:$ZZ,ROW(A109),MATCH("Max "&amp;$J$9,Unified_Matrix!$1:$1,0)),"")</f>
        <v/>
      </c>
      <c r="K112" s="4">
        <f t="array" ref="K112">IFERROR(INDEX(Unified_Matrix!$A:$ZZ,ROW(A109),MATCH("Evolution_Name",Unified_Matrix!$1:$1,0)),"")</f>
        <v/>
      </c>
      <c r="L112" s="4">
        <f>IF(J112="","",IF(J112=0,"",IF(J112=$AB$28,1,IF(J112=$AB$29,2,IF(J112=$AB$30,3,"")))))</f>
        <v/>
      </c>
      <c r="M112" s="4">
        <f t="array" ref="M112">IFERROR(INDEX(Unified_Matrix!$A:$ZZ,ROW(A109),MATCH("+ OVR",Unified_Matrix!$1:$1,0)),"")</f>
        <v/>
      </c>
      <c r="N112" s="4">
        <f t="array" ref="N112">IFERROR(INDEX(Unified_Matrix!$A:$ZZ,ROW(A109),MATCH("Max OVR",Unified_Matrix!$1:$1,0)),"")</f>
        <v/>
      </c>
      <c r="O112" s="4">
        <f t="array" ref="O112">IFERROR(INDEX(Unified_Matrix!$A:$ZZ,ROW(A109),MATCH("Req_Position",Unified_Matrix!$1:$1,0)),"")</f>
        <v/>
      </c>
      <c r="P112" s="4">
        <f t="array" ref="P112">IFERROR(INDEX(Unified_Matrix!$A:$ZZ,ROW(A109),MATCH("Req_OVR_Max",Unified_Matrix!$1:$1,0)),"")</f>
        <v/>
      </c>
      <c r="Q112" s="4">
        <f t="array" ref="Q112">IFERROR(INDEX(Unified_Matrix!$A:$ZZ,ROW(A109),MATCH("Req_Other",Unified_Matrix!$1:$1,0)),"")</f>
        <v/>
      </c>
    </row>
    <row r="113" hidden="1">
      <c r="J113" s="4">
        <f t="array" ref="J113">IFERROR(INDEX(Unified_Matrix!$A:$ZZ,ROW(A110),MATCH("Max "&amp;$J$9,Unified_Matrix!$1:$1,0)),"")</f>
        <v/>
      </c>
      <c r="K113" s="4">
        <f t="array" ref="K113">IFERROR(INDEX(Unified_Matrix!$A:$ZZ,ROW(A110),MATCH("Evolution_Name",Unified_Matrix!$1:$1,0)),"")</f>
        <v/>
      </c>
      <c r="L113" s="4">
        <f>IF(J113="","",IF(J113=0,"",IF(J113=$AB$28,1,IF(J113=$AB$29,2,IF(J113=$AB$30,3,"")))))</f>
        <v/>
      </c>
      <c r="M113" s="4">
        <f t="array" ref="M113">IFERROR(INDEX(Unified_Matrix!$A:$ZZ,ROW(A110),MATCH("+ OVR",Unified_Matrix!$1:$1,0)),"")</f>
        <v/>
      </c>
      <c r="N113" s="4">
        <f t="array" ref="N113">IFERROR(INDEX(Unified_Matrix!$A:$ZZ,ROW(A110),MATCH("Max OVR",Unified_Matrix!$1:$1,0)),"")</f>
        <v/>
      </c>
      <c r="O113" s="4">
        <f t="array" ref="O113">IFERROR(INDEX(Unified_Matrix!$A:$ZZ,ROW(A110),MATCH("Req_Position",Unified_Matrix!$1:$1,0)),"")</f>
        <v/>
      </c>
      <c r="P113" s="4">
        <f t="array" ref="P113">IFERROR(INDEX(Unified_Matrix!$A:$ZZ,ROW(A110),MATCH("Req_OVR_Max",Unified_Matrix!$1:$1,0)),"")</f>
        <v/>
      </c>
      <c r="Q113" s="4">
        <f t="array" ref="Q113">IFERROR(INDEX(Unified_Matrix!$A:$ZZ,ROW(A110),MATCH("Req_Other",Unified_Matrix!$1:$1,0)),"")</f>
        <v/>
      </c>
    </row>
    <row r="114" hidden="1">
      <c r="J114" s="4">
        <f t="array" ref="J114">IFERROR(INDEX(Unified_Matrix!$A:$ZZ,ROW(A111),MATCH("Max "&amp;$J$9,Unified_Matrix!$1:$1,0)),"")</f>
        <v/>
      </c>
      <c r="K114" s="4">
        <f t="array" ref="K114">IFERROR(INDEX(Unified_Matrix!$A:$ZZ,ROW(A111),MATCH("Evolution_Name",Unified_Matrix!$1:$1,0)),"")</f>
        <v/>
      </c>
      <c r="L114" s="4">
        <f>IF(J114="","",IF(J114=0,"",IF(J114=$AB$28,1,IF(J114=$AB$29,2,IF(J114=$AB$30,3,"")))))</f>
        <v/>
      </c>
      <c r="M114" s="4">
        <f t="array" ref="M114">IFERROR(INDEX(Unified_Matrix!$A:$ZZ,ROW(A111),MATCH("+ OVR",Unified_Matrix!$1:$1,0)),"")</f>
        <v/>
      </c>
      <c r="N114" s="4">
        <f t="array" ref="N114">IFERROR(INDEX(Unified_Matrix!$A:$ZZ,ROW(A111),MATCH("Max OVR",Unified_Matrix!$1:$1,0)),"")</f>
        <v/>
      </c>
      <c r="O114" s="4">
        <f t="array" ref="O114">IFERROR(INDEX(Unified_Matrix!$A:$ZZ,ROW(A111),MATCH("Req_Position",Unified_Matrix!$1:$1,0)),"")</f>
        <v/>
      </c>
      <c r="P114" s="4">
        <f t="array" ref="P114">IFERROR(INDEX(Unified_Matrix!$A:$ZZ,ROW(A111),MATCH("Req_OVR_Max",Unified_Matrix!$1:$1,0)),"")</f>
        <v/>
      </c>
      <c r="Q114" s="4">
        <f t="array" ref="Q114">IFERROR(INDEX(Unified_Matrix!$A:$ZZ,ROW(A111),MATCH("Req_Other",Unified_Matrix!$1:$1,0)),"")</f>
        <v/>
      </c>
    </row>
    <row r="115" hidden="1">
      <c r="J115" s="4">
        <f t="array" ref="J115">IFERROR(INDEX(Unified_Matrix!$A:$ZZ,ROW(A112),MATCH("Max "&amp;$J$9,Unified_Matrix!$1:$1,0)),"")</f>
        <v/>
      </c>
      <c r="K115" s="4">
        <f t="array" ref="K115">IFERROR(INDEX(Unified_Matrix!$A:$ZZ,ROW(A112),MATCH("Evolution_Name",Unified_Matrix!$1:$1,0)),"")</f>
        <v/>
      </c>
      <c r="L115" s="4">
        <f>IF(J115="","",IF(J115=0,"",IF(J115=$AB$28,1,IF(J115=$AB$29,2,IF(J115=$AB$30,3,"")))))</f>
        <v/>
      </c>
      <c r="M115" s="4">
        <f t="array" ref="M115">IFERROR(INDEX(Unified_Matrix!$A:$ZZ,ROW(A112),MATCH("+ OVR",Unified_Matrix!$1:$1,0)),"")</f>
        <v/>
      </c>
      <c r="N115" s="4">
        <f t="array" ref="N115">IFERROR(INDEX(Unified_Matrix!$A:$ZZ,ROW(A112),MATCH("Max OVR",Unified_Matrix!$1:$1,0)),"")</f>
        <v/>
      </c>
      <c r="O115" s="4">
        <f t="array" ref="O115">IFERROR(INDEX(Unified_Matrix!$A:$ZZ,ROW(A112),MATCH("Req_Position",Unified_Matrix!$1:$1,0)),"")</f>
        <v/>
      </c>
      <c r="P115" s="4">
        <f t="array" ref="P115">IFERROR(INDEX(Unified_Matrix!$A:$ZZ,ROW(A112),MATCH("Req_OVR_Max",Unified_Matrix!$1:$1,0)),"")</f>
        <v/>
      </c>
      <c r="Q115" s="4">
        <f t="array" ref="Q115">IFERROR(INDEX(Unified_Matrix!$A:$ZZ,ROW(A112),MATCH("Req_Other",Unified_Matrix!$1:$1,0)),"")</f>
        <v/>
      </c>
    </row>
    <row r="116" hidden="1">
      <c r="J116" s="4">
        <f t="array" ref="J116">IFERROR(INDEX(Unified_Matrix!$A:$ZZ,ROW(A113),MATCH("Max "&amp;$J$9,Unified_Matrix!$1:$1,0)),"")</f>
        <v/>
      </c>
      <c r="K116" s="4">
        <f t="array" ref="K116">IFERROR(INDEX(Unified_Matrix!$A:$ZZ,ROW(A113),MATCH("Evolution_Name",Unified_Matrix!$1:$1,0)),"")</f>
        <v/>
      </c>
      <c r="L116" s="4">
        <f>IF(J116="","",IF(J116=0,"",IF(J116=$AB$28,1,IF(J116=$AB$29,2,IF(J116=$AB$30,3,"")))))</f>
        <v/>
      </c>
      <c r="M116" s="4">
        <f t="array" ref="M116">IFERROR(INDEX(Unified_Matrix!$A:$ZZ,ROW(A113),MATCH("+ OVR",Unified_Matrix!$1:$1,0)),"")</f>
        <v/>
      </c>
      <c r="N116" s="4">
        <f t="array" ref="N116">IFERROR(INDEX(Unified_Matrix!$A:$ZZ,ROW(A113),MATCH("Max OVR",Unified_Matrix!$1:$1,0)),"")</f>
        <v/>
      </c>
      <c r="O116" s="4">
        <f t="array" ref="O116">IFERROR(INDEX(Unified_Matrix!$A:$ZZ,ROW(A113),MATCH("Req_Position",Unified_Matrix!$1:$1,0)),"")</f>
        <v/>
      </c>
      <c r="P116" s="4">
        <f t="array" ref="P116">IFERROR(INDEX(Unified_Matrix!$A:$ZZ,ROW(A113),MATCH("Req_OVR_Max",Unified_Matrix!$1:$1,0)),"")</f>
        <v/>
      </c>
      <c r="Q116" s="4">
        <f t="array" ref="Q116">IFERROR(INDEX(Unified_Matrix!$A:$ZZ,ROW(A113),MATCH("Req_Other",Unified_Matrix!$1:$1,0)),"")</f>
        <v/>
      </c>
    </row>
    <row r="117" hidden="1">
      <c r="J117" s="4">
        <f t="array" ref="J117">IFERROR(INDEX(Unified_Matrix!$A:$ZZ,ROW(A114),MATCH("Max "&amp;$J$9,Unified_Matrix!$1:$1,0)),"")</f>
        <v/>
      </c>
      <c r="K117" s="4">
        <f t="array" ref="K117">IFERROR(INDEX(Unified_Matrix!$A:$ZZ,ROW(A114),MATCH("Evolution_Name",Unified_Matrix!$1:$1,0)),"")</f>
        <v/>
      </c>
      <c r="L117" s="4">
        <f>IF(J117="","",IF(J117=0,"",IF(J117=$AB$28,1,IF(J117=$AB$29,2,IF(J117=$AB$30,3,"")))))</f>
        <v/>
      </c>
      <c r="M117" s="4">
        <f t="array" ref="M117">IFERROR(INDEX(Unified_Matrix!$A:$ZZ,ROW(A114),MATCH("+ OVR",Unified_Matrix!$1:$1,0)),"")</f>
        <v/>
      </c>
      <c r="N117" s="4">
        <f t="array" ref="N117">IFERROR(INDEX(Unified_Matrix!$A:$ZZ,ROW(A114),MATCH("Max OVR",Unified_Matrix!$1:$1,0)),"")</f>
        <v/>
      </c>
      <c r="O117" s="4">
        <f t="array" ref="O117">IFERROR(INDEX(Unified_Matrix!$A:$ZZ,ROW(A114),MATCH("Req_Position",Unified_Matrix!$1:$1,0)),"")</f>
        <v/>
      </c>
      <c r="P117" s="4">
        <f t="array" ref="P117">IFERROR(INDEX(Unified_Matrix!$A:$ZZ,ROW(A114),MATCH("Req_OVR_Max",Unified_Matrix!$1:$1,0)),"")</f>
        <v/>
      </c>
      <c r="Q117" s="4">
        <f t="array" ref="Q117">IFERROR(INDEX(Unified_Matrix!$A:$ZZ,ROW(A114),MATCH("Req_Other",Unified_Matrix!$1:$1,0)),"")</f>
        <v/>
      </c>
    </row>
    <row r="118" hidden="1">
      <c r="J118" s="4">
        <f t="array" ref="J118">IFERROR(INDEX(Unified_Matrix!$A:$ZZ,ROW(A115),MATCH("Max "&amp;$J$9,Unified_Matrix!$1:$1,0)),"")</f>
        <v/>
      </c>
      <c r="K118" s="4">
        <f t="array" ref="K118">IFERROR(INDEX(Unified_Matrix!$A:$ZZ,ROW(A115),MATCH("Evolution_Name",Unified_Matrix!$1:$1,0)),"")</f>
        <v/>
      </c>
      <c r="L118" s="4">
        <f>IF(J118="","",IF(J118=0,"",IF(J118=$AB$28,1,IF(J118=$AB$29,2,IF(J118=$AB$30,3,"")))))</f>
        <v/>
      </c>
      <c r="M118" s="4">
        <f t="array" ref="M118">IFERROR(INDEX(Unified_Matrix!$A:$ZZ,ROW(A115),MATCH("+ OVR",Unified_Matrix!$1:$1,0)),"")</f>
        <v/>
      </c>
      <c r="N118" s="4">
        <f t="array" ref="N118">IFERROR(INDEX(Unified_Matrix!$A:$ZZ,ROW(A115),MATCH("Max OVR",Unified_Matrix!$1:$1,0)),"")</f>
        <v/>
      </c>
      <c r="O118" s="4">
        <f t="array" ref="O118">IFERROR(INDEX(Unified_Matrix!$A:$ZZ,ROW(A115),MATCH("Req_Position",Unified_Matrix!$1:$1,0)),"")</f>
        <v/>
      </c>
      <c r="P118" s="4">
        <f t="array" ref="P118">IFERROR(INDEX(Unified_Matrix!$A:$ZZ,ROW(A115),MATCH("Req_OVR_Max",Unified_Matrix!$1:$1,0)),"")</f>
        <v/>
      </c>
      <c r="Q118" s="4">
        <f t="array" ref="Q118">IFERROR(INDEX(Unified_Matrix!$A:$ZZ,ROW(A115),MATCH("Req_Other",Unified_Matrix!$1:$1,0)),"")</f>
        <v/>
      </c>
    </row>
    <row r="119" hidden="1">
      <c r="J119" s="4">
        <f t="array" ref="J119">IFERROR(INDEX(Unified_Matrix!$A:$ZZ,ROW(A116),MATCH("Max "&amp;$J$9,Unified_Matrix!$1:$1,0)),"")</f>
        <v/>
      </c>
      <c r="K119" s="4">
        <f t="array" ref="K119">IFERROR(INDEX(Unified_Matrix!$A:$ZZ,ROW(A116),MATCH("Evolution_Name",Unified_Matrix!$1:$1,0)),"")</f>
        <v/>
      </c>
      <c r="L119" s="4">
        <f>IF(J119="","",IF(J119=0,"",IF(J119=$AB$28,1,IF(J119=$AB$29,2,IF(J119=$AB$30,3,"")))))</f>
        <v/>
      </c>
      <c r="M119" s="4">
        <f t="array" ref="M119">IFERROR(INDEX(Unified_Matrix!$A:$ZZ,ROW(A116),MATCH("+ OVR",Unified_Matrix!$1:$1,0)),"")</f>
        <v/>
      </c>
      <c r="N119" s="4">
        <f t="array" ref="N119">IFERROR(INDEX(Unified_Matrix!$A:$ZZ,ROW(A116),MATCH("Max OVR",Unified_Matrix!$1:$1,0)),"")</f>
        <v/>
      </c>
      <c r="O119" s="4">
        <f t="array" ref="O119">IFERROR(INDEX(Unified_Matrix!$A:$ZZ,ROW(A116),MATCH("Req_Position",Unified_Matrix!$1:$1,0)),"")</f>
        <v/>
      </c>
      <c r="P119" s="4">
        <f t="array" ref="P119">IFERROR(INDEX(Unified_Matrix!$A:$ZZ,ROW(A116),MATCH("Req_OVR_Max",Unified_Matrix!$1:$1,0)),"")</f>
        <v/>
      </c>
      <c r="Q119" s="4">
        <f t="array" ref="Q119">IFERROR(INDEX(Unified_Matrix!$A:$ZZ,ROW(A116),MATCH("Req_Other",Unified_Matrix!$1:$1,0)),"")</f>
        <v/>
      </c>
    </row>
    <row r="120" hidden="1">
      <c r="J120" s="4">
        <f t="array" ref="J120">IFERROR(INDEX(Unified_Matrix!$A:$ZZ,ROW(A117),MATCH("Max "&amp;$J$9,Unified_Matrix!$1:$1,0)),"")</f>
        <v/>
      </c>
      <c r="K120" s="4">
        <f t="array" ref="K120">IFERROR(INDEX(Unified_Matrix!$A:$ZZ,ROW(A117),MATCH("Evolution_Name",Unified_Matrix!$1:$1,0)),"")</f>
        <v/>
      </c>
      <c r="L120" s="4">
        <f>IF(J120="","",IF(J120=0,"",IF(J120=$AB$28,1,IF(J120=$AB$29,2,IF(J120=$AB$30,3,"")))))</f>
        <v/>
      </c>
      <c r="M120" s="4">
        <f t="array" ref="M120">IFERROR(INDEX(Unified_Matrix!$A:$ZZ,ROW(A117),MATCH("+ OVR",Unified_Matrix!$1:$1,0)),"")</f>
        <v/>
      </c>
      <c r="N120" s="4">
        <f t="array" ref="N120">IFERROR(INDEX(Unified_Matrix!$A:$ZZ,ROW(A117),MATCH("Max OVR",Unified_Matrix!$1:$1,0)),"")</f>
        <v/>
      </c>
      <c r="O120" s="4">
        <f t="array" ref="O120">IFERROR(INDEX(Unified_Matrix!$A:$ZZ,ROW(A117),MATCH("Req_Position",Unified_Matrix!$1:$1,0)),"")</f>
        <v/>
      </c>
      <c r="P120" s="4">
        <f t="array" ref="P120">IFERROR(INDEX(Unified_Matrix!$A:$ZZ,ROW(A117),MATCH("Req_OVR_Max",Unified_Matrix!$1:$1,0)),"")</f>
        <v/>
      </c>
      <c r="Q120" s="4">
        <f t="array" ref="Q120">IFERROR(INDEX(Unified_Matrix!$A:$ZZ,ROW(A117),MATCH("Req_Other",Unified_Matrix!$1:$1,0)),"")</f>
        <v/>
      </c>
    </row>
    <row r="121" hidden="1">
      <c r="J121" s="4">
        <f t="array" ref="J121">IFERROR(INDEX(Unified_Matrix!$A:$ZZ,ROW(A118),MATCH("Max "&amp;$J$9,Unified_Matrix!$1:$1,0)),"")</f>
        <v/>
      </c>
      <c r="K121" s="4">
        <f t="array" ref="K121">IFERROR(INDEX(Unified_Matrix!$A:$ZZ,ROW(A118),MATCH("Evolution_Name",Unified_Matrix!$1:$1,0)),"")</f>
        <v/>
      </c>
      <c r="L121" s="4">
        <f>IF(J121="","",IF(J121=0,"",IF(J121=$AB$28,1,IF(J121=$AB$29,2,IF(J121=$AB$30,3,"")))))</f>
        <v/>
      </c>
      <c r="M121" s="4">
        <f t="array" ref="M121">IFERROR(INDEX(Unified_Matrix!$A:$ZZ,ROW(A118),MATCH("+ OVR",Unified_Matrix!$1:$1,0)),"")</f>
        <v/>
      </c>
      <c r="N121" s="4">
        <f t="array" ref="N121">IFERROR(INDEX(Unified_Matrix!$A:$ZZ,ROW(A118),MATCH("Max OVR",Unified_Matrix!$1:$1,0)),"")</f>
        <v/>
      </c>
      <c r="O121" s="4">
        <f t="array" ref="O121">IFERROR(INDEX(Unified_Matrix!$A:$ZZ,ROW(A118),MATCH("Req_Position",Unified_Matrix!$1:$1,0)),"")</f>
        <v/>
      </c>
      <c r="P121" s="4">
        <f t="array" ref="P121">IFERROR(INDEX(Unified_Matrix!$A:$ZZ,ROW(A118),MATCH("Req_OVR_Max",Unified_Matrix!$1:$1,0)),"")</f>
        <v/>
      </c>
      <c r="Q121" s="4">
        <f t="array" ref="Q121">IFERROR(INDEX(Unified_Matrix!$A:$ZZ,ROW(A118),MATCH("Req_Other",Unified_Matrix!$1:$1,0)),"")</f>
        <v/>
      </c>
    </row>
    <row r="122" hidden="1">
      <c r="J122" s="4">
        <f t="array" ref="J122">IFERROR(INDEX(Unified_Matrix!$A:$ZZ,ROW(A119),MATCH("Max "&amp;$J$9,Unified_Matrix!$1:$1,0)),"")</f>
        <v/>
      </c>
      <c r="K122" s="4">
        <f t="array" ref="K122">IFERROR(INDEX(Unified_Matrix!$A:$ZZ,ROW(A119),MATCH("Evolution_Name",Unified_Matrix!$1:$1,0)),"")</f>
        <v/>
      </c>
      <c r="L122" s="4">
        <f>IF(J122="","",IF(J122=0,"",IF(J122=$AB$28,1,IF(J122=$AB$29,2,IF(J122=$AB$30,3,"")))))</f>
        <v/>
      </c>
      <c r="M122" s="4">
        <f t="array" ref="M122">IFERROR(INDEX(Unified_Matrix!$A:$ZZ,ROW(A119),MATCH("+ OVR",Unified_Matrix!$1:$1,0)),"")</f>
        <v/>
      </c>
      <c r="N122" s="4">
        <f t="array" ref="N122">IFERROR(INDEX(Unified_Matrix!$A:$ZZ,ROW(A119),MATCH("Max OVR",Unified_Matrix!$1:$1,0)),"")</f>
        <v/>
      </c>
      <c r="O122" s="4">
        <f t="array" ref="O122">IFERROR(INDEX(Unified_Matrix!$A:$ZZ,ROW(A119),MATCH("Req_Position",Unified_Matrix!$1:$1,0)),"")</f>
        <v/>
      </c>
      <c r="P122" s="4">
        <f t="array" ref="P122">IFERROR(INDEX(Unified_Matrix!$A:$ZZ,ROW(A119),MATCH("Req_OVR_Max",Unified_Matrix!$1:$1,0)),"")</f>
        <v/>
      </c>
      <c r="Q122" s="4">
        <f t="array" ref="Q122">IFERROR(INDEX(Unified_Matrix!$A:$ZZ,ROW(A119),MATCH("Req_Other",Unified_Matrix!$1:$1,0)),"")</f>
        <v/>
      </c>
    </row>
    <row r="123" hidden="1">
      <c r="J123" s="4">
        <f t="array" ref="J123">IFERROR(INDEX(Unified_Matrix!$A:$ZZ,ROW(A120),MATCH("Max "&amp;$J$9,Unified_Matrix!$1:$1,0)),"")</f>
        <v/>
      </c>
      <c r="K123" s="4">
        <f t="array" ref="K123">IFERROR(INDEX(Unified_Matrix!$A:$ZZ,ROW(A120),MATCH("Evolution_Name",Unified_Matrix!$1:$1,0)),"")</f>
        <v/>
      </c>
      <c r="L123" s="4">
        <f>IF(J123="","",IF(J123=0,"",IF(J123=$AB$28,1,IF(J123=$AB$29,2,IF(J123=$AB$30,3,"")))))</f>
        <v/>
      </c>
      <c r="M123" s="4">
        <f t="array" ref="M123">IFERROR(INDEX(Unified_Matrix!$A:$ZZ,ROW(A120),MATCH("+ OVR",Unified_Matrix!$1:$1,0)),"")</f>
        <v/>
      </c>
      <c r="N123" s="4">
        <f t="array" ref="N123">IFERROR(INDEX(Unified_Matrix!$A:$ZZ,ROW(A120),MATCH("Max OVR",Unified_Matrix!$1:$1,0)),"")</f>
        <v/>
      </c>
      <c r="O123" s="4">
        <f t="array" ref="O123">IFERROR(INDEX(Unified_Matrix!$A:$ZZ,ROW(A120),MATCH("Req_Position",Unified_Matrix!$1:$1,0)),"")</f>
        <v/>
      </c>
      <c r="P123" s="4">
        <f t="array" ref="P123">IFERROR(INDEX(Unified_Matrix!$A:$ZZ,ROW(A120),MATCH("Req_OVR_Max",Unified_Matrix!$1:$1,0)),"")</f>
        <v/>
      </c>
      <c r="Q123" s="4">
        <f t="array" ref="Q123">IFERROR(INDEX(Unified_Matrix!$A:$ZZ,ROW(A120),MATCH("Req_Other",Unified_Matrix!$1:$1,0)),"")</f>
        <v/>
      </c>
    </row>
    <row r="124" hidden="1">
      <c r="J124" s="4">
        <f t="array" ref="J124">IFERROR(INDEX(Unified_Matrix!$A:$ZZ,ROW(A121),MATCH("Max "&amp;$J$9,Unified_Matrix!$1:$1,0)),"")</f>
        <v/>
      </c>
      <c r="K124" s="4">
        <f t="array" ref="K124">IFERROR(INDEX(Unified_Matrix!$A:$ZZ,ROW(A121),MATCH("Evolution_Name",Unified_Matrix!$1:$1,0)),"")</f>
        <v/>
      </c>
      <c r="L124" s="4">
        <f>IF(J124="","",IF(J124=0,"",IF(J124=$AB$28,1,IF(J124=$AB$29,2,IF(J124=$AB$30,3,"")))))</f>
        <v/>
      </c>
      <c r="M124" s="4">
        <f t="array" ref="M124">IFERROR(INDEX(Unified_Matrix!$A:$ZZ,ROW(A121),MATCH("+ OVR",Unified_Matrix!$1:$1,0)),"")</f>
        <v/>
      </c>
      <c r="N124" s="4">
        <f t="array" ref="N124">IFERROR(INDEX(Unified_Matrix!$A:$ZZ,ROW(A121),MATCH("Max OVR",Unified_Matrix!$1:$1,0)),"")</f>
        <v/>
      </c>
      <c r="O124" s="4">
        <f t="array" ref="O124">IFERROR(INDEX(Unified_Matrix!$A:$ZZ,ROW(A121),MATCH("Req_Position",Unified_Matrix!$1:$1,0)),"")</f>
        <v/>
      </c>
      <c r="P124" s="4">
        <f t="array" ref="P124">IFERROR(INDEX(Unified_Matrix!$A:$ZZ,ROW(A121),MATCH("Req_OVR_Max",Unified_Matrix!$1:$1,0)),"")</f>
        <v/>
      </c>
      <c r="Q124" s="4">
        <f t="array" ref="Q124">IFERROR(INDEX(Unified_Matrix!$A:$ZZ,ROW(A121),MATCH("Req_Other",Unified_Matrix!$1:$1,0)),"")</f>
        <v/>
      </c>
    </row>
    <row r="125" hidden="1">
      <c r="J125" s="4">
        <f t="array" ref="J125">IFERROR(INDEX(Unified_Matrix!$A:$ZZ,ROW(A122),MATCH("Max "&amp;$J$9,Unified_Matrix!$1:$1,0)),"")</f>
        <v/>
      </c>
      <c r="K125" s="4">
        <f t="array" ref="K125">IFERROR(INDEX(Unified_Matrix!$A:$ZZ,ROW(A122),MATCH("Evolution_Name",Unified_Matrix!$1:$1,0)),"")</f>
        <v/>
      </c>
      <c r="L125" s="4">
        <f>IF(J125="","",IF(J125=0,"",IF(J125=$AB$28,1,IF(J125=$AB$29,2,IF(J125=$AB$30,3,"")))))</f>
        <v/>
      </c>
      <c r="M125" s="4">
        <f t="array" ref="M125">IFERROR(INDEX(Unified_Matrix!$A:$ZZ,ROW(A122),MATCH("+ OVR",Unified_Matrix!$1:$1,0)),"")</f>
        <v/>
      </c>
      <c r="N125" s="4">
        <f t="array" ref="N125">IFERROR(INDEX(Unified_Matrix!$A:$ZZ,ROW(A122),MATCH("Max OVR",Unified_Matrix!$1:$1,0)),"")</f>
        <v/>
      </c>
      <c r="O125" s="4">
        <f t="array" ref="O125">IFERROR(INDEX(Unified_Matrix!$A:$ZZ,ROW(A122),MATCH("Req_Position",Unified_Matrix!$1:$1,0)),"")</f>
        <v/>
      </c>
      <c r="P125" s="4">
        <f t="array" ref="P125">IFERROR(INDEX(Unified_Matrix!$A:$ZZ,ROW(A122),MATCH("Req_OVR_Max",Unified_Matrix!$1:$1,0)),"")</f>
        <v/>
      </c>
      <c r="Q125" s="4">
        <f t="array" ref="Q125">IFERROR(INDEX(Unified_Matrix!$A:$ZZ,ROW(A122),MATCH("Req_Other",Unified_Matrix!$1:$1,0)),"")</f>
        <v/>
      </c>
    </row>
    <row r="126" hidden="1">
      <c r="J126" s="4">
        <f t="array" ref="J126">IFERROR(INDEX(Unified_Matrix!$A:$ZZ,ROW(A123),MATCH("Max "&amp;$J$9,Unified_Matrix!$1:$1,0)),"")</f>
        <v/>
      </c>
      <c r="K126" s="4">
        <f t="array" ref="K126">IFERROR(INDEX(Unified_Matrix!$A:$ZZ,ROW(A123),MATCH("Evolution_Name",Unified_Matrix!$1:$1,0)),"")</f>
        <v/>
      </c>
      <c r="L126" s="4">
        <f>IF(J126="","",IF(J126=0,"",IF(J126=$AB$28,1,IF(J126=$AB$29,2,IF(J126=$AB$30,3,"")))))</f>
        <v/>
      </c>
      <c r="M126" s="4">
        <f t="array" ref="M126">IFERROR(INDEX(Unified_Matrix!$A:$ZZ,ROW(A123),MATCH("+ OVR",Unified_Matrix!$1:$1,0)),"")</f>
        <v/>
      </c>
      <c r="N126" s="4">
        <f t="array" ref="N126">IFERROR(INDEX(Unified_Matrix!$A:$ZZ,ROW(A123),MATCH("Max OVR",Unified_Matrix!$1:$1,0)),"")</f>
        <v/>
      </c>
      <c r="O126" s="4">
        <f t="array" ref="O126">IFERROR(INDEX(Unified_Matrix!$A:$ZZ,ROW(A123),MATCH("Req_Position",Unified_Matrix!$1:$1,0)),"")</f>
        <v/>
      </c>
      <c r="P126" s="4">
        <f t="array" ref="P126">IFERROR(INDEX(Unified_Matrix!$A:$ZZ,ROW(A123),MATCH("Req_OVR_Max",Unified_Matrix!$1:$1,0)),"")</f>
        <v/>
      </c>
      <c r="Q126" s="4">
        <f t="array" ref="Q126">IFERROR(INDEX(Unified_Matrix!$A:$ZZ,ROW(A123),MATCH("Req_Other",Unified_Matrix!$1:$1,0)),"")</f>
        <v/>
      </c>
    </row>
    <row r="127" hidden="1">
      <c r="J127" s="4">
        <f t="array" ref="J127">IFERROR(INDEX(Unified_Matrix!$A:$ZZ,ROW(A124),MATCH("Max "&amp;$J$9,Unified_Matrix!$1:$1,0)),"")</f>
        <v/>
      </c>
      <c r="K127" s="4">
        <f t="array" ref="K127">IFERROR(INDEX(Unified_Matrix!$A:$ZZ,ROW(A124),MATCH("Evolution_Name",Unified_Matrix!$1:$1,0)),"")</f>
        <v/>
      </c>
      <c r="L127" s="4">
        <f>IF(J127="","",IF(J127=0,"",IF(J127=$AB$28,1,IF(J127=$AB$29,2,IF(J127=$AB$30,3,"")))))</f>
        <v/>
      </c>
      <c r="M127" s="4">
        <f t="array" ref="M127">IFERROR(INDEX(Unified_Matrix!$A:$ZZ,ROW(A124),MATCH("+ OVR",Unified_Matrix!$1:$1,0)),"")</f>
        <v/>
      </c>
      <c r="N127" s="4">
        <f t="array" ref="N127">IFERROR(INDEX(Unified_Matrix!$A:$ZZ,ROW(A124),MATCH("Max OVR",Unified_Matrix!$1:$1,0)),"")</f>
        <v/>
      </c>
      <c r="O127" s="4">
        <f t="array" ref="O127">IFERROR(INDEX(Unified_Matrix!$A:$ZZ,ROW(A124),MATCH("Req_Position",Unified_Matrix!$1:$1,0)),"")</f>
        <v/>
      </c>
      <c r="P127" s="4">
        <f t="array" ref="P127">IFERROR(INDEX(Unified_Matrix!$A:$ZZ,ROW(A124),MATCH("Req_OVR_Max",Unified_Matrix!$1:$1,0)),"")</f>
        <v/>
      </c>
      <c r="Q127" s="4">
        <f t="array" ref="Q127">IFERROR(INDEX(Unified_Matrix!$A:$ZZ,ROW(A124),MATCH("Req_Other",Unified_Matrix!$1:$1,0)),"")</f>
        <v/>
      </c>
    </row>
    <row r="128" hidden="1">
      <c r="J128" s="4">
        <f t="array" ref="J128">IFERROR(INDEX(Unified_Matrix!$A:$ZZ,ROW(A125),MATCH("Max "&amp;$J$9,Unified_Matrix!$1:$1,0)),"")</f>
        <v/>
      </c>
      <c r="K128" s="4">
        <f t="array" ref="K128">IFERROR(INDEX(Unified_Matrix!$A:$ZZ,ROW(A125),MATCH("Evolution_Name",Unified_Matrix!$1:$1,0)),"")</f>
        <v/>
      </c>
      <c r="L128" s="4">
        <f>IF(J128="","",IF(J128=0,"",IF(J128=$AB$28,1,IF(J128=$AB$29,2,IF(J128=$AB$30,3,"")))))</f>
        <v/>
      </c>
      <c r="M128" s="4">
        <f t="array" ref="M128">IFERROR(INDEX(Unified_Matrix!$A:$ZZ,ROW(A125),MATCH("+ OVR",Unified_Matrix!$1:$1,0)),"")</f>
        <v/>
      </c>
      <c r="N128" s="4">
        <f t="array" ref="N128">IFERROR(INDEX(Unified_Matrix!$A:$ZZ,ROW(A125),MATCH("Max OVR",Unified_Matrix!$1:$1,0)),"")</f>
        <v/>
      </c>
      <c r="O128" s="4">
        <f t="array" ref="O128">IFERROR(INDEX(Unified_Matrix!$A:$ZZ,ROW(A125),MATCH("Req_Position",Unified_Matrix!$1:$1,0)),"")</f>
        <v/>
      </c>
      <c r="P128" s="4">
        <f t="array" ref="P128">IFERROR(INDEX(Unified_Matrix!$A:$ZZ,ROW(A125),MATCH("Req_OVR_Max",Unified_Matrix!$1:$1,0)),"")</f>
        <v/>
      </c>
      <c r="Q128" s="4">
        <f t="array" ref="Q128">IFERROR(INDEX(Unified_Matrix!$A:$ZZ,ROW(A125),MATCH("Req_Other",Unified_Matrix!$1:$1,0)),"")</f>
        <v/>
      </c>
    </row>
    <row r="129" hidden="1">
      <c r="J129" s="4">
        <f t="array" ref="J129">IFERROR(INDEX(Unified_Matrix!$A:$ZZ,ROW(A126),MATCH("Max "&amp;$J$9,Unified_Matrix!$1:$1,0)),"")</f>
        <v/>
      </c>
      <c r="K129" s="4">
        <f t="array" ref="K129">IFERROR(INDEX(Unified_Matrix!$A:$ZZ,ROW(A126),MATCH("Evolution_Name",Unified_Matrix!$1:$1,0)),"")</f>
        <v/>
      </c>
      <c r="L129" s="4">
        <f>IF(J129="","",IF(J129=0,"",IF(J129=$AB$28,1,IF(J129=$AB$29,2,IF(J129=$AB$30,3,"")))))</f>
        <v/>
      </c>
      <c r="M129" s="4">
        <f t="array" ref="M129">IFERROR(INDEX(Unified_Matrix!$A:$ZZ,ROW(A126),MATCH("+ OVR",Unified_Matrix!$1:$1,0)),"")</f>
        <v/>
      </c>
      <c r="N129" s="4">
        <f t="array" ref="N129">IFERROR(INDEX(Unified_Matrix!$A:$ZZ,ROW(A126),MATCH("Max OVR",Unified_Matrix!$1:$1,0)),"")</f>
        <v/>
      </c>
      <c r="O129" s="4">
        <f t="array" ref="O129">IFERROR(INDEX(Unified_Matrix!$A:$ZZ,ROW(A126),MATCH("Req_Position",Unified_Matrix!$1:$1,0)),"")</f>
        <v/>
      </c>
      <c r="P129" s="4">
        <f t="array" ref="P129">IFERROR(INDEX(Unified_Matrix!$A:$ZZ,ROW(A126),MATCH("Req_OVR_Max",Unified_Matrix!$1:$1,0)),"")</f>
        <v/>
      </c>
      <c r="Q129" s="4">
        <f t="array" ref="Q129">IFERROR(INDEX(Unified_Matrix!$A:$ZZ,ROW(A126),MATCH("Req_Other",Unified_Matrix!$1:$1,0)),"")</f>
        <v/>
      </c>
    </row>
    <row r="130" hidden="1">
      <c r="J130" s="4">
        <f t="array" ref="J130">IFERROR(INDEX(Unified_Matrix!$A:$ZZ,ROW(A127),MATCH("Max "&amp;$J$9,Unified_Matrix!$1:$1,0)),"")</f>
        <v/>
      </c>
      <c r="K130" s="4">
        <f t="array" ref="K130">IFERROR(INDEX(Unified_Matrix!$A:$ZZ,ROW(A127),MATCH("Evolution_Name",Unified_Matrix!$1:$1,0)),"")</f>
        <v/>
      </c>
      <c r="L130" s="4">
        <f>IF(J130="","",IF(J130=0,"",IF(J130=$AB$28,1,IF(J130=$AB$29,2,IF(J130=$AB$30,3,"")))))</f>
        <v/>
      </c>
      <c r="M130" s="4">
        <f t="array" ref="M130">IFERROR(INDEX(Unified_Matrix!$A:$ZZ,ROW(A127),MATCH("+ OVR",Unified_Matrix!$1:$1,0)),"")</f>
        <v/>
      </c>
      <c r="N130" s="4">
        <f t="array" ref="N130">IFERROR(INDEX(Unified_Matrix!$A:$ZZ,ROW(A127),MATCH("Max OVR",Unified_Matrix!$1:$1,0)),"")</f>
        <v/>
      </c>
      <c r="O130" s="4">
        <f t="array" ref="O130">IFERROR(INDEX(Unified_Matrix!$A:$ZZ,ROW(A127),MATCH("Req_Position",Unified_Matrix!$1:$1,0)),"")</f>
        <v/>
      </c>
      <c r="P130" s="4">
        <f t="array" ref="P130">IFERROR(INDEX(Unified_Matrix!$A:$ZZ,ROW(A127),MATCH("Req_OVR_Max",Unified_Matrix!$1:$1,0)),"")</f>
        <v/>
      </c>
      <c r="Q130" s="4">
        <f t="array" ref="Q130">IFERROR(INDEX(Unified_Matrix!$A:$ZZ,ROW(A127),MATCH("Req_Other",Unified_Matrix!$1:$1,0)),"")</f>
        <v/>
      </c>
    </row>
    <row r="131" hidden="1">
      <c r="J131" s="4">
        <f t="array" ref="J131">IFERROR(INDEX(Unified_Matrix!$A:$ZZ,ROW(A128),MATCH("Max "&amp;$J$9,Unified_Matrix!$1:$1,0)),"")</f>
        <v/>
      </c>
      <c r="K131" s="4">
        <f t="array" ref="K131">IFERROR(INDEX(Unified_Matrix!$A:$ZZ,ROW(A128),MATCH("Evolution_Name",Unified_Matrix!$1:$1,0)),"")</f>
        <v/>
      </c>
      <c r="L131" s="4">
        <f>IF(J131="","",IF(J131=0,"",IF(J131=$AB$28,1,IF(J131=$AB$29,2,IF(J131=$AB$30,3,"")))))</f>
        <v/>
      </c>
      <c r="M131" s="4">
        <f t="array" ref="M131">IFERROR(INDEX(Unified_Matrix!$A:$ZZ,ROW(A128),MATCH("+ OVR",Unified_Matrix!$1:$1,0)),"")</f>
        <v/>
      </c>
      <c r="N131" s="4">
        <f t="array" ref="N131">IFERROR(INDEX(Unified_Matrix!$A:$ZZ,ROW(A128),MATCH("Max OVR",Unified_Matrix!$1:$1,0)),"")</f>
        <v/>
      </c>
      <c r="O131" s="4">
        <f t="array" ref="O131">IFERROR(INDEX(Unified_Matrix!$A:$ZZ,ROW(A128),MATCH("Req_Position",Unified_Matrix!$1:$1,0)),"")</f>
        <v/>
      </c>
      <c r="P131" s="4">
        <f t="array" ref="P131">IFERROR(INDEX(Unified_Matrix!$A:$ZZ,ROW(A128),MATCH("Req_OVR_Max",Unified_Matrix!$1:$1,0)),"")</f>
        <v/>
      </c>
      <c r="Q131" s="4">
        <f t="array" ref="Q131">IFERROR(INDEX(Unified_Matrix!$A:$ZZ,ROW(A128),MATCH("Req_Other",Unified_Matrix!$1:$1,0)),"")</f>
        <v/>
      </c>
    </row>
    <row r="132" hidden="1">
      <c r="J132" s="4">
        <f t="array" ref="J132">IFERROR(INDEX(Unified_Matrix!$A:$ZZ,ROW(A129),MATCH("Max "&amp;$J$9,Unified_Matrix!$1:$1,0)),"")</f>
        <v/>
      </c>
      <c r="K132" s="4">
        <f t="array" ref="K132">IFERROR(INDEX(Unified_Matrix!$A:$ZZ,ROW(A129),MATCH("Evolution_Name",Unified_Matrix!$1:$1,0)),"")</f>
        <v/>
      </c>
      <c r="L132" s="4">
        <f>IF(J132="","",IF(J132=0,"",IF(J132=$AB$28,1,IF(J132=$AB$29,2,IF(J132=$AB$30,3,"")))))</f>
        <v/>
      </c>
      <c r="M132" s="4">
        <f t="array" ref="M132">IFERROR(INDEX(Unified_Matrix!$A:$ZZ,ROW(A129),MATCH("+ OVR",Unified_Matrix!$1:$1,0)),"")</f>
        <v/>
      </c>
      <c r="N132" s="4">
        <f t="array" ref="N132">IFERROR(INDEX(Unified_Matrix!$A:$ZZ,ROW(A129),MATCH("Max OVR",Unified_Matrix!$1:$1,0)),"")</f>
        <v/>
      </c>
      <c r="O132" s="4">
        <f t="array" ref="O132">IFERROR(INDEX(Unified_Matrix!$A:$ZZ,ROW(A129),MATCH("Req_Position",Unified_Matrix!$1:$1,0)),"")</f>
        <v/>
      </c>
      <c r="P132" s="4">
        <f t="array" ref="P132">IFERROR(INDEX(Unified_Matrix!$A:$ZZ,ROW(A129),MATCH("Req_OVR_Max",Unified_Matrix!$1:$1,0)),"")</f>
        <v/>
      </c>
      <c r="Q132" s="4">
        <f t="array" ref="Q132">IFERROR(INDEX(Unified_Matrix!$A:$ZZ,ROW(A129),MATCH("Req_Other",Unified_Matrix!$1:$1,0)),"")</f>
        <v/>
      </c>
    </row>
    <row r="133" hidden="1">
      <c r="J133" s="4">
        <f t="array" ref="J133">IFERROR(INDEX(Unified_Matrix!$A:$ZZ,ROW(A130),MATCH("Max "&amp;$J$9,Unified_Matrix!$1:$1,0)),"")</f>
        <v/>
      </c>
      <c r="K133" s="4">
        <f t="array" ref="K133">IFERROR(INDEX(Unified_Matrix!$A:$ZZ,ROW(A130),MATCH("Evolution_Name",Unified_Matrix!$1:$1,0)),"")</f>
        <v/>
      </c>
      <c r="L133" s="4">
        <f>IF(J133="","",IF(J133=0,"",IF(J133=$AB$28,1,IF(J133=$AB$29,2,IF(J133=$AB$30,3,"")))))</f>
        <v/>
      </c>
      <c r="M133" s="4">
        <f t="array" ref="M133">IFERROR(INDEX(Unified_Matrix!$A:$ZZ,ROW(A130),MATCH("+ OVR",Unified_Matrix!$1:$1,0)),"")</f>
        <v/>
      </c>
      <c r="N133" s="4">
        <f t="array" ref="N133">IFERROR(INDEX(Unified_Matrix!$A:$ZZ,ROW(A130),MATCH("Max OVR",Unified_Matrix!$1:$1,0)),"")</f>
        <v/>
      </c>
      <c r="O133" s="4">
        <f t="array" ref="O133">IFERROR(INDEX(Unified_Matrix!$A:$ZZ,ROW(A130),MATCH("Req_Position",Unified_Matrix!$1:$1,0)),"")</f>
        <v/>
      </c>
      <c r="P133" s="4">
        <f t="array" ref="P133">IFERROR(INDEX(Unified_Matrix!$A:$ZZ,ROW(A130),MATCH("Req_OVR_Max",Unified_Matrix!$1:$1,0)),"")</f>
        <v/>
      </c>
      <c r="Q133" s="4">
        <f t="array" ref="Q133">IFERROR(INDEX(Unified_Matrix!$A:$ZZ,ROW(A130),MATCH("Req_Other",Unified_Matrix!$1:$1,0)),"")</f>
        <v/>
      </c>
    </row>
    <row r="134" hidden="1">
      <c r="J134" s="4">
        <f t="array" ref="J134">IFERROR(INDEX(Unified_Matrix!$A:$ZZ,ROW(A131),MATCH("Max "&amp;$J$9,Unified_Matrix!$1:$1,0)),"")</f>
        <v/>
      </c>
      <c r="K134" s="4">
        <f t="array" ref="K134">IFERROR(INDEX(Unified_Matrix!$A:$ZZ,ROW(A131),MATCH("Evolution_Name",Unified_Matrix!$1:$1,0)),"")</f>
        <v/>
      </c>
      <c r="L134" s="4">
        <f>IF(J134="","",IF(J134=0,"",IF(J134=$AB$28,1,IF(J134=$AB$29,2,IF(J134=$AB$30,3,"")))))</f>
        <v/>
      </c>
      <c r="M134" s="4">
        <f t="array" ref="M134">IFERROR(INDEX(Unified_Matrix!$A:$ZZ,ROW(A131),MATCH("+ OVR",Unified_Matrix!$1:$1,0)),"")</f>
        <v/>
      </c>
      <c r="N134" s="4">
        <f t="array" ref="N134">IFERROR(INDEX(Unified_Matrix!$A:$ZZ,ROW(A131),MATCH("Max OVR",Unified_Matrix!$1:$1,0)),"")</f>
        <v/>
      </c>
      <c r="O134" s="4">
        <f t="array" ref="O134">IFERROR(INDEX(Unified_Matrix!$A:$ZZ,ROW(A131),MATCH("Req_Position",Unified_Matrix!$1:$1,0)),"")</f>
        <v/>
      </c>
      <c r="P134" s="4">
        <f t="array" ref="P134">IFERROR(INDEX(Unified_Matrix!$A:$ZZ,ROW(A131),MATCH("Req_OVR_Max",Unified_Matrix!$1:$1,0)),"")</f>
        <v/>
      </c>
      <c r="Q134" s="4">
        <f t="array" ref="Q134">IFERROR(INDEX(Unified_Matrix!$A:$ZZ,ROW(A131),MATCH("Req_Other",Unified_Matrix!$1:$1,0)),"")</f>
        <v/>
      </c>
    </row>
    <row r="135" hidden="1">
      <c r="J135" s="4">
        <f t="array" ref="J135">IFERROR(INDEX(Unified_Matrix!$A:$ZZ,ROW(A132),MATCH("Max "&amp;$J$9,Unified_Matrix!$1:$1,0)),"")</f>
        <v/>
      </c>
      <c r="K135" s="4">
        <f t="array" ref="K135">IFERROR(INDEX(Unified_Matrix!$A:$ZZ,ROW(A132),MATCH("Evolution_Name",Unified_Matrix!$1:$1,0)),"")</f>
        <v/>
      </c>
      <c r="L135" s="4">
        <f>IF(J135="","",IF(J135=0,"",IF(J135=$AB$28,1,IF(J135=$AB$29,2,IF(J135=$AB$30,3,"")))))</f>
        <v/>
      </c>
      <c r="M135" s="4">
        <f t="array" ref="M135">IFERROR(INDEX(Unified_Matrix!$A:$ZZ,ROW(A132),MATCH("+ OVR",Unified_Matrix!$1:$1,0)),"")</f>
        <v/>
      </c>
      <c r="N135" s="4">
        <f t="array" ref="N135">IFERROR(INDEX(Unified_Matrix!$A:$ZZ,ROW(A132),MATCH("Max OVR",Unified_Matrix!$1:$1,0)),"")</f>
        <v/>
      </c>
      <c r="O135" s="4">
        <f t="array" ref="O135">IFERROR(INDEX(Unified_Matrix!$A:$ZZ,ROW(A132),MATCH("Req_Position",Unified_Matrix!$1:$1,0)),"")</f>
        <v/>
      </c>
      <c r="P135" s="4">
        <f t="array" ref="P135">IFERROR(INDEX(Unified_Matrix!$A:$ZZ,ROW(A132),MATCH("Req_OVR_Max",Unified_Matrix!$1:$1,0)),"")</f>
        <v/>
      </c>
      <c r="Q135" s="4">
        <f t="array" ref="Q135">IFERROR(INDEX(Unified_Matrix!$A:$ZZ,ROW(A132),MATCH("Req_Other",Unified_Matrix!$1:$1,0)),"")</f>
        <v/>
      </c>
    </row>
    <row r="136" hidden="1">
      <c r="J136" s="4">
        <f t="array" ref="J136">IFERROR(INDEX(Unified_Matrix!$A:$ZZ,ROW(A133),MATCH("Max "&amp;$J$9,Unified_Matrix!$1:$1,0)),"")</f>
        <v/>
      </c>
      <c r="K136" s="4">
        <f t="array" ref="K136">IFERROR(INDEX(Unified_Matrix!$A:$ZZ,ROW(A133),MATCH("Evolution_Name",Unified_Matrix!$1:$1,0)),"")</f>
        <v/>
      </c>
      <c r="L136" s="4">
        <f>IF(J136="","",IF(J136=0,"",IF(J136=$AB$28,1,IF(J136=$AB$29,2,IF(J136=$AB$30,3,"")))))</f>
        <v/>
      </c>
      <c r="M136" s="4">
        <f t="array" ref="M136">IFERROR(INDEX(Unified_Matrix!$A:$ZZ,ROW(A133),MATCH("+ OVR",Unified_Matrix!$1:$1,0)),"")</f>
        <v/>
      </c>
      <c r="N136" s="4">
        <f t="array" ref="N136">IFERROR(INDEX(Unified_Matrix!$A:$ZZ,ROW(A133),MATCH("Max OVR",Unified_Matrix!$1:$1,0)),"")</f>
        <v/>
      </c>
      <c r="O136" s="4">
        <f t="array" ref="O136">IFERROR(INDEX(Unified_Matrix!$A:$ZZ,ROW(A133),MATCH("Req_Position",Unified_Matrix!$1:$1,0)),"")</f>
        <v/>
      </c>
      <c r="P136" s="4">
        <f t="array" ref="P136">IFERROR(INDEX(Unified_Matrix!$A:$ZZ,ROW(A133),MATCH("Req_OVR_Max",Unified_Matrix!$1:$1,0)),"")</f>
        <v/>
      </c>
      <c r="Q136" s="4">
        <f t="array" ref="Q136">IFERROR(INDEX(Unified_Matrix!$A:$ZZ,ROW(A133),MATCH("Req_Other",Unified_Matrix!$1:$1,0)),"")</f>
        <v/>
      </c>
    </row>
    <row r="137" hidden="1">
      <c r="J137" s="4">
        <f t="array" ref="J137">IFERROR(INDEX(Unified_Matrix!$A:$ZZ,ROW(A134),MATCH("Max "&amp;$J$9,Unified_Matrix!$1:$1,0)),"")</f>
        <v/>
      </c>
      <c r="K137" s="4">
        <f t="array" ref="K137">IFERROR(INDEX(Unified_Matrix!$A:$ZZ,ROW(A134),MATCH("Evolution_Name",Unified_Matrix!$1:$1,0)),"")</f>
        <v/>
      </c>
      <c r="L137" s="4">
        <f>IF(J137="","",IF(J137=0,"",IF(J137=$AB$28,1,IF(J137=$AB$29,2,IF(J137=$AB$30,3,"")))))</f>
        <v/>
      </c>
      <c r="M137" s="4">
        <f t="array" ref="M137">IFERROR(INDEX(Unified_Matrix!$A:$ZZ,ROW(A134),MATCH("+ OVR",Unified_Matrix!$1:$1,0)),"")</f>
        <v/>
      </c>
      <c r="N137" s="4">
        <f t="array" ref="N137">IFERROR(INDEX(Unified_Matrix!$A:$ZZ,ROW(A134),MATCH("Max OVR",Unified_Matrix!$1:$1,0)),"")</f>
        <v/>
      </c>
      <c r="O137" s="4">
        <f t="array" ref="O137">IFERROR(INDEX(Unified_Matrix!$A:$ZZ,ROW(A134),MATCH("Req_Position",Unified_Matrix!$1:$1,0)),"")</f>
        <v/>
      </c>
      <c r="P137" s="4">
        <f t="array" ref="P137">IFERROR(INDEX(Unified_Matrix!$A:$ZZ,ROW(A134),MATCH("Req_OVR_Max",Unified_Matrix!$1:$1,0)),"")</f>
        <v/>
      </c>
      <c r="Q137" s="4">
        <f t="array" ref="Q137">IFERROR(INDEX(Unified_Matrix!$A:$ZZ,ROW(A134),MATCH("Req_Other",Unified_Matrix!$1:$1,0)),"")</f>
        <v/>
      </c>
    </row>
    <row r="138" hidden="1">
      <c r="J138" s="4">
        <f t="array" ref="J138">IFERROR(INDEX(Unified_Matrix!$A:$ZZ,ROW(A135),MATCH("Max "&amp;$J$9,Unified_Matrix!$1:$1,0)),"")</f>
        <v/>
      </c>
      <c r="K138" s="4">
        <f t="array" ref="K138">IFERROR(INDEX(Unified_Matrix!$A:$ZZ,ROW(A135),MATCH("Evolution_Name",Unified_Matrix!$1:$1,0)),"")</f>
        <v/>
      </c>
      <c r="L138" s="4">
        <f>IF(J138="","",IF(J138=0,"",IF(J138=$AB$28,1,IF(J138=$AB$29,2,IF(J138=$AB$30,3,"")))))</f>
        <v/>
      </c>
      <c r="M138" s="4">
        <f t="array" ref="M138">IFERROR(INDEX(Unified_Matrix!$A:$ZZ,ROW(A135),MATCH("+ OVR",Unified_Matrix!$1:$1,0)),"")</f>
        <v/>
      </c>
      <c r="N138" s="4">
        <f t="array" ref="N138">IFERROR(INDEX(Unified_Matrix!$A:$ZZ,ROW(A135),MATCH("Max OVR",Unified_Matrix!$1:$1,0)),"")</f>
        <v/>
      </c>
      <c r="O138" s="4">
        <f t="array" ref="O138">IFERROR(INDEX(Unified_Matrix!$A:$ZZ,ROW(A135),MATCH("Req_Position",Unified_Matrix!$1:$1,0)),"")</f>
        <v/>
      </c>
      <c r="P138" s="4">
        <f t="array" ref="P138">IFERROR(INDEX(Unified_Matrix!$A:$ZZ,ROW(A135),MATCH("Req_OVR_Max",Unified_Matrix!$1:$1,0)),"")</f>
        <v/>
      </c>
      <c r="Q138" s="4">
        <f t="array" ref="Q138">IFERROR(INDEX(Unified_Matrix!$A:$ZZ,ROW(A135),MATCH("Req_Other",Unified_Matrix!$1:$1,0)),"")</f>
        <v/>
      </c>
    </row>
    <row r="139" hidden="1">
      <c r="J139" s="4">
        <f t="array" ref="J139">IFERROR(INDEX(Unified_Matrix!$A:$ZZ,ROW(A136),MATCH("Max "&amp;$J$9,Unified_Matrix!$1:$1,0)),"")</f>
        <v/>
      </c>
      <c r="K139" s="4">
        <f t="array" ref="K139">IFERROR(INDEX(Unified_Matrix!$A:$ZZ,ROW(A136),MATCH("Evolution_Name",Unified_Matrix!$1:$1,0)),"")</f>
        <v/>
      </c>
      <c r="L139" s="4">
        <f>IF(J139="","",IF(J139=0,"",IF(J139=$AB$28,1,IF(J139=$AB$29,2,IF(J139=$AB$30,3,"")))))</f>
        <v/>
      </c>
      <c r="M139" s="4">
        <f t="array" ref="M139">IFERROR(INDEX(Unified_Matrix!$A:$ZZ,ROW(A136),MATCH("+ OVR",Unified_Matrix!$1:$1,0)),"")</f>
        <v/>
      </c>
      <c r="N139" s="4">
        <f t="array" ref="N139">IFERROR(INDEX(Unified_Matrix!$A:$ZZ,ROW(A136),MATCH("Max OVR",Unified_Matrix!$1:$1,0)),"")</f>
        <v/>
      </c>
      <c r="O139" s="4">
        <f t="array" ref="O139">IFERROR(INDEX(Unified_Matrix!$A:$ZZ,ROW(A136),MATCH("Req_Position",Unified_Matrix!$1:$1,0)),"")</f>
        <v/>
      </c>
      <c r="P139" s="4">
        <f t="array" ref="P139">IFERROR(INDEX(Unified_Matrix!$A:$ZZ,ROW(A136),MATCH("Req_OVR_Max",Unified_Matrix!$1:$1,0)),"")</f>
        <v/>
      </c>
      <c r="Q139" s="4">
        <f t="array" ref="Q139">IFERROR(INDEX(Unified_Matrix!$A:$ZZ,ROW(A136),MATCH("Req_Other",Unified_Matrix!$1:$1,0)),"")</f>
        <v/>
      </c>
    </row>
    <row r="140" hidden="1">
      <c r="J140" s="4">
        <f t="array" ref="J140">IFERROR(INDEX(Unified_Matrix!$A:$ZZ,ROW(A137),MATCH("Max "&amp;$J$9,Unified_Matrix!$1:$1,0)),"")</f>
        <v/>
      </c>
      <c r="K140" s="4">
        <f t="array" ref="K140">IFERROR(INDEX(Unified_Matrix!$A:$ZZ,ROW(A137),MATCH("Evolution_Name",Unified_Matrix!$1:$1,0)),"")</f>
        <v/>
      </c>
      <c r="L140" s="4">
        <f>IF(J140="","",IF(J140=0,"",IF(J140=$AB$28,1,IF(J140=$AB$29,2,IF(J140=$AB$30,3,"")))))</f>
        <v/>
      </c>
      <c r="M140" s="4">
        <f t="array" ref="M140">IFERROR(INDEX(Unified_Matrix!$A:$ZZ,ROW(A137),MATCH("+ OVR",Unified_Matrix!$1:$1,0)),"")</f>
        <v/>
      </c>
      <c r="N140" s="4">
        <f t="array" ref="N140">IFERROR(INDEX(Unified_Matrix!$A:$ZZ,ROW(A137),MATCH("Max OVR",Unified_Matrix!$1:$1,0)),"")</f>
        <v/>
      </c>
      <c r="O140" s="4">
        <f t="array" ref="O140">IFERROR(INDEX(Unified_Matrix!$A:$ZZ,ROW(A137),MATCH("Req_Position",Unified_Matrix!$1:$1,0)),"")</f>
        <v/>
      </c>
      <c r="P140" s="4">
        <f t="array" ref="P140">IFERROR(INDEX(Unified_Matrix!$A:$ZZ,ROW(A137),MATCH("Req_OVR_Max",Unified_Matrix!$1:$1,0)),"")</f>
        <v/>
      </c>
      <c r="Q140" s="4">
        <f t="array" ref="Q140">IFERROR(INDEX(Unified_Matrix!$A:$ZZ,ROW(A137),MATCH("Req_Other",Unified_Matrix!$1:$1,0)),"")</f>
        <v/>
      </c>
    </row>
    <row r="141" hidden="1">
      <c r="J141" s="4">
        <f t="array" ref="J141">IFERROR(INDEX(Unified_Matrix!$A:$ZZ,ROW(A138),MATCH("Max "&amp;$J$9,Unified_Matrix!$1:$1,0)),"")</f>
        <v/>
      </c>
      <c r="K141" s="4">
        <f t="array" ref="K141">IFERROR(INDEX(Unified_Matrix!$A:$ZZ,ROW(A138),MATCH("Evolution_Name",Unified_Matrix!$1:$1,0)),"")</f>
        <v/>
      </c>
      <c r="L141" s="4">
        <f>IF(J141="","",IF(J141=0,"",IF(J141=$AB$28,1,IF(J141=$AB$29,2,IF(J141=$AB$30,3,"")))))</f>
        <v/>
      </c>
      <c r="M141" s="4">
        <f t="array" ref="M141">IFERROR(INDEX(Unified_Matrix!$A:$ZZ,ROW(A138),MATCH("+ OVR",Unified_Matrix!$1:$1,0)),"")</f>
        <v/>
      </c>
      <c r="N141" s="4">
        <f t="array" ref="N141">IFERROR(INDEX(Unified_Matrix!$A:$ZZ,ROW(A138),MATCH("Max OVR",Unified_Matrix!$1:$1,0)),"")</f>
        <v/>
      </c>
      <c r="O141" s="4">
        <f t="array" ref="O141">IFERROR(INDEX(Unified_Matrix!$A:$ZZ,ROW(A138),MATCH("Req_Position",Unified_Matrix!$1:$1,0)),"")</f>
        <v/>
      </c>
      <c r="P141" s="4">
        <f t="array" ref="P141">IFERROR(INDEX(Unified_Matrix!$A:$ZZ,ROW(A138),MATCH("Req_OVR_Max",Unified_Matrix!$1:$1,0)),"")</f>
        <v/>
      </c>
      <c r="Q141" s="4">
        <f t="array" ref="Q141">IFERROR(INDEX(Unified_Matrix!$A:$ZZ,ROW(A138),MATCH("Req_Other",Unified_Matrix!$1:$1,0)),"")</f>
        <v/>
      </c>
    </row>
    <row r="142" hidden="1">
      <c r="J142" s="4">
        <f t="array" ref="J142">IFERROR(INDEX(Unified_Matrix!$A:$ZZ,ROW(A139),MATCH("Max "&amp;$J$9,Unified_Matrix!$1:$1,0)),"")</f>
        <v/>
      </c>
      <c r="K142" s="4">
        <f t="array" ref="K142">IFERROR(INDEX(Unified_Matrix!$A:$ZZ,ROW(A139),MATCH("Evolution_Name",Unified_Matrix!$1:$1,0)),"")</f>
        <v/>
      </c>
      <c r="L142" s="4">
        <f>IF(J142="","",IF(J142=0,"",IF(J142=$AB$28,1,IF(J142=$AB$29,2,IF(J142=$AB$30,3,"")))))</f>
        <v/>
      </c>
      <c r="M142" s="4">
        <f t="array" ref="M142">IFERROR(INDEX(Unified_Matrix!$A:$ZZ,ROW(A139),MATCH("+ OVR",Unified_Matrix!$1:$1,0)),"")</f>
        <v/>
      </c>
      <c r="N142" s="4">
        <f t="array" ref="N142">IFERROR(INDEX(Unified_Matrix!$A:$ZZ,ROW(A139),MATCH("Max OVR",Unified_Matrix!$1:$1,0)),"")</f>
        <v/>
      </c>
      <c r="O142" s="4">
        <f t="array" ref="O142">IFERROR(INDEX(Unified_Matrix!$A:$ZZ,ROW(A139),MATCH("Req_Position",Unified_Matrix!$1:$1,0)),"")</f>
        <v/>
      </c>
      <c r="P142" s="4">
        <f t="array" ref="P142">IFERROR(INDEX(Unified_Matrix!$A:$ZZ,ROW(A139),MATCH("Req_OVR_Max",Unified_Matrix!$1:$1,0)),"")</f>
        <v/>
      </c>
      <c r="Q142" s="4">
        <f t="array" ref="Q142">IFERROR(INDEX(Unified_Matrix!$A:$ZZ,ROW(A139),MATCH("Req_Other",Unified_Matrix!$1:$1,0)),"")</f>
        <v/>
      </c>
    </row>
    <row r="143" hidden="1">
      <c r="J143" s="4">
        <f t="array" ref="J143">IFERROR(INDEX(Unified_Matrix!$A:$ZZ,ROW(A140),MATCH("Max "&amp;$J$9,Unified_Matrix!$1:$1,0)),"")</f>
        <v/>
      </c>
      <c r="K143" s="4">
        <f t="array" ref="K143">IFERROR(INDEX(Unified_Matrix!$A:$ZZ,ROW(A140),MATCH("Evolution_Name",Unified_Matrix!$1:$1,0)),"")</f>
        <v/>
      </c>
      <c r="L143" s="4">
        <f>IF(J143="","",IF(J143=0,"",IF(J143=$AB$28,1,IF(J143=$AB$29,2,IF(J143=$AB$30,3,"")))))</f>
        <v/>
      </c>
      <c r="M143" s="4">
        <f t="array" ref="M143">IFERROR(INDEX(Unified_Matrix!$A:$ZZ,ROW(A140),MATCH("+ OVR",Unified_Matrix!$1:$1,0)),"")</f>
        <v/>
      </c>
      <c r="N143" s="4">
        <f t="array" ref="N143">IFERROR(INDEX(Unified_Matrix!$A:$ZZ,ROW(A140),MATCH("Max OVR",Unified_Matrix!$1:$1,0)),"")</f>
        <v/>
      </c>
      <c r="O143" s="4">
        <f t="array" ref="O143">IFERROR(INDEX(Unified_Matrix!$A:$ZZ,ROW(A140),MATCH("Req_Position",Unified_Matrix!$1:$1,0)),"")</f>
        <v/>
      </c>
      <c r="P143" s="4">
        <f t="array" ref="P143">IFERROR(INDEX(Unified_Matrix!$A:$ZZ,ROW(A140),MATCH("Req_OVR_Max",Unified_Matrix!$1:$1,0)),"")</f>
        <v/>
      </c>
      <c r="Q143" s="4">
        <f t="array" ref="Q143">IFERROR(INDEX(Unified_Matrix!$A:$ZZ,ROW(A140),MATCH("Req_Other",Unified_Matrix!$1:$1,0)),"")</f>
        <v/>
      </c>
    </row>
    <row r="144" hidden="1">
      <c r="J144" s="4">
        <f t="array" ref="J144">IFERROR(INDEX(Unified_Matrix!$A:$ZZ,ROW(A141),MATCH("Max "&amp;$J$9,Unified_Matrix!$1:$1,0)),"")</f>
        <v/>
      </c>
      <c r="K144" s="4">
        <f t="array" ref="K144">IFERROR(INDEX(Unified_Matrix!$A:$ZZ,ROW(A141),MATCH("Evolution_Name",Unified_Matrix!$1:$1,0)),"")</f>
        <v/>
      </c>
      <c r="L144" s="4">
        <f>IF(J144="","",IF(J144=0,"",IF(J144=$AB$28,1,IF(J144=$AB$29,2,IF(J144=$AB$30,3,"")))))</f>
        <v/>
      </c>
      <c r="M144" s="4">
        <f t="array" ref="M144">IFERROR(INDEX(Unified_Matrix!$A:$ZZ,ROW(A141),MATCH("+ OVR",Unified_Matrix!$1:$1,0)),"")</f>
        <v/>
      </c>
      <c r="N144" s="4">
        <f t="array" ref="N144">IFERROR(INDEX(Unified_Matrix!$A:$ZZ,ROW(A141),MATCH("Max OVR",Unified_Matrix!$1:$1,0)),"")</f>
        <v/>
      </c>
      <c r="O144" s="4">
        <f t="array" ref="O144">IFERROR(INDEX(Unified_Matrix!$A:$ZZ,ROW(A141),MATCH("Req_Position",Unified_Matrix!$1:$1,0)),"")</f>
        <v/>
      </c>
      <c r="P144" s="4">
        <f t="array" ref="P144">IFERROR(INDEX(Unified_Matrix!$A:$ZZ,ROW(A141),MATCH("Req_OVR_Max",Unified_Matrix!$1:$1,0)),"")</f>
        <v/>
      </c>
      <c r="Q144" s="4">
        <f t="array" ref="Q144">IFERROR(INDEX(Unified_Matrix!$A:$ZZ,ROW(A141),MATCH("Req_Other",Unified_Matrix!$1:$1,0)),"")</f>
        <v/>
      </c>
    </row>
    <row r="145" hidden="1">
      <c r="J145" s="4">
        <f t="array" ref="J145">IFERROR(INDEX(Unified_Matrix!$A:$ZZ,ROW(A142),MATCH("Max "&amp;$J$9,Unified_Matrix!$1:$1,0)),"")</f>
        <v/>
      </c>
      <c r="K145" s="4">
        <f t="array" ref="K145">IFERROR(INDEX(Unified_Matrix!$A:$ZZ,ROW(A142),MATCH("Evolution_Name",Unified_Matrix!$1:$1,0)),"")</f>
        <v/>
      </c>
      <c r="L145" s="4">
        <f>IF(J145="","",IF(J145=0,"",IF(J145=$AB$28,1,IF(J145=$AB$29,2,IF(J145=$AB$30,3,"")))))</f>
        <v/>
      </c>
      <c r="M145" s="4">
        <f t="array" ref="M145">IFERROR(INDEX(Unified_Matrix!$A:$ZZ,ROW(A142),MATCH("+ OVR",Unified_Matrix!$1:$1,0)),"")</f>
        <v/>
      </c>
      <c r="N145" s="4">
        <f t="array" ref="N145">IFERROR(INDEX(Unified_Matrix!$A:$ZZ,ROW(A142),MATCH("Max OVR",Unified_Matrix!$1:$1,0)),"")</f>
        <v/>
      </c>
      <c r="O145" s="4">
        <f t="array" ref="O145">IFERROR(INDEX(Unified_Matrix!$A:$ZZ,ROW(A142),MATCH("Req_Position",Unified_Matrix!$1:$1,0)),"")</f>
        <v/>
      </c>
      <c r="P145" s="4">
        <f t="array" ref="P145">IFERROR(INDEX(Unified_Matrix!$A:$ZZ,ROW(A142),MATCH("Req_OVR_Max",Unified_Matrix!$1:$1,0)),"")</f>
        <v/>
      </c>
      <c r="Q145" s="4">
        <f t="array" ref="Q145">IFERROR(INDEX(Unified_Matrix!$A:$ZZ,ROW(A142),MATCH("Req_Other",Unified_Matrix!$1:$1,0)),"")</f>
        <v/>
      </c>
    </row>
    <row r="146" hidden="1">
      <c r="J146" s="4">
        <f t="array" ref="J146">IFERROR(INDEX(Unified_Matrix!$A:$ZZ,ROW(A143),MATCH("Max "&amp;$J$9,Unified_Matrix!$1:$1,0)),"")</f>
        <v/>
      </c>
      <c r="K146" s="4">
        <f t="array" ref="K146">IFERROR(INDEX(Unified_Matrix!$A:$ZZ,ROW(A143),MATCH("Evolution_Name",Unified_Matrix!$1:$1,0)),"")</f>
        <v/>
      </c>
      <c r="L146" s="4">
        <f>IF(J146="","",IF(J146=0,"",IF(J146=$AB$28,1,IF(J146=$AB$29,2,IF(J146=$AB$30,3,"")))))</f>
        <v/>
      </c>
      <c r="M146" s="4">
        <f t="array" ref="M146">IFERROR(INDEX(Unified_Matrix!$A:$ZZ,ROW(A143),MATCH("+ OVR",Unified_Matrix!$1:$1,0)),"")</f>
        <v/>
      </c>
      <c r="N146" s="4">
        <f t="array" ref="N146">IFERROR(INDEX(Unified_Matrix!$A:$ZZ,ROW(A143),MATCH("Max OVR",Unified_Matrix!$1:$1,0)),"")</f>
        <v/>
      </c>
      <c r="O146" s="4">
        <f t="array" ref="O146">IFERROR(INDEX(Unified_Matrix!$A:$ZZ,ROW(A143),MATCH("Req_Position",Unified_Matrix!$1:$1,0)),"")</f>
        <v/>
      </c>
      <c r="P146" s="4">
        <f t="array" ref="P146">IFERROR(INDEX(Unified_Matrix!$A:$ZZ,ROW(A143),MATCH("Req_OVR_Max",Unified_Matrix!$1:$1,0)),"")</f>
        <v/>
      </c>
      <c r="Q146" s="4">
        <f t="array" ref="Q146">IFERROR(INDEX(Unified_Matrix!$A:$ZZ,ROW(A143),MATCH("Req_Other",Unified_Matrix!$1:$1,0)),"")</f>
        <v/>
      </c>
    </row>
    <row r="147" hidden="1">
      <c r="J147" s="4">
        <f t="array" ref="J147">IFERROR(INDEX(Unified_Matrix!$A:$ZZ,ROW(A144),MATCH("Max "&amp;$J$9,Unified_Matrix!$1:$1,0)),"")</f>
        <v/>
      </c>
      <c r="K147" s="4">
        <f t="array" ref="K147">IFERROR(INDEX(Unified_Matrix!$A:$ZZ,ROW(A144),MATCH("Evolution_Name",Unified_Matrix!$1:$1,0)),"")</f>
        <v/>
      </c>
      <c r="L147" s="4">
        <f>IF(J147="","",IF(J147=0,"",IF(J147=$AB$28,1,IF(J147=$AB$29,2,IF(J147=$AB$30,3,"")))))</f>
        <v/>
      </c>
      <c r="M147" s="4">
        <f t="array" ref="M147">IFERROR(INDEX(Unified_Matrix!$A:$ZZ,ROW(A144),MATCH("+ OVR",Unified_Matrix!$1:$1,0)),"")</f>
        <v/>
      </c>
      <c r="N147" s="4">
        <f t="array" ref="N147">IFERROR(INDEX(Unified_Matrix!$A:$ZZ,ROW(A144),MATCH("Max OVR",Unified_Matrix!$1:$1,0)),"")</f>
        <v/>
      </c>
      <c r="O147" s="4">
        <f t="array" ref="O147">IFERROR(INDEX(Unified_Matrix!$A:$ZZ,ROW(A144),MATCH("Req_Position",Unified_Matrix!$1:$1,0)),"")</f>
        <v/>
      </c>
      <c r="P147" s="4">
        <f t="array" ref="P147">IFERROR(INDEX(Unified_Matrix!$A:$ZZ,ROW(A144),MATCH("Req_OVR_Max",Unified_Matrix!$1:$1,0)),"")</f>
        <v/>
      </c>
      <c r="Q147" s="4">
        <f t="array" ref="Q147">IFERROR(INDEX(Unified_Matrix!$A:$ZZ,ROW(A144),MATCH("Req_Other",Unified_Matrix!$1:$1,0)),"")</f>
        <v/>
      </c>
    </row>
    <row r="148" hidden="1">
      <c r="J148" s="4">
        <f t="array" ref="J148">IFERROR(INDEX(Unified_Matrix!$A:$ZZ,ROW(A145),MATCH("Max "&amp;$J$9,Unified_Matrix!$1:$1,0)),"")</f>
        <v/>
      </c>
      <c r="K148" s="4">
        <f t="array" ref="K148">IFERROR(INDEX(Unified_Matrix!$A:$ZZ,ROW(A145),MATCH("Evolution_Name",Unified_Matrix!$1:$1,0)),"")</f>
        <v/>
      </c>
      <c r="L148" s="4">
        <f>IF(J148="","",IF(J148=0,"",IF(J148=$AB$28,1,IF(J148=$AB$29,2,IF(J148=$AB$30,3,"")))))</f>
        <v/>
      </c>
      <c r="M148" s="4">
        <f t="array" ref="M148">IFERROR(INDEX(Unified_Matrix!$A:$ZZ,ROW(A145),MATCH("+ OVR",Unified_Matrix!$1:$1,0)),"")</f>
        <v/>
      </c>
      <c r="N148" s="4">
        <f t="array" ref="N148">IFERROR(INDEX(Unified_Matrix!$A:$ZZ,ROW(A145),MATCH("Max OVR",Unified_Matrix!$1:$1,0)),"")</f>
        <v/>
      </c>
      <c r="O148" s="4">
        <f t="array" ref="O148">IFERROR(INDEX(Unified_Matrix!$A:$ZZ,ROW(A145),MATCH("Req_Position",Unified_Matrix!$1:$1,0)),"")</f>
        <v/>
      </c>
      <c r="P148" s="4">
        <f t="array" ref="P148">IFERROR(INDEX(Unified_Matrix!$A:$ZZ,ROW(A145),MATCH("Req_OVR_Max",Unified_Matrix!$1:$1,0)),"")</f>
        <v/>
      </c>
      <c r="Q148" s="4">
        <f t="array" ref="Q148">IFERROR(INDEX(Unified_Matrix!$A:$ZZ,ROW(A145),MATCH("Req_Other",Unified_Matrix!$1:$1,0)),"")</f>
        <v/>
      </c>
    </row>
    <row r="149" hidden="1">
      <c r="J149" s="4">
        <f t="array" ref="J149">IFERROR(INDEX(Unified_Matrix!$A:$ZZ,ROW(A146),MATCH("Max "&amp;$J$9,Unified_Matrix!$1:$1,0)),"")</f>
        <v/>
      </c>
      <c r="K149" s="4">
        <f t="array" ref="K149">IFERROR(INDEX(Unified_Matrix!$A:$ZZ,ROW(A146),MATCH("Evolution_Name",Unified_Matrix!$1:$1,0)),"")</f>
        <v/>
      </c>
      <c r="L149" s="4">
        <f>IF(J149="","",IF(J149=0,"",IF(J149=$AB$28,1,IF(J149=$AB$29,2,IF(J149=$AB$30,3,"")))))</f>
        <v/>
      </c>
      <c r="M149" s="4">
        <f t="array" ref="M149">IFERROR(INDEX(Unified_Matrix!$A:$ZZ,ROW(A146),MATCH("+ OVR",Unified_Matrix!$1:$1,0)),"")</f>
        <v/>
      </c>
      <c r="N149" s="4">
        <f t="array" ref="N149">IFERROR(INDEX(Unified_Matrix!$A:$ZZ,ROW(A146),MATCH("Max OVR",Unified_Matrix!$1:$1,0)),"")</f>
        <v/>
      </c>
      <c r="O149" s="4">
        <f t="array" ref="O149">IFERROR(INDEX(Unified_Matrix!$A:$ZZ,ROW(A146),MATCH("Req_Position",Unified_Matrix!$1:$1,0)),"")</f>
        <v/>
      </c>
      <c r="P149" s="4">
        <f t="array" ref="P149">IFERROR(INDEX(Unified_Matrix!$A:$ZZ,ROW(A146),MATCH("Req_OVR_Max",Unified_Matrix!$1:$1,0)),"")</f>
        <v/>
      </c>
      <c r="Q149" s="4">
        <f t="array" ref="Q149">IFERROR(INDEX(Unified_Matrix!$A:$ZZ,ROW(A146),MATCH("Req_Other",Unified_Matrix!$1:$1,0)),"")</f>
        <v/>
      </c>
    </row>
    <row r="150" hidden="1">
      <c r="J150" s="4">
        <f t="array" ref="J150">IFERROR(INDEX(Unified_Matrix!$A:$ZZ,ROW(A147),MATCH("Max "&amp;$J$9,Unified_Matrix!$1:$1,0)),"")</f>
        <v/>
      </c>
      <c r="K150" s="4">
        <f t="array" ref="K150">IFERROR(INDEX(Unified_Matrix!$A:$ZZ,ROW(A147),MATCH("Evolution_Name",Unified_Matrix!$1:$1,0)),"")</f>
        <v/>
      </c>
      <c r="L150" s="4">
        <f>IF(J150="","",IF(J150=0,"",IF(J150=$AB$28,1,IF(J150=$AB$29,2,IF(J150=$AB$30,3,"")))))</f>
        <v/>
      </c>
      <c r="M150" s="4">
        <f t="array" ref="M150">IFERROR(INDEX(Unified_Matrix!$A:$ZZ,ROW(A147),MATCH("+ OVR",Unified_Matrix!$1:$1,0)),"")</f>
        <v/>
      </c>
      <c r="N150" s="4">
        <f t="array" ref="N150">IFERROR(INDEX(Unified_Matrix!$A:$ZZ,ROW(A147),MATCH("Max OVR",Unified_Matrix!$1:$1,0)),"")</f>
        <v/>
      </c>
      <c r="O150" s="4">
        <f t="array" ref="O150">IFERROR(INDEX(Unified_Matrix!$A:$ZZ,ROW(A147),MATCH("Req_Position",Unified_Matrix!$1:$1,0)),"")</f>
        <v/>
      </c>
      <c r="P150" s="4">
        <f t="array" ref="P150">IFERROR(INDEX(Unified_Matrix!$A:$ZZ,ROW(A147),MATCH("Req_OVR_Max",Unified_Matrix!$1:$1,0)),"")</f>
        <v/>
      </c>
      <c r="Q150" s="4">
        <f t="array" ref="Q150">IFERROR(INDEX(Unified_Matrix!$A:$ZZ,ROW(A147),MATCH("Req_Other",Unified_Matrix!$1:$1,0)),"")</f>
        <v/>
      </c>
    </row>
    <row r="151" hidden="1">
      <c r="J151" s="4">
        <f t="array" ref="J151">IFERROR(INDEX(Unified_Matrix!$A:$ZZ,ROW(A148),MATCH("Max "&amp;$J$9,Unified_Matrix!$1:$1,0)),"")</f>
        <v/>
      </c>
      <c r="K151" s="4">
        <f t="array" ref="K151">IFERROR(INDEX(Unified_Matrix!$A:$ZZ,ROW(A148),MATCH("Evolution_Name",Unified_Matrix!$1:$1,0)),"")</f>
        <v/>
      </c>
      <c r="L151" s="4">
        <f>IF(J151="","",IF(J151=0,"",IF(J151=$AB$28,1,IF(J151=$AB$29,2,IF(J151=$AB$30,3,"")))))</f>
        <v/>
      </c>
      <c r="M151" s="4">
        <f t="array" ref="M151">IFERROR(INDEX(Unified_Matrix!$A:$ZZ,ROW(A148),MATCH("+ OVR",Unified_Matrix!$1:$1,0)),"")</f>
        <v/>
      </c>
      <c r="N151" s="4">
        <f t="array" ref="N151">IFERROR(INDEX(Unified_Matrix!$A:$ZZ,ROW(A148),MATCH("Max OVR",Unified_Matrix!$1:$1,0)),"")</f>
        <v/>
      </c>
      <c r="O151" s="4">
        <f t="array" ref="O151">IFERROR(INDEX(Unified_Matrix!$A:$ZZ,ROW(A148),MATCH("Req_Position",Unified_Matrix!$1:$1,0)),"")</f>
        <v/>
      </c>
      <c r="P151" s="4">
        <f t="array" ref="P151">IFERROR(INDEX(Unified_Matrix!$A:$ZZ,ROW(A148),MATCH("Req_OVR_Max",Unified_Matrix!$1:$1,0)),"")</f>
        <v/>
      </c>
      <c r="Q151" s="4">
        <f t="array" ref="Q151">IFERROR(INDEX(Unified_Matrix!$A:$ZZ,ROW(A148),MATCH("Req_Other",Unified_Matrix!$1:$1,0)),"")</f>
        <v/>
      </c>
    </row>
    <row r="152" hidden="1">
      <c r="J152" s="4">
        <f t="array" ref="J152">IFERROR(INDEX(Unified_Matrix!$A:$ZZ,ROW(A149),MATCH("Max "&amp;$J$9,Unified_Matrix!$1:$1,0)),"")</f>
        <v/>
      </c>
      <c r="K152" s="4">
        <f t="array" ref="K152">IFERROR(INDEX(Unified_Matrix!$A:$ZZ,ROW(A149),MATCH("Evolution_Name",Unified_Matrix!$1:$1,0)),"")</f>
        <v/>
      </c>
      <c r="L152" s="4">
        <f>IF(J152="","",IF(J152=0,"",IF(J152=$AB$28,1,IF(J152=$AB$29,2,IF(J152=$AB$30,3,"")))))</f>
        <v/>
      </c>
      <c r="M152" s="4">
        <f t="array" ref="M152">IFERROR(INDEX(Unified_Matrix!$A:$ZZ,ROW(A149),MATCH("+ OVR",Unified_Matrix!$1:$1,0)),"")</f>
        <v/>
      </c>
      <c r="N152" s="4">
        <f t="array" ref="N152">IFERROR(INDEX(Unified_Matrix!$A:$ZZ,ROW(A149),MATCH("Max OVR",Unified_Matrix!$1:$1,0)),"")</f>
        <v/>
      </c>
      <c r="O152" s="4">
        <f t="array" ref="O152">IFERROR(INDEX(Unified_Matrix!$A:$ZZ,ROW(A149),MATCH("Req_Position",Unified_Matrix!$1:$1,0)),"")</f>
        <v/>
      </c>
      <c r="P152" s="4">
        <f t="array" ref="P152">IFERROR(INDEX(Unified_Matrix!$A:$ZZ,ROW(A149),MATCH("Req_OVR_Max",Unified_Matrix!$1:$1,0)),"")</f>
        <v/>
      </c>
      <c r="Q152" s="4">
        <f t="array" ref="Q152">IFERROR(INDEX(Unified_Matrix!$A:$ZZ,ROW(A149),MATCH("Req_Other",Unified_Matrix!$1:$1,0)),"")</f>
        <v/>
      </c>
    </row>
    <row r="153" hidden="1">
      <c r="J153" s="4">
        <f t="array" ref="J153">IFERROR(INDEX(Unified_Matrix!$A:$ZZ,ROW(A150),MATCH("Max "&amp;$J$9,Unified_Matrix!$1:$1,0)),"")</f>
        <v/>
      </c>
      <c r="K153" s="4">
        <f t="array" ref="K153">IFERROR(INDEX(Unified_Matrix!$A:$ZZ,ROW(A150),MATCH("Evolution_Name",Unified_Matrix!$1:$1,0)),"")</f>
        <v/>
      </c>
      <c r="L153" s="4">
        <f>IF(J153="","",IF(J153=0,"",IF(J153=$AB$28,1,IF(J153=$AB$29,2,IF(J153=$AB$30,3,"")))))</f>
        <v/>
      </c>
      <c r="M153" s="4">
        <f t="array" ref="M153">IFERROR(INDEX(Unified_Matrix!$A:$ZZ,ROW(A150),MATCH("+ OVR",Unified_Matrix!$1:$1,0)),"")</f>
        <v/>
      </c>
      <c r="N153" s="4">
        <f t="array" ref="N153">IFERROR(INDEX(Unified_Matrix!$A:$ZZ,ROW(A150),MATCH("Max OVR",Unified_Matrix!$1:$1,0)),"")</f>
        <v/>
      </c>
      <c r="O153" s="4">
        <f t="array" ref="O153">IFERROR(INDEX(Unified_Matrix!$A:$ZZ,ROW(A150),MATCH("Req_Position",Unified_Matrix!$1:$1,0)),"")</f>
        <v/>
      </c>
      <c r="P153" s="4">
        <f t="array" ref="P153">IFERROR(INDEX(Unified_Matrix!$A:$ZZ,ROW(A150),MATCH("Req_OVR_Max",Unified_Matrix!$1:$1,0)),"")</f>
        <v/>
      </c>
      <c r="Q153" s="4">
        <f t="array" ref="Q153">IFERROR(INDEX(Unified_Matrix!$A:$ZZ,ROW(A150),MATCH("Req_Other",Unified_Matrix!$1:$1,0)),"")</f>
        <v/>
      </c>
    </row>
    <row r="154" hidden="1">
      <c r="J154" s="4">
        <f t="array" ref="J154">IFERROR(INDEX(Unified_Matrix!$A:$ZZ,ROW(A151),MATCH("Max "&amp;$J$9,Unified_Matrix!$1:$1,0)),"")</f>
        <v/>
      </c>
      <c r="K154" s="4">
        <f t="array" ref="K154">IFERROR(INDEX(Unified_Matrix!$A:$ZZ,ROW(A151),MATCH("Evolution_Name",Unified_Matrix!$1:$1,0)),"")</f>
        <v/>
      </c>
      <c r="L154" s="4">
        <f>IF(J154="","",IF(J154=0,"",IF(J154=$AB$28,1,IF(J154=$AB$29,2,IF(J154=$AB$30,3,"")))))</f>
        <v/>
      </c>
      <c r="M154" s="4">
        <f t="array" ref="M154">IFERROR(INDEX(Unified_Matrix!$A:$ZZ,ROW(A151),MATCH("+ OVR",Unified_Matrix!$1:$1,0)),"")</f>
        <v/>
      </c>
      <c r="N154" s="4">
        <f t="array" ref="N154">IFERROR(INDEX(Unified_Matrix!$A:$ZZ,ROW(A151),MATCH("Max OVR",Unified_Matrix!$1:$1,0)),"")</f>
        <v/>
      </c>
      <c r="O154" s="4">
        <f t="array" ref="O154">IFERROR(INDEX(Unified_Matrix!$A:$ZZ,ROW(A151),MATCH("Req_Position",Unified_Matrix!$1:$1,0)),"")</f>
        <v/>
      </c>
      <c r="P154" s="4">
        <f t="array" ref="P154">IFERROR(INDEX(Unified_Matrix!$A:$ZZ,ROW(A151),MATCH("Req_OVR_Max",Unified_Matrix!$1:$1,0)),"")</f>
        <v/>
      </c>
      <c r="Q154" s="4">
        <f t="array" ref="Q154">IFERROR(INDEX(Unified_Matrix!$A:$ZZ,ROW(A151),MATCH("Req_Other",Unified_Matrix!$1:$1,0)),"")</f>
        <v/>
      </c>
    </row>
    <row r="155" hidden="1">
      <c r="J155" s="4">
        <f t="array" ref="J155">IFERROR(INDEX(Unified_Matrix!$A:$ZZ,ROW(A152),MATCH("Max "&amp;$J$9,Unified_Matrix!$1:$1,0)),"")</f>
        <v/>
      </c>
      <c r="K155" s="4">
        <f t="array" ref="K155">IFERROR(INDEX(Unified_Matrix!$A:$ZZ,ROW(A152),MATCH("Evolution_Name",Unified_Matrix!$1:$1,0)),"")</f>
        <v/>
      </c>
      <c r="L155" s="4">
        <f>IF(J155="","",IF(J155=0,"",IF(J155=$AB$28,1,IF(J155=$AB$29,2,IF(J155=$AB$30,3,"")))))</f>
        <v/>
      </c>
      <c r="M155" s="4">
        <f t="array" ref="M155">IFERROR(INDEX(Unified_Matrix!$A:$ZZ,ROW(A152),MATCH("+ OVR",Unified_Matrix!$1:$1,0)),"")</f>
        <v/>
      </c>
      <c r="N155" s="4">
        <f t="array" ref="N155">IFERROR(INDEX(Unified_Matrix!$A:$ZZ,ROW(A152),MATCH("Max OVR",Unified_Matrix!$1:$1,0)),"")</f>
        <v/>
      </c>
      <c r="O155" s="4">
        <f t="array" ref="O155">IFERROR(INDEX(Unified_Matrix!$A:$ZZ,ROW(A152),MATCH("Req_Position",Unified_Matrix!$1:$1,0)),"")</f>
        <v/>
      </c>
      <c r="P155" s="4">
        <f t="array" ref="P155">IFERROR(INDEX(Unified_Matrix!$A:$ZZ,ROW(A152),MATCH("Req_OVR_Max",Unified_Matrix!$1:$1,0)),"")</f>
        <v/>
      </c>
      <c r="Q155" s="4">
        <f t="array" ref="Q155">IFERROR(INDEX(Unified_Matrix!$A:$ZZ,ROW(A152),MATCH("Req_Other",Unified_Matrix!$1:$1,0)),"")</f>
        <v/>
      </c>
    </row>
    <row r="156" hidden="1">
      <c r="J156" s="4">
        <f t="array" ref="J156">IFERROR(INDEX(Unified_Matrix!$A:$ZZ,ROW(A153),MATCH("Max "&amp;$J$9,Unified_Matrix!$1:$1,0)),"")</f>
        <v/>
      </c>
      <c r="K156" s="4">
        <f t="array" ref="K156">IFERROR(INDEX(Unified_Matrix!$A:$ZZ,ROW(A153),MATCH("Evolution_Name",Unified_Matrix!$1:$1,0)),"")</f>
        <v/>
      </c>
      <c r="L156" s="4">
        <f>IF(J156="","",IF(J156=0,"",IF(J156=$AB$28,1,IF(J156=$AB$29,2,IF(J156=$AB$30,3,"")))))</f>
        <v/>
      </c>
      <c r="M156" s="4">
        <f t="array" ref="M156">IFERROR(INDEX(Unified_Matrix!$A:$ZZ,ROW(A153),MATCH("+ OVR",Unified_Matrix!$1:$1,0)),"")</f>
        <v/>
      </c>
      <c r="N156" s="4">
        <f t="array" ref="N156">IFERROR(INDEX(Unified_Matrix!$A:$ZZ,ROW(A153),MATCH("Max OVR",Unified_Matrix!$1:$1,0)),"")</f>
        <v/>
      </c>
      <c r="O156" s="4">
        <f t="array" ref="O156">IFERROR(INDEX(Unified_Matrix!$A:$ZZ,ROW(A153),MATCH("Req_Position",Unified_Matrix!$1:$1,0)),"")</f>
        <v/>
      </c>
      <c r="P156" s="4">
        <f t="array" ref="P156">IFERROR(INDEX(Unified_Matrix!$A:$ZZ,ROW(A153),MATCH("Req_OVR_Max",Unified_Matrix!$1:$1,0)),"")</f>
        <v/>
      </c>
      <c r="Q156" s="4">
        <f t="array" ref="Q156">IFERROR(INDEX(Unified_Matrix!$A:$ZZ,ROW(A153),MATCH("Req_Other",Unified_Matrix!$1:$1,0)),"")</f>
        <v/>
      </c>
    </row>
    <row r="157" hidden="1">
      <c r="J157" s="4">
        <f t="array" ref="J157">IFERROR(INDEX(Unified_Matrix!$A:$ZZ,ROW(A154),MATCH("Max "&amp;$J$9,Unified_Matrix!$1:$1,0)),"")</f>
        <v/>
      </c>
      <c r="K157" s="4">
        <f t="array" ref="K157">IFERROR(INDEX(Unified_Matrix!$A:$ZZ,ROW(A154),MATCH("Evolution_Name",Unified_Matrix!$1:$1,0)),"")</f>
        <v/>
      </c>
      <c r="L157" s="4">
        <f>IF(J157="","",IF(J157=0,"",IF(J157=$AB$28,1,IF(J157=$AB$29,2,IF(J157=$AB$30,3,"")))))</f>
        <v/>
      </c>
      <c r="M157" s="4">
        <f t="array" ref="M157">IFERROR(INDEX(Unified_Matrix!$A:$ZZ,ROW(A154),MATCH("+ OVR",Unified_Matrix!$1:$1,0)),"")</f>
        <v/>
      </c>
      <c r="N157" s="4">
        <f t="array" ref="N157">IFERROR(INDEX(Unified_Matrix!$A:$ZZ,ROW(A154),MATCH("Max OVR",Unified_Matrix!$1:$1,0)),"")</f>
        <v/>
      </c>
      <c r="O157" s="4">
        <f t="array" ref="O157">IFERROR(INDEX(Unified_Matrix!$A:$ZZ,ROW(A154),MATCH("Req_Position",Unified_Matrix!$1:$1,0)),"")</f>
        <v/>
      </c>
      <c r="P157" s="4">
        <f t="array" ref="P157">IFERROR(INDEX(Unified_Matrix!$A:$ZZ,ROW(A154),MATCH("Req_OVR_Max",Unified_Matrix!$1:$1,0)),"")</f>
        <v/>
      </c>
      <c r="Q157" s="4">
        <f t="array" ref="Q157">IFERROR(INDEX(Unified_Matrix!$A:$ZZ,ROW(A154),MATCH("Req_Other",Unified_Matrix!$1:$1,0)),"")</f>
        <v/>
      </c>
    </row>
    <row r="158" hidden="1">
      <c r="J158" s="4">
        <f t="array" ref="J158">IFERROR(INDEX(Unified_Matrix!$A:$ZZ,ROW(A155),MATCH("Max "&amp;$J$9,Unified_Matrix!$1:$1,0)),"")</f>
        <v/>
      </c>
      <c r="K158" s="4">
        <f t="array" ref="K158">IFERROR(INDEX(Unified_Matrix!$A:$ZZ,ROW(A155),MATCH("Evolution_Name",Unified_Matrix!$1:$1,0)),"")</f>
        <v/>
      </c>
      <c r="L158" s="4">
        <f>IF(J158="","",IF(J158=0,"",IF(J158=$AB$28,1,IF(J158=$AB$29,2,IF(J158=$AB$30,3,"")))))</f>
        <v/>
      </c>
      <c r="M158" s="4">
        <f t="array" ref="M158">IFERROR(INDEX(Unified_Matrix!$A:$ZZ,ROW(A155),MATCH("+ OVR",Unified_Matrix!$1:$1,0)),"")</f>
        <v/>
      </c>
      <c r="N158" s="4">
        <f t="array" ref="N158">IFERROR(INDEX(Unified_Matrix!$A:$ZZ,ROW(A155),MATCH("Max OVR",Unified_Matrix!$1:$1,0)),"")</f>
        <v/>
      </c>
      <c r="O158" s="4">
        <f t="array" ref="O158">IFERROR(INDEX(Unified_Matrix!$A:$ZZ,ROW(A155),MATCH("Req_Position",Unified_Matrix!$1:$1,0)),"")</f>
        <v/>
      </c>
      <c r="P158" s="4">
        <f t="array" ref="P158">IFERROR(INDEX(Unified_Matrix!$A:$ZZ,ROW(A155),MATCH("Req_OVR_Max",Unified_Matrix!$1:$1,0)),"")</f>
        <v/>
      </c>
      <c r="Q158" s="4">
        <f t="array" ref="Q158">IFERROR(INDEX(Unified_Matrix!$A:$ZZ,ROW(A155),MATCH("Req_Other",Unified_Matrix!$1:$1,0)),"")</f>
        <v/>
      </c>
    </row>
    <row r="159" hidden="1">
      <c r="J159" s="4">
        <f t="array" ref="J159">IFERROR(INDEX(Unified_Matrix!$A:$ZZ,ROW(A156),MATCH("Max "&amp;$J$9,Unified_Matrix!$1:$1,0)),"")</f>
        <v/>
      </c>
      <c r="K159" s="4">
        <f t="array" ref="K159">IFERROR(INDEX(Unified_Matrix!$A:$ZZ,ROW(A156),MATCH("Evolution_Name",Unified_Matrix!$1:$1,0)),"")</f>
        <v/>
      </c>
      <c r="L159" s="4">
        <f>IF(J159="","",IF(J159=0,"",IF(J159=$AB$28,1,IF(J159=$AB$29,2,IF(J159=$AB$30,3,"")))))</f>
        <v/>
      </c>
      <c r="M159" s="4">
        <f t="array" ref="M159">IFERROR(INDEX(Unified_Matrix!$A:$ZZ,ROW(A156),MATCH("+ OVR",Unified_Matrix!$1:$1,0)),"")</f>
        <v/>
      </c>
      <c r="N159" s="4">
        <f t="array" ref="N159">IFERROR(INDEX(Unified_Matrix!$A:$ZZ,ROW(A156),MATCH("Max OVR",Unified_Matrix!$1:$1,0)),"")</f>
        <v/>
      </c>
      <c r="O159" s="4">
        <f t="array" ref="O159">IFERROR(INDEX(Unified_Matrix!$A:$ZZ,ROW(A156),MATCH("Req_Position",Unified_Matrix!$1:$1,0)),"")</f>
        <v/>
      </c>
      <c r="P159" s="4">
        <f t="array" ref="P159">IFERROR(INDEX(Unified_Matrix!$A:$ZZ,ROW(A156),MATCH("Req_OVR_Max",Unified_Matrix!$1:$1,0)),"")</f>
        <v/>
      </c>
      <c r="Q159" s="4">
        <f t="array" ref="Q159">IFERROR(INDEX(Unified_Matrix!$A:$ZZ,ROW(A156),MATCH("Req_Other",Unified_Matrix!$1:$1,0)),"")</f>
        <v/>
      </c>
    </row>
    <row r="160" hidden="1">
      <c r="J160" s="4">
        <f t="array" ref="J160">IFERROR(INDEX(Unified_Matrix!$A:$ZZ,ROW(A157),MATCH("Max "&amp;$J$9,Unified_Matrix!$1:$1,0)),"")</f>
        <v/>
      </c>
      <c r="K160" s="4">
        <f t="array" ref="K160">IFERROR(INDEX(Unified_Matrix!$A:$ZZ,ROW(A157),MATCH("Evolution_Name",Unified_Matrix!$1:$1,0)),"")</f>
        <v/>
      </c>
      <c r="L160" s="4">
        <f>IF(J160="","",IF(J160=0,"",IF(J160=$AB$28,1,IF(J160=$AB$29,2,IF(J160=$AB$30,3,"")))))</f>
        <v/>
      </c>
      <c r="M160" s="4">
        <f t="array" ref="M160">IFERROR(INDEX(Unified_Matrix!$A:$ZZ,ROW(A157),MATCH("+ OVR",Unified_Matrix!$1:$1,0)),"")</f>
        <v/>
      </c>
      <c r="N160" s="4">
        <f t="array" ref="N160">IFERROR(INDEX(Unified_Matrix!$A:$ZZ,ROW(A157),MATCH("Max OVR",Unified_Matrix!$1:$1,0)),"")</f>
        <v/>
      </c>
      <c r="O160" s="4">
        <f t="array" ref="O160">IFERROR(INDEX(Unified_Matrix!$A:$ZZ,ROW(A157),MATCH("Req_Position",Unified_Matrix!$1:$1,0)),"")</f>
        <v/>
      </c>
      <c r="P160" s="4">
        <f t="array" ref="P160">IFERROR(INDEX(Unified_Matrix!$A:$ZZ,ROW(A157),MATCH("Req_OVR_Max",Unified_Matrix!$1:$1,0)),"")</f>
        <v/>
      </c>
      <c r="Q160" s="4">
        <f t="array" ref="Q160">IFERROR(INDEX(Unified_Matrix!$A:$ZZ,ROW(A157),MATCH("Req_Other",Unified_Matrix!$1:$1,0)),"")</f>
        <v/>
      </c>
    </row>
    <row r="161" hidden="1">
      <c r="J161" s="4">
        <f t="array" ref="J161">IFERROR(INDEX(Unified_Matrix!$A:$ZZ,ROW(A158),MATCH("Max "&amp;$J$9,Unified_Matrix!$1:$1,0)),"")</f>
        <v/>
      </c>
      <c r="K161" s="4">
        <f t="array" ref="K161">IFERROR(INDEX(Unified_Matrix!$A:$ZZ,ROW(A158),MATCH("Evolution_Name",Unified_Matrix!$1:$1,0)),"")</f>
        <v/>
      </c>
      <c r="L161" s="4">
        <f>IF(J161="","",IF(J161=0,"",IF(J161=$AB$28,1,IF(J161=$AB$29,2,IF(J161=$AB$30,3,"")))))</f>
        <v/>
      </c>
      <c r="M161" s="4">
        <f t="array" ref="M161">IFERROR(INDEX(Unified_Matrix!$A:$ZZ,ROW(A158),MATCH("+ OVR",Unified_Matrix!$1:$1,0)),"")</f>
        <v/>
      </c>
      <c r="N161" s="4">
        <f t="array" ref="N161">IFERROR(INDEX(Unified_Matrix!$A:$ZZ,ROW(A158),MATCH("Max OVR",Unified_Matrix!$1:$1,0)),"")</f>
        <v/>
      </c>
      <c r="O161" s="4">
        <f t="array" ref="O161">IFERROR(INDEX(Unified_Matrix!$A:$ZZ,ROW(A158),MATCH("Req_Position",Unified_Matrix!$1:$1,0)),"")</f>
        <v/>
      </c>
      <c r="P161" s="4">
        <f t="array" ref="P161">IFERROR(INDEX(Unified_Matrix!$A:$ZZ,ROW(A158),MATCH("Req_OVR_Max",Unified_Matrix!$1:$1,0)),"")</f>
        <v/>
      </c>
      <c r="Q161" s="4">
        <f t="array" ref="Q161">IFERROR(INDEX(Unified_Matrix!$A:$ZZ,ROW(A158),MATCH("Req_Other",Unified_Matrix!$1:$1,0)),"")</f>
        <v/>
      </c>
    </row>
    <row r="162" hidden="1">
      <c r="J162" s="4">
        <f t="array" ref="J162">IFERROR(INDEX(Unified_Matrix!$A:$ZZ,ROW(A159),MATCH("Max "&amp;$J$9,Unified_Matrix!$1:$1,0)),"")</f>
        <v/>
      </c>
      <c r="K162" s="4">
        <f t="array" ref="K162">IFERROR(INDEX(Unified_Matrix!$A:$ZZ,ROW(A159),MATCH("Evolution_Name",Unified_Matrix!$1:$1,0)),"")</f>
        <v/>
      </c>
      <c r="L162" s="4">
        <f>IF(J162="","",IF(J162=0,"",IF(J162=$AB$28,1,IF(J162=$AB$29,2,IF(J162=$AB$30,3,"")))))</f>
        <v/>
      </c>
      <c r="M162" s="4">
        <f t="array" ref="M162">IFERROR(INDEX(Unified_Matrix!$A:$ZZ,ROW(A159),MATCH("+ OVR",Unified_Matrix!$1:$1,0)),"")</f>
        <v/>
      </c>
      <c r="N162" s="4">
        <f t="array" ref="N162">IFERROR(INDEX(Unified_Matrix!$A:$ZZ,ROW(A159),MATCH("Max OVR",Unified_Matrix!$1:$1,0)),"")</f>
        <v/>
      </c>
      <c r="O162" s="4">
        <f t="array" ref="O162">IFERROR(INDEX(Unified_Matrix!$A:$ZZ,ROW(A159),MATCH("Req_Position",Unified_Matrix!$1:$1,0)),"")</f>
        <v/>
      </c>
      <c r="P162" s="4">
        <f t="array" ref="P162">IFERROR(INDEX(Unified_Matrix!$A:$ZZ,ROW(A159),MATCH("Req_OVR_Max",Unified_Matrix!$1:$1,0)),"")</f>
        <v/>
      </c>
      <c r="Q162" s="4">
        <f t="array" ref="Q162">IFERROR(INDEX(Unified_Matrix!$A:$ZZ,ROW(A159),MATCH("Req_Other",Unified_Matrix!$1:$1,0)),"")</f>
        <v/>
      </c>
    </row>
    <row r="163" hidden="1">
      <c r="J163" s="4">
        <f t="array" ref="J163">IFERROR(INDEX(Unified_Matrix!$A:$ZZ,ROW(A160),MATCH("Max "&amp;$J$9,Unified_Matrix!$1:$1,0)),"")</f>
        <v/>
      </c>
      <c r="K163" s="4">
        <f t="array" ref="K163">IFERROR(INDEX(Unified_Matrix!$A:$ZZ,ROW(A160),MATCH("Evolution_Name",Unified_Matrix!$1:$1,0)),"")</f>
        <v/>
      </c>
      <c r="L163" s="4">
        <f>IF(J163="","",IF(J163=0,"",IF(J163=$AB$28,1,IF(J163=$AB$29,2,IF(J163=$AB$30,3,"")))))</f>
        <v/>
      </c>
      <c r="M163" s="4">
        <f t="array" ref="M163">IFERROR(INDEX(Unified_Matrix!$A:$ZZ,ROW(A160),MATCH("+ OVR",Unified_Matrix!$1:$1,0)),"")</f>
        <v/>
      </c>
      <c r="N163" s="4">
        <f t="array" ref="N163">IFERROR(INDEX(Unified_Matrix!$A:$ZZ,ROW(A160),MATCH("Max OVR",Unified_Matrix!$1:$1,0)),"")</f>
        <v/>
      </c>
      <c r="O163" s="4">
        <f t="array" ref="O163">IFERROR(INDEX(Unified_Matrix!$A:$ZZ,ROW(A160),MATCH("Req_Position",Unified_Matrix!$1:$1,0)),"")</f>
        <v/>
      </c>
      <c r="P163" s="4">
        <f t="array" ref="P163">IFERROR(INDEX(Unified_Matrix!$A:$ZZ,ROW(A160),MATCH("Req_OVR_Max",Unified_Matrix!$1:$1,0)),"")</f>
        <v/>
      </c>
      <c r="Q163" s="4">
        <f t="array" ref="Q163">IFERROR(INDEX(Unified_Matrix!$A:$ZZ,ROW(A160),MATCH("Req_Other",Unified_Matrix!$1:$1,0)),"")</f>
        <v/>
      </c>
    </row>
    <row r="164" hidden="1">
      <c r="J164" s="4">
        <f t="array" ref="J164">IFERROR(INDEX(Unified_Matrix!$A:$ZZ,ROW(A161),MATCH("Max "&amp;$J$9,Unified_Matrix!$1:$1,0)),"")</f>
        <v/>
      </c>
      <c r="K164" s="4">
        <f t="array" ref="K164">IFERROR(INDEX(Unified_Matrix!$A:$ZZ,ROW(A161),MATCH("Evolution_Name",Unified_Matrix!$1:$1,0)),"")</f>
        <v/>
      </c>
      <c r="L164" s="4">
        <f>IF(J164="","",IF(J164=0,"",IF(J164=$AB$28,1,IF(J164=$AB$29,2,IF(J164=$AB$30,3,"")))))</f>
        <v/>
      </c>
      <c r="M164" s="4">
        <f t="array" ref="M164">IFERROR(INDEX(Unified_Matrix!$A:$ZZ,ROW(A161),MATCH("+ OVR",Unified_Matrix!$1:$1,0)),"")</f>
        <v/>
      </c>
      <c r="N164" s="4">
        <f t="array" ref="N164">IFERROR(INDEX(Unified_Matrix!$A:$ZZ,ROW(A161),MATCH("Max OVR",Unified_Matrix!$1:$1,0)),"")</f>
        <v/>
      </c>
      <c r="O164" s="4">
        <f t="array" ref="O164">IFERROR(INDEX(Unified_Matrix!$A:$ZZ,ROW(A161),MATCH("Req_Position",Unified_Matrix!$1:$1,0)),"")</f>
        <v/>
      </c>
      <c r="P164" s="4">
        <f t="array" ref="P164">IFERROR(INDEX(Unified_Matrix!$A:$ZZ,ROW(A161),MATCH("Req_OVR_Max",Unified_Matrix!$1:$1,0)),"")</f>
        <v/>
      </c>
      <c r="Q164" s="4">
        <f t="array" ref="Q164">IFERROR(INDEX(Unified_Matrix!$A:$ZZ,ROW(A161),MATCH("Req_Other",Unified_Matrix!$1:$1,0)),"")</f>
        <v/>
      </c>
    </row>
    <row r="165" hidden="1">
      <c r="J165" s="4">
        <f t="array" ref="J165">IFERROR(INDEX(Unified_Matrix!$A:$ZZ,ROW(A162),MATCH("Max "&amp;$J$9,Unified_Matrix!$1:$1,0)),"")</f>
        <v/>
      </c>
      <c r="K165" s="4">
        <f t="array" ref="K165">IFERROR(INDEX(Unified_Matrix!$A:$ZZ,ROW(A162),MATCH("Evolution_Name",Unified_Matrix!$1:$1,0)),"")</f>
        <v/>
      </c>
      <c r="L165" s="4">
        <f>IF(J165="","",IF(J165=0,"",IF(J165=$AB$28,1,IF(J165=$AB$29,2,IF(J165=$AB$30,3,"")))))</f>
        <v/>
      </c>
      <c r="M165" s="4">
        <f t="array" ref="M165">IFERROR(INDEX(Unified_Matrix!$A:$ZZ,ROW(A162),MATCH("+ OVR",Unified_Matrix!$1:$1,0)),"")</f>
        <v/>
      </c>
      <c r="N165" s="4">
        <f t="array" ref="N165">IFERROR(INDEX(Unified_Matrix!$A:$ZZ,ROW(A162),MATCH("Max OVR",Unified_Matrix!$1:$1,0)),"")</f>
        <v/>
      </c>
      <c r="O165" s="4">
        <f t="array" ref="O165">IFERROR(INDEX(Unified_Matrix!$A:$ZZ,ROW(A162),MATCH("Req_Position",Unified_Matrix!$1:$1,0)),"")</f>
        <v/>
      </c>
      <c r="P165" s="4">
        <f t="array" ref="P165">IFERROR(INDEX(Unified_Matrix!$A:$ZZ,ROW(A162),MATCH("Req_OVR_Max",Unified_Matrix!$1:$1,0)),"")</f>
        <v/>
      </c>
      <c r="Q165" s="4">
        <f t="array" ref="Q165">IFERROR(INDEX(Unified_Matrix!$A:$ZZ,ROW(A162),MATCH("Req_Other",Unified_Matrix!$1:$1,0)),"")</f>
        <v/>
      </c>
    </row>
    <row r="166" hidden="1">
      <c r="J166" s="4">
        <f t="array" ref="J166">IFERROR(INDEX(Unified_Matrix!$A:$ZZ,ROW(A163),MATCH("Max "&amp;$J$9,Unified_Matrix!$1:$1,0)),"")</f>
        <v/>
      </c>
      <c r="K166" s="4">
        <f t="array" ref="K166">IFERROR(INDEX(Unified_Matrix!$A:$ZZ,ROW(A163),MATCH("Evolution_Name",Unified_Matrix!$1:$1,0)),"")</f>
        <v/>
      </c>
      <c r="L166" s="4">
        <f>IF(J166="","",IF(J166=0,"",IF(J166=$AB$28,1,IF(J166=$AB$29,2,IF(J166=$AB$30,3,"")))))</f>
        <v/>
      </c>
      <c r="M166" s="4">
        <f t="array" ref="M166">IFERROR(INDEX(Unified_Matrix!$A:$ZZ,ROW(A163),MATCH("+ OVR",Unified_Matrix!$1:$1,0)),"")</f>
        <v/>
      </c>
      <c r="N166" s="4">
        <f t="array" ref="N166">IFERROR(INDEX(Unified_Matrix!$A:$ZZ,ROW(A163),MATCH("Max OVR",Unified_Matrix!$1:$1,0)),"")</f>
        <v/>
      </c>
      <c r="O166" s="4">
        <f t="array" ref="O166">IFERROR(INDEX(Unified_Matrix!$A:$ZZ,ROW(A163),MATCH("Req_Position",Unified_Matrix!$1:$1,0)),"")</f>
        <v/>
      </c>
      <c r="P166" s="4">
        <f t="array" ref="P166">IFERROR(INDEX(Unified_Matrix!$A:$ZZ,ROW(A163),MATCH("Req_OVR_Max",Unified_Matrix!$1:$1,0)),"")</f>
        <v/>
      </c>
      <c r="Q166" s="4">
        <f t="array" ref="Q166">IFERROR(INDEX(Unified_Matrix!$A:$ZZ,ROW(A163),MATCH("Req_Other",Unified_Matrix!$1:$1,0)),"")</f>
        <v/>
      </c>
    </row>
    <row r="167" hidden="1">
      <c r="J167" s="4">
        <f t="array" ref="J167">IFERROR(INDEX(Unified_Matrix!$A:$ZZ,ROW(A164),MATCH("Max "&amp;$J$9,Unified_Matrix!$1:$1,0)),"")</f>
        <v/>
      </c>
      <c r="K167" s="4">
        <f t="array" ref="K167">IFERROR(INDEX(Unified_Matrix!$A:$ZZ,ROW(A164),MATCH("Evolution_Name",Unified_Matrix!$1:$1,0)),"")</f>
        <v/>
      </c>
      <c r="L167" s="4">
        <f>IF(J167="","",IF(J167=0,"",IF(J167=$AB$28,1,IF(J167=$AB$29,2,IF(J167=$AB$30,3,"")))))</f>
        <v/>
      </c>
      <c r="M167" s="4">
        <f t="array" ref="M167">IFERROR(INDEX(Unified_Matrix!$A:$ZZ,ROW(A164),MATCH("+ OVR",Unified_Matrix!$1:$1,0)),"")</f>
        <v/>
      </c>
      <c r="N167" s="4">
        <f t="array" ref="N167">IFERROR(INDEX(Unified_Matrix!$A:$ZZ,ROW(A164),MATCH("Max OVR",Unified_Matrix!$1:$1,0)),"")</f>
        <v/>
      </c>
      <c r="O167" s="4">
        <f t="array" ref="O167">IFERROR(INDEX(Unified_Matrix!$A:$ZZ,ROW(A164),MATCH("Req_Position",Unified_Matrix!$1:$1,0)),"")</f>
        <v/>
      </c>
      <c r="P167" s="4">
        <f t="array" ref="P167">IFERROR(INDEX(Unified_Matrix!$A:$ZZ,ROW(A164),MATCH("Req_OVR_Max",Unified_Matrix!$1:$1,0)),"")</f>
        <v/>
      </c>
      <c r="Q167" s="4">
        <f t="array" ref="Q167">IFERROR(INDEX(Unified_Matrix!$A:$ZZ,ROW(A164),MATCH("Req_Other",Unified_Matrix!$1:$1,0)),"")</f>
        <v/>
      </c>
    </row>
    <row r="168" hidden="1">
      <c r="J168" s="4">
        <f t="array" ref="J168">IFERROR(INDEX(Unified_Matrix!$A:$ZZ,ROW(A165),MATCH("Max "&amp;$J$9,Unified_Matrix!$1:$1,0)),"")</f>
        <v/>
      </c>
      <c r="K168" s="4">
        <f t="array" ref="K168">IFERROR(INDEX(Unified_Matrix!$A:$ZZ,ROW(A165),MATCH("Evolution_Name",Unified_Matrix!$1:$1,0)),"")</f>
        <v/>
      </c>
      <c r="L168" s="4">
        <f>IF(J168="","",IF(J168=0,"",IF(J168=$AB$28,1,IF(J168=$AB$29,2,IF(J168=$AB$30,3,"")))))</f>
        <v/>
      </c>
      <c r="M168" s="4">
        <f t="array" ref="M168">IFERROR(INDEX(Unified_Matrix!$A:$ZZ,ROW(A165),MATCH("+ OVR",Unified_Matrix!$1:$1,0)),"")</f>
        <v/>
      </c>
      <c r="N168" s="4">
        <f t="array" ref="N168">IFERROR(INDEX(Unified_Matrix!$A:$ZZ,ROW(A165),MATCH("Max OVR",Unified_Matrix!$1:$1,0)),"")</f>
        <v/>
      </c>
      <c r="O168" s="4">
        <f t="array" ref="O168">IFERROR(INDEX(Unified_Matrix!$A:$ZZ,ROW(A165),MATCH("Req_Position",Unified_Matrix!$1:$1,0)),"")</f>
        <v/>
      </c>
      <c r="P168" s="4">
        <f t="array" ref="P168">IFERROR(INDEX(Unified_Matrix!$A:$ZZ,ROW(A165),MATCH("Req_OVR_Max",Unified_Matrix!$1:$1,0)),"")</f>
        <v/>
      </c>
      <c r="Q168" s="4">
        <f t="array" ref="Q168">IFERROR(INDEX(Unified_Matrix!$A:$ZZ,ROW(A165),MATCH("Req_Other",Unified_Matrix!$1:$1,0)),"")</f>
        <v/>
      </c>
    </row>
    <row r="169" hidden="1">
      <c r="J169" s="4">
        <f t="array" ref="J169">IFERROR(INDEX(Unified_Matrix!$A:$ZZ,ROW(A166),MATCH("Max "&amp;$J$9,Unified_Matrix!$1:$1,0)),"")</f>
        <v/>
      </c>
      <c r="K169" s="4">
        <f t="array" ref="K169">IFERROR(INDEX(Unified_Matrix!$A:$ZZ,ROW(A166),MATCH("Evolution_Name",Unified_Matrix!$1:$1,0)),"")</f>
        <v/>
      </c>
      <c r="L169" s="4">
        <f>IF(J169="","",IF(J169=0,"",IF(J169=$AB$28,1,IF(J169=$AB$29,2,IF(J169=$AB$30,3,"")))))</f>
        <v/>
      </c>
      <c r="M169" s="4">
        <f t="array" ref="M169">IFERROR(INDEX(Unified_Matrix!$A:$ZZ,ROW(A166),MATCH("+ OVR",Unified_Matrix!$1:$1,0)),"")</f>
        <v/>
      </c>
      <c r="N169" s="4">
        <f t="array" ref="N169">IFERROR(INDEX(Unified_Matrix!$A:$ZZ,ROW(A166),MATCH("Max OVR",Unified_Matrix!$1:$1,0)),"")</f>
        <v/>
      </c>
      <c r="O169" s="4">
        <f t="array" ref="O169">IFERROR(INDEX(Unified_Matrix!$A:$ZZ,ROW(A166),MATCH("Req_Position",Unified_Matrix!$1:$1,0)),"")</f>
        <v/>
      </c>
      <c r="P169" s="4">
        <f t="array" ref="P169">IFERROR(INDEX(Unified_Matrix!$A:$ZZ,ROW(A166),MATCH("Req_OVR_Max",Unified_Matrix!$1:$1,0)),"")</f>
        <v/>
      </c>
      <c r="Q169" s="4">
        <f t="array" ref="Q169">IFERROR(INDEX(Unified_Matrix!$A:$ZZ,ROW(A166),MATCH("Req_Other",Unified_Matrix!$1:$1,0)),"")</f>
        <v/>
      </c>
    </row>
    <row r="170" hidden="1">
      <c r="J170" s="4">
        <f t="array" ref="J170">IFERROR(INDEX(Unified_Matrix!$A:$ZZ,ROW(A167),MATCH("Max "&amp;$J$9,Unified_Matrix!$1:$1,0)),"")</f>
        <v/>
      </c>
      <c r="K170" s="4">
        <f t="array" ref="K170">IFERROR(INDEX(Unified_Matrix!$A:$ZZ,ROW(A167),MATCH("Evolution_Name",Unified_Matrix!$1:$1,0)),"")</f>
        <v/>
      </c>
      <c r="L170" s="4">
        <f>IF(J170="","",IF(J170=0,"",IF(J170=$AB$28,1,IF(J170=$AB$29,2,IF(J170=$AB$30,3,"")))))</f>
        <v/>
      </c>
      <c r="M170" s="4">
        <f t="array" ref="M170">IFERROR(INDEX(Unified_Matrix!$A:$ZZ,ROW(A167),MATCH("+ OVR",Unified_Matrix!$1:$1,0)),"")</f>
        <v/>
      </c>
      <c r="N170" s="4">
        <f t="array" ref="N170">IFERROR(INDEX(Unified_Matrix!$A:$ZZ,ROW(A167),MATCH("Max OVR",Unified_Matrix!$1:$1,0)),"")</f>
        <v/>
      </c>
      <c r="O170" s="4">
        <f t="array" ref="O170">IFERROR(INDEX(Unified_Matrix!$A:$ZZ,ROW(A167),MATCH("Req_Position",Unified_Matrix!$1:$1,0)),"")</f>
        <v/>
      </c>
      <c r="P170" s="4">
        <f t="array" ref="P170">IFERROR(INDEX(Unified_Matrix!$A:$ZZ,ROW(A167),MATCH("Req_OVR_Max",Unified_Matrix!$1:$1,0)),"")</f>
        <v/>
      </c>
      <c r="Q170" s="4">
        <f t="array" ref="Q170">IFERROR(INDEX(Unified_Matrix!$A:$ZZ,ROW(A167),MATCH("Req_Other",Unified_Matrix!$1:$1,0)),"")</f>
        <v/>
      </c>
    </row>
    <row r="171" hidden="1">
      <c r="J171" s="4">
        <f t="array" ref="J171">IFERROR(INDEX(Unified_Matrix!$A:$ZZ,ROW(A168),MATCH("Max "&amp;$J$9,Unified_Matrix!$1:$1,0)),"")</f>
        <v/>
      </c>
      <c r="K171" s="4">
        <f t="array" ref="K171">IFERROR(INDEX(Unified_Matrix!$A:$ZZ,ROW(A168),MATCH("Evolution_Name",Unified_Matrix!$1:$1,0)),"")</f>
        <v/>
      </c>
      <c r="L171" s="4">
        <f>IF(J171="","",IF(J171=0,"",IF(J171=$AB$28,1,IF(J171=$AB$29,2,IF(J171=$AB$30,3,"")))))</f>
        <v/>
      </c>
      <c r="M171" s="4">
        <f t="array" ref="M171">IFERROR(INDEX(Unified_Matrix!$A:$ZZ,ROW(A168),MATCH("+ OVR",Unified_Matrix!$1:$1,0)),"")</f>
        <v/>
      </c>
      <c r="N171" s="4">
        <f t="array" ref="N171">IFERROR(INDEX(Unified_Matrix!$A:$ZZ,ROW(A168),MATCH("Max OVR",Unified_Matrix!$1:$1,0)),"")</f>
        <v/>
      </c>
      <c r="O171" s="4">
        <f t="array" ref="O171">IFERROR(INDEX(Unified_Matrix!$A:$ZZ,ROW(A168),MATCH("Req_Position",Unified_Matrix!$1:$1,0)),"")</f>
        <v/>
      </c>
      <c r="P171" s="4">
        <f t="array" ref="P171">IFERROR(INDEX(Unified_Matrix!$A:$ZZ,ROW(A168),MATCH("Req_OVR_Max",Unified_Matrix!$1:$1,0)),"")</f>
        <v/>
      </c>
      <c r="Q171" s="4">
        <f t="array" ref="Q171">IFERROR(INDEX(Unified_Matrix!$A:$ZZ,ROW(A168),MATCH("Req_Other",Unified_Matrix!$1:$1,0)),"")</f>
        <v/>
      </c>
    </row>
    <row r="172" hidden="1">
      <c r="J172" s="4">
        <f t="array" ref="J172">IFERROR(INDEX(Unified_Matrix!$A:$ZZ,ROW(A169),MATCH("Max "&amp;$J$9,Unified_Matrix!$1:$1,0)),"")</f>
        <v/>
      </c>
      <c r="K172" s="4">
        <f t="array" ref="K172">IFERROR(INDEX(Unified_Matrix!$A:$ZZ,ROW(A169),MATCH("Evolution_Name",Unified_Matrix!$1:$1,0)),"")</f>
        <v/>
      </c>
      <c r="L172" s="4">
        <f>IF(J172="","",IF(J172=0,"",IF(J172=$AB$28,1,IF(J172=$AB$29,2,IF(J172=$AB$30,3,"")))))</f>
        <v/>
      </c>
      <c r="M172" s="4">
        <f t="array" ref="M172">IFERROR(INDEX(Unified_Matrix!$A:$ZZ,ROW(A169),MATCH("+ OVR",Unified_Matrix!$1:$1,0)),"")</f>
        <v/>
      </c>
      <c r="N172" s="4">
        <f t="array" ref="N172">IFERROR(INDEX(Unified_Matrix!$A:$ZZ,ROW(A169),MATCH("Max OVR",Unified_Matrix!$1:$1,0)),"")</f>
        <v/>
      </c>
      <c r="O172" s="4">
        <f t="array" ref="O172">IFERROR(INDEX(Unified_Matrix!$A:$ZZ,ROW(A169),MATCH("Req_Position",Unified_Matrix!$1:$1,0)),"")</f>
        <v/>
      </c>
      <c r="P172" s="4">
        <f t="array" ref="P172">IFERROR(INDEX(Unified_Matrix!$A:$ZZ,ROW(A169),MATCH("Req_OVR_Max",Unified_Matrix!$1:$1,0)),"")</f>
        <v/>
      </c>
      <c r="Q172" s="4">
        <f t="array" ref="Q172">IFERROR(INDEX(Unified_Matrix!$A:$ZZ,ROW(A169),MATCH("Req_Other",Unified_Matrix!$1:$1,0)),"")</f>
        <v/>
      </c>
    </row>
    <row r="173" hidden="1">
      <c r="J173" s="4">
        <f t="array" ref="J173">IFERROR(INDEX(Unified_Matrix!$A:$ZZ,ROW(A170),MATCH("Max "&amp;$J$9,Unified_Matrix!$1:$1,0)),"")</f>
        <v/>
      </c>
      <c r="K173" s="4">
        <f t="array" ref="K173">IFERROR(INDEX(Unified_Matrix!$A:$ZZ,ROW(A170),MATCH("Evolution_Name",Unified_Matrix!$1:$1,0)),"")</f>
        <v/>
      </c>
      <c r="L173" s="4">
        <f>IF(J173="","",IF(J173=0,"",IF(J173=$AB$28,1,IF(J173=$AB$29,2,IF(J173=$AB$30,3,"")))))</f>
        <v/>
      </c>
      <c r="M173" s="4">
        <f t="array" ref="M173">IFERROR(INDEX(Unified_Matrix!$A:$ZZ,ROW(A170),MATCH("+ OVR",Unified_Matrix!$1:$1,0)),"")</f>
        <v/>
      </c>
      <c r="N173" s="4">
        <f t="array" ref="N173">IFERROR(INDEX(Unified_Matrix!$A:$ZZ,ROW(A170),MATCH("Max OVR",Unified_Matrix!$1:$1,0)),"")</f>
        <v/>
      </c>
      <c r="O173" s="4">
        <f t="array" ref="O173">IFERROR(INDEX(Unified_Matrix!$A:$ZZ,ROW(A170),MATCH("Req_Position",Unified_Matrix!$1:$1,0)),"")</f>
        <v/>
      </c>
      <c r="P173" s="4">
        <f t="array" ref="P173">IFERROR(INDEX(Unified_Matrix!$A:$ZZ,ROW(A170),MATCH("Req_OVR_Max",Unified_Matrix!$1:$1,0)),"")</f>
        <v/>
      </c>
      <c r="Q173" s="4">
        <f t="array" ref="Q173">IFERROR(INDEX(Unified_Matrix!$A:$ZZ,ROW(A170),MATCH("Req_Other",Unified_Matrix!$1:$1,0)),"")</f>
        <v/>
      </c>
    </row>
    <row r="174" hidden="1">
      <c r="J174" s="4">
        <f t="array" ref="J174">IFERROR(INDEX(Unified_Matrix!$A:$ZZ,ROW(A171),MATCH("Max "&amp;$J$9,Unified_Matrix!$1:$1,0)),"")</f>
        <v/>
      </c>
      <c r="K174" s="4">
        <f t="array" ref="K174">IFERROR(INDEX(Unified_Matrix!$A:$ZZ,ROW(A171),MATCH("Evolution_Name",Unified_Matrix!$1:$1,0)),"")</f>
        <v/>
      </c>
      <c r="L174" s="4">
        <f>IF(J174="","",IF(J174=0,"",IF(J174=$AB$28,1,IF(J174=$AB$29,2,IF(J174=$AB$30,3,"")))))</f>
        <v/>
      </c>
      <c r="M174" s="4">
        <f t="array" ref="M174">IFERROR(INDEX(Unified_Matrix!$A:$ZZ,ROW(A171),MATCH("+ OVR",Unified_Matrix!$1:$1,0)),"")</f>
        <v/>
      </c>
      <c r="N174" s="4">
        <f t="array" ref="N174">IFERROR(INDEX(Unified_Matrix!$A:$ZZ,ROW(A171),MATCH("Max OVR",Unified_Matrix!$1:$1,0)),"")</f>
        <v/>
      </c>
      <c r="O174" s="4">
        <f t="array" ref="O174">IFERROR(INDEX(Unified_Matrix!$A:$ZZ,ROW(A171),MATCH("Req_Position",Unified_Matrix!$1:$1,0)),"")</f>
        <v/>
      </c>
      <c r="P174" s="4">
        <f t="array" ref="P174">IFERROR(INDEX(Unified_Matrix!$A:$ZZ,ROW(A171),MATCH("Req_OVR_Max",Unified_Matrix!$1:$1,0)),"")</f>
        <v/>
      </c>
      <c r="Q174" s="4">
        <f t="array" ref="Q174">IFERROR(INDEX(Unified_Matrix!$A:$ZZ,ROW(A171),MATCH("Req_Other",Unified_Matrix!$1:$1,0)),"")</f>
        <v/>
      </c>
    </row>
    <row r="175" hidden="1">
      <c r="J175" s="4">
        <f t="array" ref="J175">IFERROR(INDEX(Unified_Matrix!$A:$ZZ,ROW(A172),MATCH("Max "&amp;$J$9,Unified_Matrix!$1:$1,0)),"")</f>
        <v/>
      </c>
      <c r="K175" s="4">
        <f t="array" ref="K175">IFERROR(INDEX(Unified_Matrix!$A:$ZZ,ROW(A172),MATCH("Evolution_Name",Unified_Matrix!$1:$1,0)),"")</f>
        <v/>
      </c>
      <c r="L175" s="4">
        <f>IF(J175="","",IF(J175=0,"",IF(J175=$AB$28,1,IF(J175=$AB$29,2,IF(J175=$AB$30,3,"")))))</f>
        <v/>
      </c>
      <c r="M175" s="4">
        <f t="array" ref="M175">IFERROR(INDEX(Unified_Matrix!$A:$ZZ,ROW(A172),MATCH("+ OVR",Unified_Matrix!$1:$1,0)),"")</f>
        <v/>
      </c>
      <c r="N175" s="4">
        <f t="array" ref="N175">IFERROR(INDEX(Unified_Matrix!$A:$ZZ,ROW(A172),MATCH("Max OVR",Unified_Matrix!$1:$1,0)),"")</f>
        <v/>
      </c>
      <c r="O175" s="4">
        <f t="array" ref="O175">IFERROR(INDEX(Unified_Matrix!$A:$ZZ,ROW(A172),MATCH("Req_Position",Unified_Matrix!$1:$1,0)),"")</f>
        <v/>
      </c>
      <c r="P175" s="4">
        <f t="array" ref="P175">IFERROR(INDEX(Unified_Matrix!$A:$ZZ,ROW(A172),MATCH("Req_OVR_Max",Unified_Matrix!$1:$1,0)),"")</f>
        <v/>
      </c>
      <c r="Q175" s="4">
        <f t="array" ref="Q175">IFERROR(INDEX(Unified_Matrix!$A:$ZZ,ROW(A172),MATCH("Req_Other",Unified_Matrix!$1:$1,0)),"")</f>
        <v/>
      </c>
    </row>
    <row r="176" hidden="1">
      <c r="J176" s="4">
        <f t="array" ref="J176">IFERROR(INDEX(Unified_Matrix!$A:$ZZ,ROW(A173),MATCH("Max "&amp;$J$9,Unified_Matrix!$1:$1,0)),"")</f>
        <v/>
      </c>
      <c r="K176" s="4">
        <f t="array" ref="K176">IFERROR(INDEX(Unified_Matrix!$A:$ZZ,ROW(A173),MATCH("Evolution_Name",Unified_Matrix!$1:$1,0)),"")</f>
        <v/>
      </c>
      <c r="L176" s="4">
        <f>IF(J176="","",IF(J176=0,"",IF(J176=$AB$28,1,IF(J176=$AB$29,2,IF(J176=$AB$30,3,"")))))</f>
        <v/>
      </c>
      <c r="M176" s="4">
        <f t="array" ref="M176">IFERROR(INDEX(Unified_Matrix!$A:$ZZ,ROW(A173),MATCH("+ OVR",Unified_Matrix!$1:$1,0)),"")</f>
        <v/>
      </c>
      <c r="N176" s="4">
        <f t="array" ref="N176">IFERROR(INDEX(Unified_Matrix!$A:$ZZ,ROW(A173),MATCH("Max OVR",Unified_Matrix!$1:$1,0)),"")</f>
        <v/>
      </c>
      <c r="O176" s="4">
        <f t="array" ref="O176">IFERROR(INDEX(Unified_Matrix!$A:$ZZ,ROW(A173),MATCH("Req_Position",Unified_Matrix!$1:$1,0)),"")</f>
        <v/>
      </c>
      <c r="P176" s="4">
        <f t="array" ref="P176">IFERROR(INDEX(Unified_Matrix!$A:$ZZ,ROW(A173),MATCH("Req_OVR_Max",Unified_Matrix!$1:$1,0)),"")</f>
        <v/>
      </c>
      <c r="Q176" s="4">
        <f t="array" ref="Q176">IFERROR(INDEX(Unified_Matrix!$A:$ZZ,ROW(A173),MATCH("Req_Other",Unified_Matrix!$1:$1,0)),"")</f>
        <v/>
      </c>
    </row>
    <row r="177" hidden="1">
      <c r="J177" s="4">
        <f t="array" ref="J177">IFERROR(INDEX(Unified_Matrix!$A:$ZZ,ROW(A174),MATCH("Max "&amp;$J$9,Unified_Matrix!$1:$1,0)),"")</f>
        <v/>
      </c>
      <c r="K177" s="4">
        <f t="array" ref="K177">IFERROR(INDEX(Unified_Matrix!$A:$ZZ,ROW(A174),MATCH("Evolution_Name",Unified_Matrix!$1:$1,0)),"")</f>
        <v/>
      </c>
      <c r="L177" s="4">
        <f>IF(J177="","",IF(J177=0,"",IF(J177=$AB$28,1,IF(J177=$AB$29,2,IF(J177=$AB$30,3,"")))))</f>
        <v/>
      </c>
      <c r="M177" s="4">
        <f t="array" ref="M177">IFERROR(INDEX(Unified_Matrix!$A:$ZZ,ROW(A174),MATCH("+ OVR",Unified_Matrix!$1:$1,0)),"")</f>
        <v/>
      </c>
      <c r="N177" s="4">
        <f t="array" ref="N177">IFERROR(INDEX(Unified_Matrix!$A:$ZZ,ROW(A174),MATCH("Max OVR",Unified_Matrix!$1:$1,0)),"")</f>
        <v/>
      </c>
      <c r="O177" s="4">
        <f t="array" ref="O177">IFERROR(INDEX(Unified_Matrix!$A:$ZZ,ROW(A174),MATCH("Req_Position",Unified_Matrix!$1:$1,0)),"")</f>
        <v/>
      </c>
      <c r="P177" s="4">
        <f t="array" ref="P177">IFERROR(INDEX(Unified_Matrix!$A:$ZZ,ROW(A174),MATCH("Req_OVR_Max",Unified_Matrix!$1:$1,0)),"")</f>
        <v/>
      </c>
      <c r="Q177" s="4">
        <f t="array" ref="Q177">IFERROR(INDEX(Unified_Matrix!$A:$ZZ,ROW(A174),MATCH("Req_Other",Unified_Matrix!$1:$1,0)),"")</f>
        <v/>
      </c>
    </row>
    <row r="178" hidden="1">
      <c r="J178" s="4">
        <f t="array" ref="J178">IFERROR(INDEX(Unified_Matrix!$A:$ZZ,ROW(A175),MATCH("Max "&amp;$J$9,Unified_Matrix!$1:$1,0)),"")</f>
        <v/>
      </c>
      <c r="K178" s="4">
        <f t="array" ref="K178">IFERROR(INDEX(Unified_Matrix!$A:$ZZ,ROW(A175),MATCH("Evolution_Name",Unified_Matrix!$1:$1,0)),"")</f>
        <v/>
      </c>
      <c r="L178" s="4">
        <f>IF(J178="","",IF(J178=0,"",IF(J178=$AB$28,1,IF(J178=$AB$29,2,IF(J178=$AB$30,3,"")))))</f>
        <v/>
      </c>
      <c r="M178" s="4">
        <f t="array" ref="M178">IFERROR(INDEX(Unified_Matrix!$A:$ZZ,ROW(A175),MATCH("+ OVR",Unified_Matrix!$1:$1,0)),"")</f>
        <v/>
      </c>
      <c r="N178" s="4">
        <f t="array" ref="N178">IFERROR(INDEX(Unified_Matrix!$A:$ZZ,ROW(A175),MATCH("Max OVR",Unified_Matrix!$1:$1,0)),"")</f>
        <v/>
      </c>
      <c r="O178" s="4">
        <f t="array" ref="O178">IFERROR(INDEX(Unified_Matrix!$A:$ZZ,ROW(A175),MATCH("Req_Position",Unified_Matrix!$1:$1,0)),"")</f>
        <v/>
      </c>
      <c r="P178" s="4">
        <f t="array" ref="P178">IFERROR(INDEX(Unified_Matrix!$A:$ZZ,ROW(A175),MATCH("Req_OVR_Max",Unified_Matrix!$1:$1,0)),"")</f>
        <v/>
      </c>
      <c r="Q178" s="4">
        <f t="array" ref="Q178">IFERROR(INDEX(Unified_Matrix!$A:$ZZ,ROW(A175),MATCH("Req_Other",Unified_Matrix!$1:$1,0)),"")</f>
        <v/>
      </c>
    </row>
    <row r="179" hidden="1">
      <c r="J179" s="4">
        <f t="array" ref="J179">IFERROR(INDEX(Unified_Matrix!$A:$ZZ,ROW(A176),MATCH("Max "&amp;$J$9,Unified_Matrix!$1:$1,0)),"")</f>
        <v/>
      </c>
      <c r="K179" s="4">
        <f t="array" ref="K179">IFERROR(INDEX(Unified_Matrix!$A:$ZZ,ROW(A176),MATCH("Evolution_Name",Unified_Matrix!$1:$1,0)),"")</f>
        <v/>
      </c>
      <c r="L179" s="4">
        <f>IF(J179="","",IF(J179=0,"",IF(J179=$AB$28,1,IF(J179=$AB$29,2,IF(J179=$AB$30,3,"")))))</f>
        <v/>
      </c>
      <c r="M179" s="4">
        <f t="array" ref="M179">IFERROR(INDEX(Unified_Matrix!$A:$ZZ,ROW(A176),MATCH("+ OVR",Unified_Matrix!$1:$1,0)),"")</f>
        <v/>
      </c>
      <c r="N179" s="4">
        <f t="array" ref="N179">IFERROR(INDEX(Unified_Matrix!$A:$ZZ,ROW(A176),MATCH("Max OVR",Unified_Matrix!$1:$1,0)),"")</f>
        <v/>
      </c>
      <c r="O179" s="4">
        <f t="array" ref="O179">IFERROR(INDEX(Unified_Matrix!$A:$ZZ,ROW(A176),MATCH("Req_Position",Unified_Matrix!$1:$1,0)),"")</f>
        <v/>
      </c>
      <c r="P179" s="4">
        <f t="array" ref="P179">IFERROR(INDEX(Unified_Matrix!$A:$ZZ,ROW(A176),MATCH("Req_OVR_Max",Unified_Matrix!$1:$1,0)),"")</f>
        <v/>
      </c>
      <c r="Q179" s="4">
        <f t="array" ref="Q179">IFERROR(INDEX(Unified_Matrix!$A:$ZZ,ROW(A176),MATCH("Req_Other",Unified_Matrix!$1:$1,0)),"")</f>
        <v/>
      </c>
    </row>
    <row r="180" hidden="1">
      <c r="J180" s="4">
        <f t="array" ref="J180">IFERROR(INDEX(Unified_Matrix!$A:$ZZ,ROW(A177),MATCH("Max "&amp;$J$9,Unified_Matrix!$1:$1,0)),"")</f>
        <v/>
      </c>
      <c r="K180" s="4">
        <f t="array" ref="K180">IFERROR(INDEX(Unified_Matrix!$A:$ZZ,ROW(A177),MATCH("Evolution_Name",Unified_Matrix!$1:$1,0)),"")</f>
        <v/>
      </c>
      <c r="L180" s="4">
        <f>IF(J180="","",IF(J180=0,"",IF(J180=$AB$28,1,IF(J180=$AB$29,2,IF(J180=$AB$30,3,"")))))</f>
        <v/>
      </c>
      <c r="M180" s="4">
        <f t="array" ref="M180">IFERROR(INDEX(Unified_Matrix!$A:$ZZ,ROW(A177),MATCH("+ OVR",Unified_Matrix!$1:$1,0)),"")</f>
        <v/>
      </c>
      <c r="N180" s="4">
        <f t="array" ref="N180">IFERROR(INDEX(Unified_Matrix!$A:$ZZ,ROW(A177),MATCH("Max OVR",Unified_Matrix!$1:$1,0)),"")</f>
        <v/>
      </c>
      <c r="O180" s="4">
        <f t="array" ref="O180">IFERROR(INDEX(Unified_Matrix!$A:$ZZ,ROW(A177),MATCH("Req_Position",Unified_Matrix!$1:$1,0)),"")</f>
        <v/>
      </c>
      <c r="P180" s="4">
        <f t="array" ref="P180">IFERROR(INDEX(Unified_Matrix!$A:$ZZ,ROW(A177),MATCH("Req_OVR_Max",Unified_Matrix!$1:$1,0)),"")</f>
        <v/>
      </c>
      <c r="Q180" s="4">
        <f t="array" ref="Q180">IFERROR(INDEX(Unified_Matrix!$A:$ZZ,ROW(A177),MATCH("Req_Other",Unified_Matrix!$1:$1,0)),"")</f>
        <v/>
      </c>
    </row>
    <row r="181" hidden="1">
      <c r="J181" s="4">
        <f t="array" ref="J181">IFERROR(INDEX(Unified_Matrix!$A:$ZZ,ROW(A178),MATCH("Max "&amp;$J$9,Unified_Matrix!$1:$1,0)),"")</f>
        <v/>
      </c>
      <c r="K181" s="4">
        <f t="array" ref="K181">IFERROR(INDEX(Unified_Matrix!$A:$ZZ,ROW(A178),MATCH("Evolution_Name",Unified_Matrix!$1:$1,0)),"")</f>
        <v/>
      </c>
      <c r="L181" s="4">
        <f>IF(J181="","",IF(J181=0,"",IF(J181=$AB$28,1,IF(J181=$AB$29,2,IF(J181=$AB$30,3,"")))))</f>
        <v/>
      </c>
      <c r="M181" s="4">
        <f t="array" ref="M181">IFERROR(INDEX(Unified_Matrix!$A:$ZZ,ROW(A178),MATCH("+ OVR",Unified_Matrix!$1:$1,0)),"")</f>
        <v/>
      </c>
      <c r="N181" s="4">
        <f t="array" ref="N181">IFERROR(INDEX(Unified_Matrix!$A:$ZZ,ROW(A178),MATCH("Max OVR",Unified_Matrix!$1:$1,0)),"")</f>
        <v/>
      </c>
      <c r="O181" s="4">
        <f t="array" ref="O181">IFERROR(INDEX(Unified_Matrix!$A:$ZZ,ROW(A178),MATCH("Req_Position",Unified_Matrix!$1:$1,0)),"")</f>
        <v/>
      </c>
      <c r="P181" s="4">
        <f t="array" ref="P181">IFERROR(INDEX(Unified_Matrix!$A:$ZZ,ROW(A178),MATCH("Req_OVR_Max",Unified_Matrix!$1:$1,0)),"")</f>
        <v/>
      </c>
      <c r="Q181" s="4">
        <f t="array" ref="Q181">IFERROR(INDEX(Unified_Matrix!$A:$ZZ,ROW(A178),MATCH("Req_Other",Unified_Matrix!$1:$1,0)),"")</f>
        <v/>
      </c>
    </row>
    <row r="182" hidden="1">
      <c r="J182" s="4">
        <f t="array" ref="J182">IFERROR(INDEX(Unified_Matrix!$A:$ZZ,ROW(A179),MATCH("Max "&amp;$J$9,Unified_Matrix!$1:$1,0)),"")</f>
        <v/>
      </c>
      <c r="K182" s="4">
        <f t="array" ref="K182">IFERROR(INDEX(Unified_Matrix!$A:$ZZ,ROW(A179),MATCH("Evolution_Name",Unified_Matrix!$1:$1,0)),"")</f>
        <v/>
      </c>
      <c r="L182" s="4">
        <f>IF(J182="","",IF(J182=0,"",IF(J182=$AB$28,1,IF(J182=$AB$29,2,IF(J182=$AB$30,3,"")))))</f>
        <v/>
      </c>
      <c r="M182" s="4">
        <f t="array" ref="M182">IFERROR(INDEX(Unified_Matrix!$A:$ZZ,ROW(A179),MATCH("+ OVR",Unified_Matrix!$1:$1,0)),"")</f>
        <v/>
      </c>
      <c r="N182" s="4">
        <f t="array" ref="N182">IFERROR(INDEX(Unified_Matrix!$A:$ZZ,ROW(A179),MATCH("Max OVR",Unified_Matrix!$1:$1,0)),"")</f>
        <v/>
      </c>
      <c r="O182" s="4">
        <f t="array" ref="O182">IFERROR(INDEX(Unified_Matrix!$A:$ZZ,ROW(A179),MATCH("Req_Position",Unified_Matrix!$1:$1,0)),"")</f>
        <v/>
      </c>
      <c r="P182" s="4">
        <f t="array" ref="P182">IFERROR(INDEX(Unified_Matrix!$A:$ZZ,ROW(A179),MATCH("Req_OVR_Max",Unified_Matrix!$1:$1,0)),"")</f>
        <v/>
      </c>
      <c r="Q182" s="4">
        <f t="array" ref="Q182">IFERROR(INDEX(Unified_Matrix!$A:$ZZ,ROW(A179),MATCH("Req_Other",Unified_Matrix!$1:$1,0)),"")</f>
        <v/>
      </c>
    </row>
    <row r="183" hidden="1">
      <c r="J183" s="4">
        <f t="array" ref="J183">IFERROR(INDEX(Unified_Matrix!$A:$ZZ,ROW(A180),MATCH("Max "&amp;$J$9,Unified_Matrix!$1:$1,0)),"")</f>
        <v/>
      </c>
      <c r="K183" s="4">
        <f t="array" ref="K183">IFERROR(INDEX(Unified_Matrix!$A:$ZZ,ROW(A180),MATCH("Evolution_Name",Unified_Matrix!$1:$1,0)),"")</f>
        <v/>
      </c>
      <c r="L183" s="4">
        <f>IF(J183="","",IF(J183=0,"",IF(J183=$AB$28,1,IF(J183=$AB$29,2,IF(J183=$AB$30,3,"")))))</f>
        <v/>
      </c>
      <c r="M183" s="4">
        <f t="array" ref="M183">IFERROR(INDEX(Unified_Matrix!$A:$ZZ,ROW(A180),MATCH("+ OVR",Unified_Matrix!$1:$1,0)),"")</f>
        <v/>
      </c>
      <c r="N183" s="4">
        <f t="array" ref="N183">IFERROR(INDEX(Unified_Matrix!$A:$ZZ,ROW(A180),MATCH("Max OVR",Unified_Matrix!$1:$1,0)),"")</f>
        <v/>
      </c>
      <c r="O183" s="4">
        <f t="array" ref="O183">IFERROR(INDEX(Unified_Matrix!$A:$ZZ,ROW(A180),MATCH("Req_Position",Unified_Matrix!$1:$1,0)),"")</f>
        <v/>
      </c>
      <c r="P183" s="4">
        <f t="array" ref="P183">IFERROR(INDEX(Unified_Matrix!$A:$ZZ,ROW(A180),MATCH("Req_OVR_Max",Unified_Matrix!$1:$1,0)),"")</f>
        <v/>
      </c>
      <c r="Q183" s="4">
        <f t="array" ref="Q183">IFERROR(INDEX(Unified_Matrix!$A:$ZZ,ROW(A180),MATCH("Req_Other",Unified_Matrix!$1:$1,0)),"")</f>
        <v/>
      </c>
    </row>
    <row r="184" hidden="1">
      <c r="J184" s="4">
        <f t="array" ref="J184">IFERROR(INDEX(Unified_Matrix!$A:$ZZ,ROW(A181),MATCH("Max "&amp;$J$9,Unified_Matrix!$1:$1,0)),"")</f>
        <v/>
      </c>
      <c r="K184" s="4">
        <f t="array" ref="K184">IFERROR(INDEX(Unified_Matrix!$A:$ZZ,ROW(A181),MATCH("Evolution_Name",Unified_Matrix!$1:$1,0)),"")</f>
        <v/>
      </c>
      <c r="L184" s="4">
        <f>IF(J184="","",IF(J184=0,"",IF(J184=$AB$28,1,IF(J184=$AB$29,2,IF(J184=$AB$30,3,"")))))</f>
        <v/>
      </c>
      <c r="M184" s="4">
        <f t="array" ref="M184">IFERROR(INDEX(Unified_Matrix!$A:$ZZ,ROW(A181),MATCH("+ OVR",Unified_Matrix!$1:$1,0)),"")</f>
        <v/>
      </c>
      <c r="N184" s="4">
        <f t="array" ref="N184">IFERROR(INDEX(Unified_Matrix!$A:$ZZ,ROW(A181),MATCH("Max OVR",Unified_Matrix!$1:$1,0)),"")</f>
        <v/>
      </c>
      <c r="O184" s="4">
        <f t="array" ref="O184">IFERROR(INDEX(Unified_Matrix!$A:$ZZ,ROW(A181),MATCH("Req_Position",Unified_Matrix!$1:$1,0)),"")</f>
        <v/>
      </c>
      <c r="P184" s="4">
        <f t="array" ref="P184">IFERROR(INDEX(Unified_Matrix!$A:$ZZ,ROW(A181),MATCH("Req_OVR_Max",Unified_Matrix!$1:$1,0)),"")</f>
        <v/>
      </c>
      <c r="Q184" s="4">
        <f t="array" ref="Q184">IFERROR(INDEX(Unified_Matrix!$A:$ZZ,ROW(A181),MATCH("Req_Other",Unified_Matrix!$1:$1,0)),"")</f>
        <v/>
      </c>
    </row>
    <row r="185" hidden="1">
      <c r="J185" s="4">
        <f t="array" ref="J185">IFERROR(INDEX(Unified_Matrix!$A:$ZZ,ROW(A182),MATCH("Max "&amp;$J$9,Unified_Matrix!$1:$1,0)),"")</f>
        <v/>
      </c>
      <c r="K185" s="4">
        <f t="array" ref="K185">IFERROR(INDEX(Unified_Matrix!$A:$ZZ,ROW(A182),MATCH("Evolution_Name",Unified_Matrix!$1:$1,0)),"")</f>
        <v/>
      </c>
      <c r="L185" s="4">
        <f>IF(J185="","",IF(J185=0,"",IF(J185=$AB$28,1,IF(J185=$AB$29,2,IF(J185=$AB$30,3,"")))))</f>
        <v/>
      </c>
      <c r="M185" s="4">
        <f t="array" ref="M185">IFERROR(INDEX(Unified_Matrix!$A:$ZZ,ROW(A182),MATCH("+ OVR",Unified_Matrix!$1:$1,0)),"")</f>
        <v/>
      </c>
      <c r="N185" s="4">
        <f t="array" ref="N185">IFERROR(INDEX(Unified_Matrix!$A:$ZZ,ROW(A182),MATCH("Max OVR",Unified_Matrix!$1:$1,0)),"")</f>
        <v/>
      </c>
      <c r="O185" s="4">
        <f t="array" ref="O185">IFERROR(INDEX(Unified_Matrix!$A:$ZZ,ROW(A182),MATCH("Req_Position",Unified_Matrix!$1:$1,0)),"")</f>
        <v/>
      </c>
      <c r="P185" s="4">
        <f t="array" ref="P185">IFERROR(INDEX(Unified_Matrix!$A:$ZZ,ROW(A182),MATCH("Req_OVR_Max",Unified_Matrix!$1:$1,0)),"")</f>
        <v/>
      </c>
      <c r="Q185" s="4">
        <f t="array" ref="Q185">IFERROR(INDEX(Unified_Matrix!$A:$ZZ,ROW(A182),MATCH("Req_Other",Unified_Matrix!$1:$1,0)),"")</f>
        <v/>
      </c>
    </row>
    <row r="186" hidden="1">
      <c r="J186" s="4">
        <f t="array" ref="J186">IFERROR(INDEX(Unified_Matrix!$A:$ZZ,ROW(A183),MATCH("Max "&amp;$J$9,Unified_Matrix!$1:$1,0)),"")</f>
        <v/>
      </c>
      <c r="K186" s="4">
        <f t="array" ref="K186">IFERROR(INDEX(Unified_Matrix!$A:$ZZ,ROW(A183),MATCH("Evolution_Name",Unified_Matrix!$1:$1,0)),"")</f>
        <v/>
      </c>
      <c r="L186" s="4">
        <f>IF(J186="","",IF(J186=0,"",IF(J186=$AB$28,1,IF(J186=$AB$29,2,IF(J186=$AB$30,3,"")))))</f>
        <v/>
      </c>
      <c r="M186" s="4">
        <f t="array" ref="M186">IFERROR(INDEX(Unified_Matrix!$A:$ZZ,ROW(A183),MATCH("+ OVR",Unified_Matrix!$1:$1,0)),"")</f>
        <v/>
      </c>
      <c r="N186" s="4">
        <f t="array" ref="N186">IFERROR(INDEX(Unified_Matrix!$A:$ZZ,ROW(A183),MATCH("Max OVR",Unified_Matrix!$1:$1,0)),"")</f>
        <v/>
      </c>
      <c r="O186" s="4">
        <f t="array" ref="O186">IFERROR(INDEX(Unified_Matrix!$A:$ZZ,ROW(A183),MATCH("Req_Position",Unified_Matrix!$1:$1,0)),"")</f>
        <v/>
      </c>
      <c r="P186" s="4">
        <f t="array" ref="P186">IFERROR(INDEX(Unified_Matrix!$A:$ZZ,ROW(A183),MATCH("Req_OVR_Max",Unified_Matrix!$1:$1,0)),"")</f>
        <v/>
      </c>
      <c r="Q186" s="4">
        <f t="array" ref="Q186">IFERROR(INDEX(Unified_Matrix!$A:$ZZ,ROW(A183),MATCH("Req_Other",Unified_Matrix!$1:$1,0)),"")</f>
        <v/>
      </c>
    </row>
    <row r="187" hidden="1">
      <c r="J187" s="4">
        <f t="array" ref="J187">IFERROR(INDEX(Unified_Matrix!$A:$ZZ,ROW(A184),MATCH("Max "&amp;$J$9,Unified_Matrix!$1:$1,0)),"")</f>
        <v/>
      </c>
      <c r="K187" s="4">
        <f t="array" ref="K187">IFERROR(INDEX(Unified_Matrix!$A:$ZZ,ROW(A184),MATCH("Evolution_Name",Unified_Matrix!$1:$1,0)),"")</f>
        <v/>
      </c>
      <c r="L187" s="4">
        <f>IF(J187="","",IF(J187=0,"",IF(J187=$AB$28,1,IF(J187=$AB$29,2,IF(J187=$AB$30,3,"")))))</f>
        <v/>
      </c>
      <c r="M187" s="4">
        <f t="array" ref="M187">IFERROR(INDEX(Unified_Matrix!$A:$ZZ,ROW(A184),MATCH("+ OVR",Unified_Matrix!$1:$1,0)),"")</f>
        <v/>
      </c>
      <c r="N187" s="4">
        <f t="array" ref="N187">IFERROR(INDEX(Unified_Matrix!$A:$ZZ,ROW(A184),MATCH("Max OVR",Unified_Matrix!$1:$1,0)),"")</f>
        <v/>
      </c>
      <c r="O187" s="4">
        <f t="array" ref="O187">IFERROR(INDEX(Unified_Matrix!$A:$ZZ,ROW(A184),MATCH("Req_Position",Unified_Matrix!$1:$1,0)),"")</f>
        <v/>
      </c>
      <c r="P187" s="4">
        <f t="array" ref="P187">IFERROR(INDEX(Unified_Matrix!$A:$ZZ,ROW(A184),MATCH("Req_OVR_Max",Unified_Matrix!$1:$1,0)),"")</f>
        <v/>
      </c>
      <c r="Q187" s="4">
        <f t="array" ref="Q187">IFERROR(INDEX(Unified_Matrix!$A:$ZZ,ROW(A184),MATCH("Req_Other",Unified_Matrix!$1:$1,0)),"")</f>
        <v/>
      </c>
    </row>
    <row r="188" hidden="1">
      <c r="J188" s="4">
        <f t="array" ref="J188">IFERROR(INDEX(Unified_Matrix!$A:$ZZ,ROW(A185),MATCH("Max "&amp;$J$9,Unified_Matrix!$1:$1,0)),"")</f>
        <v/>
      </c>
      <c r="K188" s="4">
        <f t="array" ref="K188">IFERROR(INDEX(Unified_Matrix!$A:$ZZ,ROW(A185),MATCH("Evolution_Name",Unified_Matrix!$1:$1,0)),"")</f>
        <v/>
      </c>
      <c r="L188" s="4">
        <f>IF(J188="","",IF(J188=0,"",IF(J188=$AB$28,1,IF(J188=$AB$29,2,IF(J188=$AB$30,3,"")))))</f>
        <v/>
      </c>
      <c r="M188" s="4">
        <f t="array" ref="M188">IFERROR(INDEX(Unified_Matrix!$A:$ZZ,ROW(A185),MATCH("+ OVR",Unified_Matrix!$1:$1,0)),"")</f>
        <v/>
      </c>
      <c r="N188" s="4">
        <f t="array" ref="N188">IFERROR(INDEX(Unified_Matrix!$A:$ZZ,ROW(A185),MATCH("Max OVR",Unified_Matrix!$1:$1,0)),"")</f>
        <v/>
      </c>
      <c r="O188" s="4">
        <f t="array" ref="O188">IFERROR(INDEX(Unified_Matrix!$A:$ZZ,ROW(A185),MATCH("Req_Position",Unified_Matrix!$1:$1,0)),"")</f>
        <v/>
      </c>
      <c r="P188" s="4">
        <f t="array" ref="P188">IFERROR(INDEX(Unified_Matrix!$A:$ZZ,ROW(A185),MATCH("Req_OVR_Max",Unified_Matrix!$1:$1,0)),"")</f>
        <v/>
      </c>
      <c r="Q188" s="4">
        <f t="array" ref="Q188">IFERROR(INDEX(Unified_Matrix!$A:$ZZ,ROW(A185),MATCH("Req_Other",Unified_Matrix!$1:$1,0)),"")</f>
        <v/>
      </c>
    </row>
    <row r="189" hidden="1">
      <c r="J189" s="4">
        <f t="array" ref="J189">IFERROR(INDEX(Unified_Matrix!$A:$ZZ,ROW(A186),MATCH("Max "&amp;$J$9,Unified_Matrix!$1:$1,0)),"")</f>
        <v/>
      </c>
      <c r="K189" s="4">
        <f t="array" ref="K189">IFERROR(INDEX(Unified_Matrix!$A:$ZZ,ROW(A186),MATCH("Evolution_Name",Unified_Matrix!$1:$1,0)),"")</f>
        <v/>
      </c>
      <c r="L189" s="4">
        <f>IF(J189="","",IF(J189=0,"",IF(J189=$AB$28,1,IF(J189=$AB$29,2,IF(J189=$AB$30,3,"")))))</f>
        <v/>
      </c>
      <c r="M189" s="4">
        <f t="array" ref="M189">IFERROR(INDEX(Unified_Matrix!$A:$ZZ,ROW(A186),MATCH("+ OVR",Unified_Matrix!$1:$1,0)),"")</f>
        <v/>
      </c>
      <c r="N189" s="4">
        <f t="array" ref="N189">IFERROR(INDEX(Unified_Matrix!$A:$ZZ,ROW(A186),MATCH("Max OVR",Unified_Matrix!$1:$1,0)),"")</f>
        <v/>
      </c>
      <c r="O189" s="4">
        <f t="array" ref="O189">IFERROR(INDEX(Unified_Matrix!$A:$ZZ,ROW(A186),MATCH("Req_Position",Unified_Matrix!$1:$1,0)),"")</f>
        <v/>
      </c>
      <c r="P189" s="4">
        <f t="array" ref="P189">IFERROR(INDEX(Unified_Matrix!$A:$ZZ,ROW(A186),MATCH("Req_OVR_Max",Unified_Matrix!$1:$1,0)),"")</f>
        <v/>
      </c>
      <c r="Q189" s="4">
        <f t="array" ref="Q189">IFERROR(INDEX(Unified_Matrix!$A:$ZZ,ROW(A186),MATCH("Req_Other",Unified_Matrix!$1:$1,0)),"")</f>
        <v/>
      </c>
    </row>
    <row r="190" hidden="1">
      <c r="J190" s="4">
        <f t="array" ref="J190">IFERROR(INDEX(Unified_Matrix!$A:$ZZ,ROW(A187),MATCH("Max "&amp;$J$9,Unified_Matrix!$1:$1,0)),"")</f>
        <v/>
      </c>
      <c r="K190" s="4">
        <f t="array" ref="K190">IFERROR(INDEX(Unified_Matrix!$A:$ZZ,ROW(A187),MATCH("Evolution_Name",Unified_Matrix!$1:$1,0)),"")</f>
        <v/>
      </c>
      <c r="L190" s="4">
        <f>IF(J190="","",IF(J190=0,"",IF(J190=$AB$28,1,IF(J190=$AB$29,2,IF(J190=$AB$30,3,"")))))</f>
        <v/>
      </c>
      <c r="M190" s="4">
        <f t="array" ref="M190">IFERROR(INDEX(Unified_Matrix!$A:$ZZ,ROW(A187),MATCH("+ OVR",Unified_Matrix!$1:$1,0)),"")</f>
        <v/>
      </c>
      <c r="N190" s="4">
        <f t="array" ref="N190">IFERROR(INDEX(Unified_Matrix!$A:$ZZ,ROW(A187),MATCH("Max OVR",Unified_Matrix!$1:$1,0)),"")</f>
        <v/>
      </c>
      <c r="O190" s="4">
        <f t="array" ref="O190">IFERROR(INDEX(Unified_Matrix!$A:$ZZ,ROW(A187),MATCH("Req_Position",Unified_Matrix!$1:$1,0)),"")</f>
        <v/>
      </c>
      <c r="P190" s="4">
        <f t="array" ref="P190">IFERROR(INDEX(Unified_Matrix!$A:$ZZ,ROW(A187),MATCH("Req_OVR_Max",Unified_Matrix!$1:$1,0)),"")</f>
        <v/>
      </c>
      <c r="Q190" s="4">
        <f t="array" ref="Q190">IFERROR(INDEX(Unified_Matrix!$A:$ZZ,ROW(A187),MATCH("Req_Other",Unified_Matrix!$1:$1,0)),"")</f>
        <v/>
      </c>
    </row>
    <row r="191" hidden="1">
      <c r="J191" s="4">
        <f t="array" ref="J191">IFERROR(INDEX(Unified_Matrix!$A:$ZZ,ROW(A188),MATCH("Max "&amp;$J$9,Unified_Matrix!$1:$1,0)),"")</f>
        <v/>
      </c>
      <c r="K191" s="4">
        <f t="array" ref="K191">IFERROR(INDEX(Unified_Matrix!$A:$ZZ,ROW(A188),MATCH("Evolution_Name",Unified_Matrix!$1:$1,0)),"")</f>
        <v/>
      </c>
      <c r="L191" s="4">
        <f>IF(J191="","",IF(J191=0,"",IF(J191=$AB$28,1,IF(J191=$AB$29,2,IF(J191=$AB$30,3,"")))))</f>
        <v/>
      </c>
      <c r="M191" s="4">
        <f t="array" ref="M191">IFERROR(INDEX(Unified_Matrix!$A:$ZZ,ROW(A188),MATCH("+ OVR",Unified_Matrix!$1:$1,0)),"")</f>
        <v/>
      </c>
      <c r="N191" s="4">
        <f t="array" ref="N191">IFERROR(INDEX(Unified_Matrix!$A:$ZZ,ROW(A188),MATCH("Max OVR",Unified_Matrix!$1:$1,0)),"")</f>
        <v/>
      </c>
      <c r="O191" s="4">
        <f t="array" ref="O191">IFERROR(INDEX(Unified_Matrix!$A:$ZZ,ROW(A188),MATCH("Req_Position",Unified_Matrix!$1:$1,0)),"")</f>
        <v/>
      </c>
      <c r="P191" s="4">
        <f t="array" ref="P191">IFERROR(INDEX(Unified_Matrix!$A:$ZZ,ROW(A188),MATCH("Req_OVR_Max",Unified_Matrix!$1:$1,0)),"")</f>
        <v/>
      </c>
      <c r="Q191" s="4">
        <f t="array" ref="Q191">IFERROR(INDEX(Unified_Matrix!$A:$ZZ,ROW(A188),MATCH("Req_Other",Unified_Matrix!$1:$1,0)),"")</f>
        <v/>
      </c>
    </row>
    <row r="192" hidden="1">
      <c r="J192" s="4">
        <f t="array" ref="J192">IFERROR(INDEX(Unified_Matrix!$A:$ZZ,ROW(A189),MATCH("Max "&amp;$J$9,Unified_Matrix!$1:$1,0)),"")</f>
        <v/>
      </c>
      <c r="K192" s="4">
        <f t="array" ref="K192">IFERROR(INDEX(Unified_Matrix!$A:$ZZ,ROW(A189),MATCH("Evolution_Name",Unified_Matrix!$1:$1,0)),"")</f>
        <v/>
      </c>
      <c r="L192" s="4">
        <f>IF(J192="","",IF(J192=0,"",IF(J192=$AB$28,1,IF(J192=$AB$29,2,IF(J192=$AB$30,3,"")))))</f>
        <v/>
      </c>
      <c r="M192" s="4">
        <f t="array" ref="M192">IFERROR(INDEX(Unified_Matrix!$A:$ZZ,ROW(A189),MATCH("+ OVR",Unified_Matrix!$1:$1,0)),"")</f>
        <v/>
      </c>
      <c r="N192" s="4">
        <f t="array" ref="N192">IFERROR(INDEX(Unified_Matrix!$A:$ZZ,ROW(A189),MATCH("Max OVR",Unified_Matrix!$1:$1,0)),"")</f>
        <v/>
      </c>
      <c r="O192" s="4">
        <f t="array" ref="O192">IFERROR(INDEX(Unified_Matrix!$A:$ZZ,ROW(A189),MATCH("Req_Position",Unified_Matrix!$1:$1,0)),"")</f>
        <v/>
      </c>
      <c r="P192" s="4">
        <f t="array" ref="P192">IFERROR(INDEX(Unified_Matrix!$A:$ZZ,ROW(A189),MATCH("Req_OVR_Max",Unified_Matrix!$1:$1,0)),"")</f>
        <v/>
      </c>
      <c r="Q192" s="4">
        <f t="array" ref="Q192">IFERROR(INDEX(Unified_Matrix!$A:$ZZ,ROW(A189),MATCH("Req_Other",Unified_Matrix!$1:$1,0)),"")</f>
        <v/>
      </c>
    </row>
    <row r="193" hidden="1">
      <c r="J193" s="4">
        <f t="array" ref="J193">IFERROR(INDEX(Unified_Matrix!$A:$ZZ,ROW(A190),MATCH("Max "&amp;$J$9,Unified_Matrix!$1:$1,0)),"")</f>
        <v/>
      </c>
      <c r="K193" s="4">
        <f t="array" ref="K193">IFERROR(INDEX(Unified_Matrix!$A:$ZZ,ROW(A190),MATCH("Evolution_Name",Unified_Matrix!$1:$1,0)),"")</f>
        <v/>
      </c>
      <c r="L193" s="4">
        <f>IF(J193="","",IF(J193=0,"",IF(J193=$AB$28,1,IF(J193=$AB$29,2,IF(J193=$AB$30,3,"")))))</f>
        <v/>
      </c>
      <c r="M193" s="4">
        <f t="array" ref="M193">IFERROR(INDEX(Unified_Matrix!$A:$ZZ,ROW(A190),MATCH("+ OVR",Unified_Matrix!$1:$1,0)),"")</f>
        <v/>
      </c>
      <c r="N193" s="4">
        <f t="array" ref="N193">IFERROR(INDEX(Unified_Matrix!$A:$ZZ,ROW(A190),MATCH("Max OVR",Unified_Matrix!$1:$1,0)),"")</f>
        <v/>
      </c>
      <c r="O193" s="4">
        <f t="array" ref="O193">IFERROR(INDEX(Unified_Matrix!$A:$ZZ,ROW(A190),MATCH("Req_Position",Unified_Matrix!$1:$1,0)),"")</f>
        <v/>
      </c>
      <c r="P193" s="4">
        <f t="array" ref="P193">IFERROR(INDEX(Unified_Matrix!$A:$ZZ,ROW(A190),MATCH("Req_OVR_Max",Unified_Matrix!$1:$1,0)),"")</f>
        <v/>
      </c>
      <c r="Q193" s="4">
        <f t="array" ref="Q193">IFERROR(INDEX(Unified_Matrix!$A:$ZZ,ROW(A190),MATCH("Req_Other",Unified_Matrix!$1:$1,0)),"")</f>
        <v/>
      </c>
    </row>
    <row r="194" hidden="1">
      <c r="J194" s="4">
        <f t="array" ref="J194">IFERROR(INDEX(Unified_Matrix!$A:$ZZ,ROW(A191),MATCH("Max "&amp;$J$9,Unified_Matrix!$1:$1,0)),"")</f>
        <v/>
      </c>
      <c r="K194" s="4">
        <f t="array" ref="K194">IFERROR(INDEX(Unified_Matrix!$A:$ZZ,ROW(A191),MATCH("Evolution_Name",Unified_Matrix!$1:$1,0)),"")</f>
        <v/>
      </c>
      <c r="L194" s="4">
        <f>IF(J194="","",IF(J194=0,"",IF(J194=$AB$28,1,IF(J194=$AB$29,2,IF(J194=$AB$30,3,"")))))</f>
        <v/>
      </c>
      <c r="M194" s="4">
        <f t="array" ref="M194">IFERROR(INDEX(Unified_Matrix!$A:$ZZ,ROW(A191),MATCH("+ OVR",Unified_Matrix!$1:$1,0)),"")</f>
        <v/>
      </c>
      <c r="N194" s="4">
        <f t="array" ref="N194">IFERROR(INDEX(Unified_Matrix!$A:$ZZ,ROW(A191),MATCH("Max OVR",Unified_Matrix!$1:$1,0)),"")</f>
        <v/>
      </c>
      <c r="O194" s="4">
        <f t="array" ref="O194">IFERROR(INDEX(Unified_Matrix!$A:$ZZ,ROW(A191),MATCH("Req_Position",Unified_Matrix!$1:$1,0)),"")</f>
        <v/>
      </c>
      <c r="P194" s="4">
        <f t="array" ref="P194">IFERROR(INDEX(Unified_Matrix!$A:$ZZ,ROW(A191),MATCH("Req_OVR_Max",Unified_Matrix!$1:$1,0)),"")</f>
        <v/>
      </c>
      <c r="Q194" s="4">
        <f t="array" ref="Q194">IFERROR(INDEX(Unified_Matrix!$A:$ZZ,ROW(A191),MATCH("Req_Other",Unified_Matrix!$1:$1,0)),"")</f>
        <v/>
      </c>
    </row>
    <row r="195" hidden="1">
      <c r="J195" s="4">
        <f t="array" ref="J195">IFERROR(INDEX(Unified_Matrix!$A:$ZZ,ROW(A192),MATCH("Max "&amp;$J$9,Unified_Matrix!$1:$1,0)),"")</f>
        <v/>
      </c>
      <c r="K195" s="4">
        <f t="array" ref="K195">IFERROR(INDEX(Unified_Matrix!$A:$ZZ,ROW(A192),MATCH("Evolution_Name",Unified_Matrix!$1:$1,0)),"")</f>
        <v/>
      </c>
      <c r="L195" s="4">
        <f>IF(J195="","",IF(J195=0,"",IF(J195=$AB$28,1,IF(J195=$AB$29,2,IF(J195=$AB$30,3,"")))))</f>
        <v/>
      </c>
      <c r="M195" s="4">
        <f t="array" ref="M195">IFERROR(INDEX(Unified_Matrix!$A:$ZZ,ROW(A192),MATCH("+ OVR",Unified_Matrix!$1:$1,0)),"")</f>
        <v/>
      </c>
      <c r="N195" s="4">
        <f t="array" ref="N195">IFERROR(INDEX(Unified_Matrix!$A:$ZZ,ROW(A192),MATCH("Max OVR",Unified_Matrix!$1:$1,0)),"")</f>
        <v/>
      </c>
      <c r="O195" s="4">
        <f t="array" ref="O195">IFERROR(INDEX(Unified_Matrix!$A:$ZZ,ROW(A192),MATCH("Req_Position",Unified_Matrix!$1:$1,0)),"")</f>
        <v/>
      </c>
      <c r="P195" s="4">
        <f t="array" ref="P195">IFERROR(INDEX(Unified_Matrix!$A:$ZZ,ROW(A192),MATCH("Req_OVR_Max",Unified_Matrix!$1:$1,0)),"")</f>
        <v/>
      </c>
      <c r="Q195" s="4">
        <f t="array" ref="Q195">IFERROR(INDEX(Unified_Matrix!$A:$ZZ,ROW(A192),MATCH("Req_Other",Unified_Matrix!$1:$1,0)),"")</f>
        <v/>
      </c>
    </row>
    <row r="196" hidden="1">
      <c r="J196" s="4">
        <f t="array" ref="J196">IFERROR(INDEX(Unified_Matrix!$A:$ZZ,ROW(A193),MATCH("Max "&amp;$J$9,Unified_Matrix!$1:$1,0)),"")</f>
        <v/>
      </c>
      <c r="K196" s="4">
        <f t="array" ref="K196">IFERROR(INDEX(Unified_Matrix!$A:$ZZ,ROW(A193),MATCH("Evolution_Name",Unified_Matrix!$1:$1,0)),"")</f>
        <v/>
      </c>
      <c r="L196" s="4">
        <f>IF(J196="","",IF(J196=0,"",IF(J196=$AB$28,1,IF(J196=$AB$29,2,IF(J196=$AB$30,3,"")))))</f>
        <v/>
      </c>
      <c r="M196" s="4">
        <f t="array" ref="M196">IFERROR(INDEX(Unified_Matrix!$A:$ZZ,ROW(A193),MATCH("+ OVR",Unified_Matrix!$1:$1,0)),"")</f>
        <v/>
      </c>
      <c r="N196" s="4">
        <f t="array" ref="N196">IFERROR(INDEX(Unified_Matrix!$A:$ZZ,ROW(A193),MATCH("Max OVR",Unified_Matrix!$1:$1,0)),"")</f>
        <v/>
      </c>
      <c r="O196" s="4">
        <f t="array" ref="O196">IFERROR(INDEX(Unified_Matrix!$A:$ZZ,ROW(A193),MATCH("Req_Position",Unified_Matrix!$1:$1,0)),"")</f>
        <v/>
      </c>
      <c r="P196" s="4">
        <f t="array" ref="P196">IFERROR(INDEX(Unified_Matrix!$A:$ZZ,ROW(A193),MATCH("Req_OVR_Max",Unified_Matrix!$1:$1,0)),"")</f>
        <v/>
      </c>
      <c r="Q196" s="4">
        <f t="array" ref="Q196">IFERROR(INDEX(Unified_Matrix!$A:$ZZ,ROW(A193),MATCH("Req_Other",Unified_Matrix!$1:$1,0)),"")</f>
        <v/>
      </c>
    </row>
    <row r="197" hidden="1">
      <c r="J197" s="4">
        <f t="array" ref="J197">IFERROR(INDEX(Unified_Matrix!$A:$ZZ,ROW(A194),MATCH("Max "&amp;$J$9,Unified_Matrix!$1:$1,0)),"")</f>
        <v/>
      </c>
      <c r="K197" s="4">
        <f t="array" ref="K197">IFERROR(INDEX(Unified_Matrix!$A:$ZZ,ROW(A194),MATCH("Evolution_Name",Unified_Matrix!$1:$1,0)),"")</f>
        <v/>
      </c>
      <c r="L197" s="4">
        <f>IF(J197="","",IF(J197=0,"",IF(J197=$AB$28,1,IF(J197=$AB$29,2,IF(J197=$AB$30,3,"")))))</f>
        <v/>
      </c>
      <c r="M197" s="4">
        <f t="array" ref="M197">IFERROR(INDEX(Unified_Matrix!$A:$ZZ,ROW(A194),MATCH("+ OVR",Unified_Matrix!$1:$1,0)),"")</f>
        <v/>
      </c>
      <c r="N197" s="4">
        <f t="array" ref="N197">IFERROR(INDEX(Unified_Matrix!$A:$ZZ,ROW(A194),MATCH("Max OVR",Unified_Matrix!$1:$1,0)),"")</f>
        <v/>
      </c>
      <c r="O197" s="4">
        <f t="array" ref="O197">IFERROR(INDEX(Unified_Matrix!$A:$ZZ,ROW(A194),MATCH("Req_Position",Unified_Matrix!$1:$1,0)),"")</f>
        <v/>
      </c>
      <c r="P197" s="4">
        <f t="array" ref="P197">IFERROR(INDEX(Unified_Matrix!$A:$ZZ,ROW(A194),MATCH("Req_OVR_Max",Unified_Matrix!$1:$1,0)),"")</f>
        <v/>
      </c>
      <c r="Q197" s="4">
        <f t="array" ref="Q197">IFERROR(INDEX(Unified_Matrix!$A:$ZZ,ROW(A194),MATCH("Req_Other",Unified_Matrix!$1:$1,0)),"")</f>
        <v/>
      </c>
    </row>
    <row r="198" hidden="1">
      <c r="J198" s="4">
        <f t="array" ref="J198">IFERROR(INDEX(Unified_Matrix!$A:$ZZ,ROW(A195),MATCH("Max "&amp;$J$9,Unified_Matrix!$1:$1,0)),"")</f>
        <v/>
      </c>
      <c r="K198" s="4">
        <f t="array" ref="K198">IFERROR(INDEX(Unified_Matrix!$A:$ZZ,ROW(A195),MATCH("Evolution_Name",Unified_Matrix!$1:$1,0)),"")</f>
        <v/>
      </c>
      <c r="L198" s="4">
        <f>IF(J198="","",IF(J198=0,"",IF(J198=$AB$28,1,IF(J198=$AB$29,2,IF(J198=$AB$30,3,"")))))</f>
        <v/>
      </c>
      <c r="M198" s="4">
        <f t="array" ref="M198">IFERROR(INDEX(Unified_Matrix!$A:$ZZ,ROW(A195),MATCH("+ OVR",Unified_Matrix!$1:$1,0)),"")</f>
        <v/>
      </c>
      <c r="N198" s="4">
        <f t="array" ref="N198">IFERROR(INDEX(Unified_Matrix!$A:$ZZ,ROW(A195),MATCH("Max OVR",Unified_Matrix!$1:$1,0)),"")</f>
        <v/>
      </c>
      <c r="O198" s="4">
        <f t="array" ref="O198">IFERROR(INDEX(Unified_Matrix!$A:$ZZ,ROW(A195),MATCH("Req_Position",Unified_Matrix!$1:$1,0)),"")</f>
        <v/>
      </c>
      <c r="P198" s="4">
        <f t="array" ref="P198">IFERROR(INDEX(Unified_Matrix!$A:$ZZ,ROW(A195),MATCH("Req_OVR_Max",Unified_Matrix!$1:$1,0)),"")</f>
        <v/>
      </c>
      <c r="Q198" s="4">
        <f t="array" ref="Q198">IFERROR(INDEX(Unified_Matrix!$A:$ZZ,ROW(A195),MATCH("Req_Other",Unified_Matrix!$1:$1,0)),"")</f>
        <v/>
      </c>
    </row>
    <row r="199" hidden="1">
      <c r="J199" s="4">
        <f t="array" ref="J199">IFERROR(INDEX(Unified_Matrix!$A:$ZZ,ROW(A196),MATCH("Max "&amp;$J$9,Unified_Matrix!$1:$1,0)),"")</f>
        <v/>
      </c>
      <c r="K199" s="4">
        <f t="array" ref="K199">IFERROR(INDEX(Unified_Matrix!$A:$ZZ,ROW(A196),MATCH("Evolution_Name",Unified_Matrix!$1:$1,0)),"")</f>
        <v/>
      </c>
      <c r="L199" s="4">
        <f>IF(J199="","",IF(J199=0,"",IF(J199=$AB$28,1,IF(J199=$AB$29,2,IF(J199=$AB$30,3,"")))))</f>
        <v/>
      </c>
      <c r="M199" s="4">
        <f t="array" ref="M199">IFERROR(INDEX(Unified_Matrix!$A:$ZZ,ROW(A196),MATCH("+ OVR",Unified_Matrix!$1:$1,0)),"")</f>
        <v/>
      </c>
      <c r="N199" s="4">
        <f t="array" ref="N199">IFERROR(INDEX(Unified_Matrix!$A:$ZZ,ROW(A196),MATCH("Max OVR",Unified_Matrix!$1:$1,0)),"")</f>
        <v/>
      </c>
      <c r="O199" s="4">
        <f t="array" ref="O199">IFERROR(INDEX(Unified_Matrix!$A:$ZZ,ROW(A196),MATCH("Req_Position",Unified_Matrix!$1:$1,0)),"")</f>
        <v/>
      </c>
      <c r="P199" s="4">
        <f t="array" ref="P199">IFERROR(INDEX(Unified_Matrix!$A:$ZZ,ROW(A196),MATCH("Req_OVR_Max",Unified_Matrix!$1:$1,0)),"")</f>
        <v/>
      </c>
      <c r="Q199" s="4">
        <f t="array" ref="Q199">IFERROR(INDEX(Unified_Matrix!$A:$ZZ,ROW(A196),MATCH("Req_Other",Unified_Matrix!$1:$1,0)),"")</f>
        <v/>
      </c>
    </row>
    <row r="200" hidden="1">
      <c r="J200" s="4">
        <f t="array" ref="J200">IFERROR(INDEX(Unified_Matrix!$A:$ZZ,ROW(A197),MATCH("Max "&amp;$J$9,Unified_Matrix!$1:$1,0)),"")</f>
        <v/>
      </c>
      <c r="K200" s="4">
        <f t="array" ref="K200">IFERROR(INDEX(Unified_Matrix!$A:$ZZ,ROW(A197),MATCH("Evolution_Name",Unified_Matrix!$1:$1,0)),"")</f>
        <v/>
      </c>
      <c r="L200" s="4">
        <f>IF(J200="","",IF(J200=0,"",IF(J200=$AB$28,1,IF(J200=$AB$29,2,IF(J200=$AB$30,3,"")))))</f>
        <v/>
      </c>
      <c r="M200" s="4">
        <f t="array" ref="M200">IFERROR(INDEX(Unified_Matrix!$A:$ZZ,ROW(A197),MATCH("+ OVR",Unified_Matrix!$1:$1,0)),"")</f>
        <v/>
      </c>
      <c r="N200" s="4">
        <f t="array" ref="N200">IFERROR(INDEX(Unified_Matrix!$A:$ZZ,ROW(A197),MATCH("Max OVR",Unified_Matrix!$1:$1,0)),"")</f>
        <v/>
      </c>
      <c r="O200" s="4">
        <f t="array" ref="O200">IFERROR(INDEX(Unified_Matrix!$A:$ZZ,ROW(A197),MATCH("Req_Position",Unified_Matrix!$1:$1,0)),"")</f>
        <v/>
      </c>
      <c r="P200" s="4">
        <f t="array" ref="P200">IFERROR(INDEX(Unified_Matrix!$A:$ZZ,ROW(A197),MATCH("Req_OVR_Max",Unified_Matrix!$1:$1,0)),"")</f>
        <v/>
      </c>
      <c r="Q200" s="4">
        <f t="array" ref="Q200">IFERROR(INDEX(Unified_Matrix!$A:$ZZ,ROW(A197),MATCH("Req_Other",Unified_Matrix!$1:$1,0)),"")</f>
        <v/>
      </c>
    </row>
    <row r="201" hidden="1">
      <c r="J201" s="4">
        <f t="array" ref="J201">IFERROR(INDEX(Unified_Matrix!$A:$ZZ,ROW(A198),MATCH("Max "&amp;$J$9,Unified_Matrix!$1:$1,0)),"")</f>
        <v/>
      </c>
      <c r="K201" s="4">
        <f t="array" ref="K201">IFERROR(INDEX(Unified_Matrix!$A:$ZZ,ROW(A198),MATCH("Evolution_Name",Unified_Matrix!$1:$1,0)),"")</f>
        <v/>
      </c>
      <c r="L201" s="4">
        <f>IF(J201="","",IF(J201=0,"",IF(J201=$AB$28,1,IF(J201=$AB$29,2,IF(J201=$AB$30,3,"")))))</f>
        <v/>
      </c>
      <c r="M201" s="4">
        <f t="array" ref="M201">IFERROR(INDEX(Unified_Matrix!$A:$ZZ,ROW(A198),MATCH("+ OVR",Unified_Matrix!$1:$1,0)),"")</f>
        <v/>
      </c>
      <c r="N201" s="4">
        <f t="array" ref="N201">IFERROR(INDEX(Unified_Matrix!$A:$ZZ,ROW(A198),MATCH("Max OVR",Unified_Matrix!$1:$1,0)),"")</f>
        <v/>
      </c>
      <c r="O201" s="4">
        <f t="array" ref="O201">IFERROR(INDEX(Unified_Matrix!$A:$ZZ,ROW(A198),MATCH("Req_Position",Unified_Matrix!$1:$1,0)),"")</f>
        <v/>
      </c>
      <c r="P201" s="4">
        <f t="array" ref="P201">IFERROR(INDEX(Unified_Matrix!$A:$ZZ,ROW(A198),MATCH("Req_OVR_Max",Unified_Matrix!$1:$1,0)),"")</f>
        <v/>
      </c>
      <c r="Q201" s="4">
        <f t="array" ref="Q201">IFERROR(INDEX(Unified_Matrix!$A:$ZZ,ROW(A198),MATCH("Req_Other",Unified_Matrix!$1:$1,0)),"")</f>
        <v/>
      </c>
    </row>
    <row r="202" hidden="1">
      <c r="J202" s="4">
        <f t="array" ref="J202">IFERROR(INDEX(Unified_Matrix!$A:$ZZ,ROW(A199),MATCH("Max "&amp;$J$9,Unified_Matrix!$1:$1,0)),"")</f>
        <v/>
      </c>
      <c r="K202" s="4">
        <f t="array" ref="K202">IFERROR(INDEX(Unified_Matrix!$A:$ZZ,ROW(A199),MATCH("Evolution_Name",Unified_Matrix!$1:$1,0)),"")</f>
        <v/>
      </c>
      <c r="L202" s="4">
        <f>IF(J202="","",IF(J202=0,"",IF(J202=$AB$28,1,IF(J202=$AB$29,2,IF(J202=$AB$30,3,"")))))</f>
        <v/>
      </c>
      <c r="M202" s="4">
        <f t="array" ref="M202">IFERROR(INDEX(Unified_Matrix!$A:$ZZ,ROW(A199),MATCH("+ OVR",Unified_Matrix!$1:$1,0)),"")</f>
        <v/>
      </c>
      <c r="N202" s="4">
        <f t="array" ref="N202">IFERROR(INDEX(Unified_Matrix!$A:$ZZ,ROW(A199),MATCH("Max OVR",Unified_Matrix!$1:$1,0)),"")</f>
        <v/>
      </c>
      <c r="O202" s="4">
        <f t="array" ref="O202">IFERROR(INDEX(Unified_Matrix!$A:$ZZ,ROW(A199),MATCH("Req_Position",Unified_Matrix!$1:$1,0)),"")</f>
        <v/>
      </c>
      <c r="P202" s="4">
        <f t="array" ref="P202">IFERROR(INDEX(Unified_Matrix!$A:$ZZ,ROW(A199),MATCH("Req_OVR_Max",Unified_Matrix!$1:$1,0)),"")</f>
        <v/>
      </c>
      <c r="Q202" s="4">
        <f t="array" ref="Q202">IFERROR(INDEX(Unified_Matrix!$A:$ZZ,ROW(A199),MATCH("Req_Other",Unified_Matrix!$1:$1,0)),"")</f>
        <v/>
      </c>
    </row>
    <row r="203" hidden="1">
      <c r="J203" s="4">
        <f t="array" ref="J203">IFERROR(INDEX(Unified_Matrix!$A:$ZZ,ROW(A200),MATCH("Max "&amp;$J$9,Unified_Matrix!$1:$1,0)),"")</f>
        <v/>
      </c>
      <c r="K203" s="4">
        <f t="array" ref="K203">IFERROR(INDEX(Unified_Matrix!$A:$ZZ,ROW(A200),MATCH("Evolution_Name",Unified_Matrix!$1:$1,0)),"")</f>
        <v/>
      </c>
      <c r="L203" s="4">
        <f>IF(J203="","",IF(J203=0,"",IF(J203=$AB$28,1,IF(J203=$AB$29,2,IF(J203=$AB$30,3,"")))))</f>
        <v/>
      </c>
      <c r="M203" s="4">
        <f t="array" ref="M203">IFERROR(INDEX(Unified_Matrix!$A:$ZZ,ROW(A200),MATCH("+ OVR",Unified_Matrix!$1:$1,0)),"")</f>
        <v/>
      </c>
      <c r="N203" s="4">
        <f t="array" ref="N203">IFERROR(INDEX(Unified_Matrix!$A:$ZZ,ROW(A200),MATCH("Max OVR",Unified_Matrix!$1:$1,0)),"")</f>
        <v/>
      </c>
      <c r="O203" s="4">
        <f t="array" ref="O203">IFERROR(INDEX(Unified_Matrix!$A:$ZZ,ROW(A200),MATCH("Req_Position",Unified_Matrix!$1:$1,0)),"")</f>
        <v/>
      </c>
      <c r="P203" s="4">
        <f t="array" ref="P203">IFERROR(INDEX(Unified_Matrix!$A:$ZZ,ROW(A200),MATCH("Req_OVR_Max",Unified_Matrix!$1:$1,0)),"")</f>
        <v/>
      </c>
      <c r="Q203" s="4">
        <f t="array" ref="Q203">IFERROR(INDEX(Unified_Matrix!$A:$ZZ,ROW(A200),MATCH("Req_Other",Unified_Matrix!$1:$1,0)),"")</f>
        <v/>
      </c>
    </row>
    <row r="204" hidden="1">
      <c r="J204" s="4">
        <f t="array" ref="J204">IFERROR(INDEX(Unified_Matrix!$A:$ZZ,ROW(A201),MATCH("Max "&amp;$J$9,Unified_Matrix!$1:$1,0)),"")</f>
        <v/>
      </c>
      <c r="K204" s="4">
        <f t="array" ref="K204">IFERROR(INDEX(Unified_Matrix!$A:$ZZ,ROW(A201),MATCH("Evolution_Name",Unified_Matrix!$1:$1,0)),"")</f>
        <v/>
      </c>
      <c r="L204" s="4">
        <f>IF(J204="","",IF(J204=0,"",IF(J204=$AB$28,1,IF(J204=$AB$29,2,IF(J204=$AB$30,3,"")))))</f>
        <v/>
      </c>
      <c r="M204" s="4">
        <f t="array" ref="M204">IFERROR(INDEX(Unified_Matrix!$A:$ZZ,ROW(A201),MATCH("+ OVR",Unified_Matrix!$1:$1,0)),"")</f>
        <v/>
      </c>
      <c r="N204" s="4">
        <f t="array" ref="N204">IFERROR(INDEX(Unified_Matrix!$A:$ZZ,ROW(A201),MATCH("Max OVR",Unified_Matrix!$1:$1,0)),"")</f>
        <v/>
      </c>
      <c r="O204" s="4">
        <f t="array" ref="O204">IFERROR(INDEX(Unified_Matrix!$A:$ZZ,ROW(A201),MATCH("Req_Position",Unified_Matrix!$1:$1,0)),"")</f>
        <v/>
      </c>
      <c r="P204" s="4">
        <f t="array" ref="P204">IFERROR(INDEX(Unified_Matrix!$A:$ZZ,ROW(A201),MATCH("Req_OVR_Max",Unified_Matrix!$1:$1,0)),"")</f>
        <v/>
      </c>
      <c r="Q204" s="4">
        <f t="array" ref="Q204">IFERROR(INDEX(Unified_Matrix!$A:$ZZ,ROW(A201),MATCH("Req_Other",Unified_Matrix!$1:$1,0)),"")</f>
        <v/>
      </c>
    </row>
    <row r="205" hidden="1">
      <c r="J205" s="4">
        <f t="array" ref="J205">IFERROR(INDEX(Unified_Matrix!$A:$ZZ,ROW(A202),MATCH("Max "&amp;$J$9,Unified_Matrix!$1:$1,0)),"")</f>
        <v/>
      </c>
      <c r="K205" s="4">
        <f t="array" ref="K205">IFERROR(INDEX(Unified_Matrix!$A:$ZZ,ROW(A202),MATCH("Evolution_Name",Unified_Matrix!$1:$1,0)),"")</f>
        <v/>
      </c>
      <c r="L205" s="4">
        <f>IF(J205="","",IF(J205=0,"",IF(J205=$AB$28,1,IF(J205=$AB$29,2,IF(J205=$AB$30,3,"")))))</f>
        <v/>
      </c>
      <c r="M205" s="4">
        <f t="array" ref="M205">IFERROR(INDEX(Unified_Matrix!$A:$ZZ,ROW(A202),MATCH("+ OVR",Unified_Matrix!$1:$1,0)),"")</f>
        <v/>
      </c>
      <c r="N205" s="4">
        <f t="array" ref="N205">IFERROR(INDEX(Unified_Matrix!$A:$ZZ,ROW(A202),MATCH("Max OVR",Unified_Matrix!$1:$1,0)),"")</f>
        <v/>
      </c>
      <c r="O205" s="4">
        <f t="array" ref="O205">IFERROR(INDEX(Unified_Matrix!$A:$ZZ,ROW(A202),MATCH("Req_Position",Unified_Matrix!$1:$1,0)),"")</f>
        <v/>
      </c>
      <c r="P205" s="4">
        <f t="array" ref="P205">IFERROR(INDEX(Unified_Matrix!$A:$ZZ,ROW(A202),MATCH("Req_OVR_Max",Unified_Matrix!$1:$1,0)),"")</f>
        <v/>
      </c>
      <c r="Q205" s="4">
        <f t="array" ref="Q205">IFERROR(INDEX(Unified_Matrix!$A:$ZZ,ROW(A202),MATCH("Req_Other",Unified_Matrix!$1:$1,0)),"")</f>
        <v/>
      </c>
    </row>
    <row r="206" hidden="1">
      <c r="J206" s="4">
        <f t="array" ref="J206">IFERROR(INDEX(Unified_Matrix!$A:$ZZ,ROW(A203),MATCH("Max "&amp;$J$9,Unified_Matrix!$1:$1,0)),"")</f>
        <v/>
      </c>
      <c r="K206" s="4">
        <f t="array" ref="K206">IFERROR(INDEX(Unified_Matrix!$A:$ZZ,ROW(A203),MATCH("Evolution_Name",Unified_Matrix!$1:$1,0)),"")</f>
        <v/>
      </c>
      <c r="L206" s="4">
        <f>IF(J206="","",IF(J206=0,"",IF(J206=$AB$28,1,IF(J206=$AB$29,2,IF(J206=$AB$30,3,"")))))</f>
        <v/>
      </c>
      <c r="M206" s="4">
        <f t="array" ref="M206">IFERROR(INDEX(Unified_Matrix!$A:$ZZ,ROW(A203),MATCH("+ OVR",Unified_Matrix!$1:$1,0)),"")</f>
        <v/>
      </c>
      <c r="N206" s="4">
        <f t="array" ref="N206">IFERROR(INDEX(Unified_Matrix!$A:$ZZ,ROW(A203),MATCH("Max OVR",Unified_Matrix!$1:$1,0)),"")</f>
        <v/>
      </c>
      <c r="O206" s="4">
        <f t="array" ref="O206">IFERROR(INDEX(Unified_Matrix!$A:$ZZ,ROW(A203),MATCH("Req_Position",Unified_Matrix!$1:$1,0)),"")</f>
        <v/>
      </c>
      <c r="P206" s="4">
        <f t="array" ref="P206">IFERROR(INDEX(Unified_Matrix!$A:$ZZ,ROW(A203),MATCH("Req_OVR_Max",Unified_Matrix!$1:$1,0)),"")</f>
        <v/>
      </c>
      <c r="Q206" s="4">
        <f t="array" ref="Q206">IFERROR(INDEX(Unified_Matrix!$A:$ZZ,ROW(A203),MATCH("Req_Other",Unified_Matrix!$1:$1,0)),"")</f>
        <v/>
      </c>
    </row>
    <row r="207" hidden="1">
      <c r="J207" s="4">
        <f t="array" ref="J207">IFERROR(INDEX(Unified_Matrix!$A:$ZZ,ROW(A204),MATCH("Max "&amp;$J$9,Unified_Matrix!$1:$1,0)),"")</f>
        <v/>
      </c>
      <c r="K207" s="4">
        <f t="array" ref="K207">IFERROR(INDEX(Unified_Matrix!$A:$ZZ,ROW(A204),MATCH("Evolution_Name",Unified_Matrix!$1:$1,0)),"")</f>
        <v/>
      </c>
      <c r="L207" s="4">
        <f>IF(J207="","",IF(J207=0,"",IF(J207=$AB$28,1,IF(J207=$AB$29,2,IF(J207=$AB$30,3,"")))))</f>
        <v/>
      </c>
      <c r="M207" s="4">
        <f t="array" ref="M207">IFERROR(INDEX(Unified_Matrix!$A:$ZZ,ROW(A204),MATCH("+ OVR",Unified_Matrix!$1:$1,0)),"")</f>
        <v/>
      </c>
      <c r="N207" s="4">
        <f t="array" ref="N207">IFERROR(INDEX(Unified_Matrix!$A:$ZZ,ROW(A204),MATCH("Max OVR",Unified_Matrix!$1:$1,0)),"")</f>
        <v/>
      </c>
      <c r="O207" s="4">
        <f t="array" ref="O207">IFERROR(INDEX(Unified_Matrix!$A:$ZZ,ROW(A204),MATCH("Req_Position",Unified_Matrix!$1:$1,0)),"")</f>
        <v/>
      </c>
      <c r="P207" s="4">
        <f t="array" ref="P207">IFERROR(INDEX(Unified_Matrix!$A:$ZZ,ROW(A204),MATCH("Req_OVR_Max",Unified_Matrix!$1:$1,0)),"")</f>
        <v/>
      </c>
      <c r="Q207" s="4">
        <f t="array" ref="Q207">IFERROR(INDEX(Unified_Matrix!$A:$ZZ,ROW(A204),MATCH("Req_Other",Unified_Matrix!$1:$1,0)),"")</f>
        <v/>
      </c>
    </row>
    <row r="208" hidden="1">
      <c r="J208" s="4">
        <f t="array" ref="J208">IFERROR(INDEX(Unified_Matrix!$A:$ZZ,ROW(A205),MATCH("Max "&amp;$J$9,Unified_Matrix!$1:$1,0)),"")</f>
        <v/>
      </c>
      <c r="K208" s="4">
        <f t="array" ref="K208">IFERROR(INDEX(Unified_Matrix!$A:$ZZ,ROW(A205),MATCH("Evolution_Name",Unified_Matrix!$1:$1,0)),"")</f>
        <v/>
      </c>
      <c r="L208" s="4">
        <f>IF(J208="","",IF(J208=0,"",IF(J208=$AB$28,1,IF(J208=$AB$29,2,IF(J208=$AB$30,3,"")))))</f>
        <v/>
      </c>
      <c r="M208" s="4">
        <f t="array" ref="M208">IFERROR(INDEX(Unified_Matrix!$A:$ZZ,ROW(A205),MATCH("+ OVR",Unified_Matrix!$1:$1,0)),"")</f>
        <v/>
      </c>
      <c r="N208" s="4">
        <f t="array" ref="N208">IFERROR(INDEX(Unified_Matrix!$A:$ZZ,ROW(A205),MATCH("Max OVR",Unified_Matrix!$1:$1,0)),"")</f>
        <v/>
      </c>
      <c r="O208" s="4">
        <f t="array" ref="O208">IFERROR(INDEX(Unified_Matrix!$A:$ZZ,ROW(A205),MATCH("Req_Position",Unified_Matrix!$1:$1,0)),"")</f>
        <v/>
      </c>
      <c r="P208" s="4">
        <f t="array" ref="P208">IFERROR(INDEX(Unified_Matrix!$A:$ZZ,ROW(A205),MATCH("Req_OVR_Max",Unified_Matrix!$1:$1,0)),"")</f>
        <v/>
      </c>
      <c r="Q208" s="4">
        <f t="array" ref="Q208">IFERROR(INDEX(Unified_Matrix!$A:$ZZ,ROW(A205),MATCH("Req_Other",Unified_Matrix!$1:$1,0)),"")</f>
        <v/>
      </c>
    </row>
    <row r="209" hidden="1">
      <c r="J209" s="4">
        <f t="array" ref="J209">IFERROR(INDEX(Unified_Matrix!$A:$ZZ,ROW(A206),MATCH("Max "&amp;$J$9,Unified_Matrix!$1:$1,0)),"")</f>
        <v/>
      </c>
      <c r="K209" s="4">
        <f t="array" ref="K209">IFERROR(INDEX(Unified_Matrix!$A:$ZZ,ROW(A206),MATCH("Evolution_Name",Unified_Matrix!$1:$1,0)),"")</f>
        <v/>
      </c>
      <c r="L209" s="4">
        <f>IF(J209="","",IF(J209=0,"",IF(J209=$AB$28,1,IF(J209=$AB$29,2,IF(J209=$AB$30,3,"")))))</f>
        <v/>
      </c>
      <c r="M209" s="4">
        <f t="array" ref="M209">IFERROR(INDEX(Unified_Matrix!$A:$ZZ,ROW(A206),MATCH("+ OVR",Unified_Matrix!$1:$1,0)),"")</f>
        <v/>
      </c>
      <c r="N209" s="4">
        <f t="array" ref="N209">IFERROR(INDEX(Unified_Matrix!$A:$ZZ,ROW(A206),MATCH("Max OVR",Unified_Matrix!$1:$1,0)),"")</f>
        <v/>
      </c>
      <c r="O209" s="4">
        <f t="array" ref="O209">IFERROR(INDEX(Unified_Matrix!$A:$ZZ,ROW(A206),MATCH("Req_Position",Unified_Matrix!$1:$1,0)),"")</f>
        <v/>
      </c>
      <c r="P209" s="4">
        <f t="array" ref="P209">IFERROR(INDEX(Unified_Matrix!$A:$ZZ,ROW(A206),MATCH("Req_OVR_Max",Unified_Matrix!$1:$1,0)),"")</f>
        <v/>
      </c>
      <c r="Q209" s="4">
        <f t="array" ref="Q209">IFERROR(INDEX(Unified_Matrix!$A:$ZZ,ROW(A206),MATCH("Req_Other",Unified_Matrix!$1:$1,0)),"")</f>
        <v/>
      </c>
    </row>
    <row r="210" hidden="1">
      <c r="J210" s="4">
        <f t="array" ref="J210">IFERROR(INDEX(Unified_Matrix!$A:$ZZ,ROW(A207),MATCH("Max "&amp;$J$9,Unified_Matrix!$1:$1,0)),"")</f>
        <v/>
      </c>
      <c r="K210" s="4">
        <f t="array" ref="K210">IFERROR(INDEX(Unified_Matrix!$A:$ZZ,ROW(A207),MATCH("Evolution_Name",Unified_Matrix!$1:$1,0)),"")</f>
        <v/>
      </c>
      <c r="L210" s="4">
        <f>IF(J210="","",IF(J210=0,"",IF(J210=$AB$28,1,IF(J210=$AB$29,2,IF(J210=$AB$30,3,"")))))</f>
        <v/>
      </c>
      <c r="M210" s="4">
        <f t="array" ref="M210">IFERROR(INDEX(Unified_Matrix!$A:$ZZ,ROW(A207),MATCH("+ OVR",Unified_Matrix!$1:$1,0)),"")</f>
        <v/>
      </c>
      <c r="N210" s="4">
        <f t="array" ref="N210">IFERROR(INDEX(Unified_Matrix!$A:$ZZ,ROW(A207),MATCH("Max OVR",Unified_Matrix!$1:$1,0)),"")</f>
        <v/>
      </c>
      <c r="O210" s="4">
        <f t="array" ref="O210">IFERROR(INDEX(Unified_Matrix!$A:$ZZ,ROW(A207),MATCH("Req_Position",Unified_Matrix!$1:$1,0)),"")</f>
        <v/>
      </c>
      <c r="P210" s="4">
        <f t="array" ref="P210">IFERROR(INDEX(Unified_Matrix!$A:$ZZ,ROW(A207),MATCH("Req_OVR_Max",Unified_Matrix!$1:$1,0)),"")</f>
        <v/>
      </c>
      <c r="Q210" s="4">
        <f t="array" ref="Q210">IFERROR(INDEX(Unified_Matrix!$A:$ZZ,ROW(A207),MATCH("Req_Other",Unified_Matrix!$1:$1,0)),"")</f>
        <v/>
      </c>
    </row>
    <row r="211" hidden="1">
      <c r="J211" s="4">
        <f t="array" ref="J211">IFERROR(INDEX(Unified_Matrix!$A:$ZZ,ROW(A208),MATCH("Max "&amp;$J$9,Unified_Matrix!$1:$1,0)),"")</f>
        <v/>
      </c>
      <c r="K211" s="4">
        <f t="array" ref="K211">IFERROR(INDEX(Unified_Matrix!$A:$ZZ,ROW(A208),MATCH("Evolution_Name",Unified_Matrix!$1:$1,0)),"")</f>
        <v/>
      </c>
      <c r="L211" s="4">
        <f>IF(J211="","",IF(J211=0,"",IF(J211=$AB$28,1,IF(J211=$AB$29,2,IF(J211=$AB$30,3,"")))))</f>
        <v/>
      </c>
      <c r="M211" s="4">
        <f t="array" ref="M211">IFERROR(INDEX(Unified_Matrix!$A:$ZZ,ROW(A208),MATCH("+ OVR",Unified_Matrix!$1:$1,0)),"")</f>
        <v/>
      </c>
      <c r="N211" s="4">
        <f t="array" ref="N211">IFERROR(INDEX(Unified_Matrix!$A:$ZZ,ROW(A208),MATCH("Max OVR",Unified_Matrix!$1:$1,0)),"")</f>
        <v/>
      </c>
      <c r="O211" s="4">
        <f t="array" ref="O211">IFERROR(INDEX(Unified_Matrix!$A:$ZZ,ROW(A208),MATCH("Req_Position",Unified_Matrix!$1:$1,0)),"")</f>
        <v/>
      </c>
      <c r="P211" s="4">
        <f t="array" ref="P211">IFERROR(INDEX(Unified_Matrix!$A:$ZZ,ROW(A208),MATCH("Req_OVR_Max",Unified_Matrix!$1:$1,0)),"")</f>
        <v/>
      </c>
      <c r="Q211" s="4">
        <f t="array" ref="Q211">IFERROR(INDEX(Unified_Matrix!$A:$ZZ,ROW(A208),MATCH("Req_Other",Unified_Matrix!$1:$1,0)),"")</f>
        <v/>
      </c>
    </row>
    <row r="212" hidden="1">
      <c r="J212" s="4">
        <f t="array" ref="J212">IFERROR(INDEX(Unified_Matrix!$A:$ZZ,ROW(A209),MATCH("Max "&amp;$J$9,Unified_Matrix!$1:$1,0)),"")</f>
        <v/>
      </c>
      <c r="K212" s="4">
        <f t="array" ref="K212">IFERROR(INDEX(Unified_Matrix!$A:$ZZ,ROW(A209),MATCH("Evolution_Name",Unified_Matrix!$1:$1,0)),"")</f>
        <v/>
      </c>
      <c r="L212" s="4">
        <f>IF(J212="","",IF(J212=0,"",IF(J212=$AB$28,1,IF(J212=$AB$29,2,IF(J212=$AB$30,3,"")))))</f>
        <v/>
      </c>
      <c r="M212" s="4">
        <f t="array" ref="M212">IFERROR(INDEX(Unified_Matrix!$A:$ZZ,ROW(A209),MATCH("+ OVR",Unified_Matrix!$1:$1,0)),"")</f>
        <v/>
      </c>
      <c r="N212" s="4">
        <f t="array" ref="N212">IFERROR(INDEX(Unified_Matrix!$A:$ZZ,ROW(A209),MATCH("Max OVR",Unified_Matrix!$1:$1,0)),"")</f>
        <v/>
      </c>
      <c r="O212" s="4">
        <f t="array" ref="O212">IFERROR(INDEX(Unified_Matrix!$A:$ZZ,ROW(A209),MATCH("Req_Position",Unified_Matrix!$1:$1,0)),"")</f>
        <v/>
      </c>
      <c r="P212" s="4">
        <f t="array" ref="P212">IFERROR(INDEX(Unified_Matrix!$A:$ZZ,ROW(A209),MATCH("Req_OVR_Max",Unified_Matrix!$1:$1,0)),"")</f>
        <v/>
      </c>
      <c r="Q212" s="4">
        <f t="array" ref="Q212">IFERROR(INDEX(Unified_Matrix!$A:$ZZ,ROW(A209),MATCH("Req_Other",Unified_Matrix!$1:$1,0)),"")</f>
        <v/>
      </c>
    </row>
    <row r="213" hidden="1">
      <c r="J213" s="4">
        <f t="array" ref="J213">IFERROR(INDEX(Unified_Matrix!$A:$ZZ,ROW(A210),MATCH("Max "&amp;$J$9,Unified_Matrix!$1:$1,0)),"")</f>
        <v/>
      </c>
      <c r="K213" s="4">
        <f t="array" ref="K213">IFERROR(INDEX(Unified_Matrix!$A:$ZZ,ROW(A210),MATCH("Evolution_Name",Unified_Matrix!$1:$1,0)),"")</f>
        <v/>
      </c>
      <c r="L213" s="4">
        <f>IF(J213="","",IF(J213=0,"",IF(J213=$AB$28,1,IF(J213=$AB$29,2,IF(J213=$AB$30,3,"")))))</f>
        <v/>
      </c>
      <c r="M213" s="4">
        <f t="array" ref="M213">IFERROR(INDEX(Unified_Matrix!$A:$ZZ,ROW(A210),MATCH("+ OVR",Unified_Matrix!$1:$1,0)),"")</f>
        <v/>
      </c>
      <c r="N213" s="4">
        <f t="array" ref="N213">IFERROR(INDEX(Unified_Matrix!$A:$ZZ,ROW(A210),MATCH("Max OVR",Unified_Matrix!$1:$1,0)),"")</f>
        <v/>
      </c>
      <c r="O213" s="4">
        <f t="array" ref="O213">IFERROR(INDEX(Unified_Matrix!$A:$ZZ,ROW(A210),MATCH("Req_Position",Unified_Matrix!$1:$1,0)),"")</f>
        <v/>
      </c>
      <c r="P213" s="4">
        <f t="array" ref="P213">IFERROR(INDEX(Unified_Matrix!$A:$ZZ,ROW(A210),MATCH("Req_OVR_Max",Unified_Matrix!$1:$1,0)),"")</f>
        <v/>
      </c>
      <c r="Q213" s="4">
        <f t="array" ref="Q213">IFERROR(INDEX(Unified_Matrix!$A:$ZZ,ROW(A210),MATCH("Req_Other",Unified_Matrix!$1:$1,0)),"")</f>
        <v/>
      </c>
    </row>
    <row r="214" hidden="1">
      <c r="J214" s="4">
        <f t="array" ref="J214">IFERROR(INDEX(Unified_Matrix!$A:$ZZ,ROW(A211),MATCH("Max "&amp;$J$9,Unified_Matrix!$1:$1,0)),"")</f>
        <v/>
      </c>
      <c r="K214" s="4">
        <f t="array" ref="K214">IFERROR(INDEX(Unified_Matrix!$A:$ZZ,ROW(A211),MATCH("Evolution_Name",Unified_Matrix!$1:$1,0)),"")</f>
        <v/>
      </c>
      <c r="L214" s="4">
        <f>IF(J214="","",IF(J214=0,"",IF(J214=$AB$28,1,IF(J214=$AB$29,2,IF(J214=$AB$30,3,"")))))</f>
        <v/>
      </c>
      <c r="M214" s="4">
        <f t="array" ref="M214">IFERROR(INDEX(Unified_Matrix!$A:$ZZ,ROW(A211),MATCH("+ OVR",Unified_Matrix!$1:$1,0)),"")</f>
        <v/>
      </c>
      <c r="N214" s="4">
        <f t="array" ref="N214">IFERROR(INDEX(Unified_Matrix!$A:$ZZ,ROW(A211),MATCH("Max OVR",Unified_Matrix!$1:$1,0)),"")</f>
        <v/>
      </c>
      <c r="O214" s="4">
        <f t="array" ref="O214">IFERROR(INDEX(Unified_Matrix!$A:$ZZ,ROW(A211),MATCH("Req_Position",Unified_Matrix!$1:$1,0)),"")</f>
        <v/>
      </c>
      <c r="P214" s="4">
        <f t="array" ref="P214">IFERROR(INDEX(Unified_Matrix!$A:$ZZ,ROW(A211),MATCH("Req_OVR_Max",Unified_Matrix!$1:$1,0)),"")</f>
        <v/>
      </c>
      <c r="Q214" s="4">
        <f t="array" ref="Q214">IFERROR(INDEX(Unified_Matrix!$A:$ZZ,ROW(A211),MATCH("Req_Other",Unified_Matrix!$1:$1,0)),"")</f>
        <v/>
      </c>
    </row>
    <row r="215" hidden="1">
      <c r="J215" s="4">
        <f t="array" ref="J215">IFERROR(INDEX(Unified_Matrix!$A:$ZZ,ROW(A212),MATCH("Max "&amp;$J$9,Unified_Matrix!$1:$1,0)),"")</f>
        <v/>
      </c>
      <c r="K215" s="4">
        <f t="array" ref="K215">IFERROR(INDEX(Unified_Matrix!$A:$ZZ,ROW(A212),MATCH("Evolution_Name",Unified_Matrix!$1:$1,0)),"")</f>
        <v/>
      </c>
      <c r="L215" s="4">
        <f>IF(J215="","",IF(J215=0,"",IF(J215=$AB$28,1,IF(J215=$AB$29,2,IF(J215=$AB$30,3,"")))))</f>
        <v/>
      </c>
      <c r="M215" s="4">
        <f t="array" ref="M215">IFERROR(INDEX(Unified_Matrix!$A:$ZZ,ROW(A212),MATCH("+ OVR",Unified_Matrix!$1:$1,0)),"")</f>
        <v/>
      </c>
      <c r="N215" s="4">
        <f t="array" ref="N215">IFERROR(INDEX(Unified_Matrix!$A:$ZZ,ROW(A212),MATCH("Max OVR",Unified_Matrix!$1:$1,0)),"")</f>
        <v/>
      </c>
      <c r="O215" s="4">
        <f t="array" ref="O215">IFERROR(INDEX(Unified_Matrix!$A:$ZZ,ROW(A212),MATCH("Req_Position",Unified_Matrix!$1:$1,0)),"")</f>
        <v/>
      </c>
      <c r="P215" s="4">
        <f t="array" ref="P215">IFERROR(INDEX(Unified_Matrix!$A:$ZZ,ROW(A212),MATCH("Req_OVR_Max",Unified_Matrix!$1:$1,0)),"")</f>
        <v/>
      </c>
      <c r="Q215" s="4">
        <f t="array" ref="Q215">IFERROR(INDEX(Unified_Matrix!$A:$ZZ,ROW(A212),MATCH("Req_Other",Unified_Matrix!$1:$1,0)),"")</f>
        <v/>
      </c>
    </row>
    <row r="216" hidden="1">
      <c r="J216" s="4">
        <f t="array" ref="J216">IFERROR(INDEX(Unified_Matrix!$A:$ZZ,ROW(A213),MATCH("Max "&amp;$J$9,Unified_Matrix!$1:$1,0)),"")</f>
        <v/>
      </c>
      <c r="K216" s="4">
        <f t="array" ref="K216">IFERROR(INDEX(Unified_Matrix!$A:$ZZ,ROW(A213),MATCH("Evolution_Name",Unified_Matrix!$1:$1,0)),"")</f>
        <v/>
      </c>
      <c r="L216" s="4">
        <f>IF(J216="","",IF(J216=0,"",IF(J216=$AB$28,1,IF(J216=$AB$29,2,IF(J216=$AB$30,3,"")))))</f>
        <v/>
      </c>
      <c r="M216" s="4">
        <f t="array" ref="M216">IFERROR(INDEX(Unified_Matrix!$A:$ZZ,ROW(A213),MATCH("+ OVR",Unified_Matrix!$1:$1,0)),"")</f>
        <v/>
      </c>
      <c r="N216" s="4">
        <f t="array" ref="N216">IFERROR(INDEX(Unified_Matrix!$A:$ZZ,ROW(A213),MATCH("Max OVR",Unified_Matrix!$1:$1,0)),"")</f>
        <v/>
      </c>
      <c r="O216" s="4">
        <f t="array" ref="O216">IFERROR(INDEX(Unified_Matrix!$A:$ZZ,ROW(A213),MATCH("Req_Position",Unified_Matrix!$1:$1,0)),"")</f>
        <v/>
      </c>
      <c r="P216" s="4">
        <f t="array" ref="P216">IFERROR(INDEX(Unified_Matrix!$A:$ZZ,ROW(A213),MATCH("Req_OVR_Max",Unified_Matrix!$1:$1,0)),"")</f>
        <v/>
      </c>
      <c r="Q216" s="4">
        <f t="array" ref="Q216">IFERROR(INDEX(Unified_Matrix!$A:$ZZ,ROW(A213),MATCH("Req_Other",Unified_Matrix!$1:$1,0)),"")</f>
        <v/>
      </c>
    </row>
    <row r="217" hidden="1">
      <c r="J217" s="4">
        <f t="array" ref="J217">IFERROR(INDEX(Unified_Matrix!$A:$ZZ,ROW(A214),MATCH("Max "&amp;$J$9,Unified_Matrix!$1:$1,0)),"")</f>
        <v/>
      </c>
      <c r="K217" s="4">
        <f t="array" ref="K217">IFERROR(INDEX(Unified_Matrix!$A:$ZZ,ROW(A214),MATCH("Evolution_Name",Unified_Matrix!$1:$1,0)),"")</f>
        <v/>
      </c>
      <c r="L217" s="4">
        <f>IF(J217="","",IF(J217=0,"",IF(J217=$AB$28,1,IF(J217=$AB$29,2,IF(J217=$AB$30,3,"")))))</f>
        <v/>
      </c>
      <c r="M217" s="4">
        <f t="array" ref="M217">IFERROR(INDEX(Unified_Matrix!$A:$ZZ,ROW(A214),MATCH("+ OVR",Unified_Matrix!$1:$1,0)),"")</f>
        <v/>
      </c>
      <c r="N217" s="4">
        <f t="array" ref="N217">IFERROR(INDEX(Unified_Matrix!$A:$ZZ,ROW(A214),MATCH("Max OVR",Unified_Matrix!$1:$1,0)),"")</f>
        <v/>
      </c>
      <c r="O217" s="4">
        <f t="array" ref="O217">IFERROR(INDEX(Unified_Matrix!$A:$ZZ,ROW(A214),MATCH("Req_Position",Unified_Matrix!$1:$1,0)),"")</f>
        <v/>
      </c>
      <c r="P217" s="4">
        <f t="array" ref="P217">IFERROR(INDEX(Unified_Matrix!$A:$ZZ,ROW(A214),MATCH("Req_OVR_Max",Unified_Matrix!$1:$1,0)),"")</f>
        <v/>
      </c>
      <c r="Q217" s="4">
        <f t="array" ref="Q217">IFERROR(INDEX(Unified_Matrix!$A:$ZZ,ROW(A214),MATCH("Req_Other",Unified_Matrix!$1:$1,0)),"")</f>
        <v/>
      </c>
    </row>
    <row r="218" hidden="1">
      <c r="J218" s="4">
        <f t="array" ref="J218">IFERROR(INDEX(Unified_Matrix!$A:$ZZ,ROW(A215),MATCH("Max "&amp;$J$9,Unified_Matrix!$1:$1,0)),"")</f>
        <v/>
      </c>
      <c r="K218" s="4">
        <f t="array" ref="K218">IFERROR(INDEX(Unified_Matrix!$A:$ZZ,ROW(A215),MATCH("Evolution_Name",Unified_Matrix!$1:$1,0)),"")</f>
        <v/>
      </c>
      <c r="L218" s="4">
        <f>IF(J218="","",IF(J218=0,"",IF(J218=$AB$28,1,IF(J218=$AB$29,2,IF(J218=$AB$30,3,"")))))</f>
        <v/>
      </c>
      <c r="M218" s="4">
        <f t="array" ref="M218">IFERROR(INDEX(Unified_Matrix!$A:$ZZ,ROW(A215),MATCH("+ OVR",Unified_Matrix!$1:$1,0)),"")</f>
        <v/>
      </c>
      <c r="N218" s="4">
        <f t="array" ref="N218">IFERROR(INDEX(Unified_Matrix!$A:$ZZ,ROW(A215),MATCH("Max OVR",Unified_Matrix!$1:$1,0)),"")</f>
        <v/>
      </c>
      <c r="O218" s="4">
        <f t="array" ref="O218">IFERROR(INDEX(Unified_Matrix!$A:$ZZ,ROW(A215),MATCH("Req_Position",Unified_Matrix!$1:$1,0)),"")</f>
        <v/>
      </c>
      <c r="P218" s="4">
        <f t="array" ref="P218">IFERROR(INDEX(Unified_Matrix!$A:$ZZ,ROW(A215),MATCH("Req_OVR_Max",Unified_Matrix!$1:$1,0)),"")</f>
        <v/>
      </c>
      <c r="Q218" s="4">
        <f t="array" ref="Q218">IFERROR(INDEX(Unified_Matrix!$A:$ZZ,ROW(A215),MATCH("Req_Other",Unified_Matrix!$1:$1,0)),"")</f>
        <v/>
      </c>
    </row>
    <row r="219" hidden="1">
      <c r="J219" s="4">
        <f t="array" ref="J219">IFERROR(INDEX(Unified_Matrix!$A:$ZZ,ROW(A216),MATCH("Max "&amp;$J$9,Unified_Matrix!$1:$1,0)),"")</f>
        <v/>
      </c>
      <c r="K219" s="4">
        <f t="array" ref="K219">IFERROR(INDEX(Unified_Matrix!$A:$ZZ,ROW(A216),MATCH("Evolution_Name",Unified_Matrix!$1:$1,0)),"")</f>
        <v/>
      </c>
      <c r="L219" s="4">
        <f>IF(J219="","",IF(J219=0,"",IF(J219=$AB$28,1,IF(J219=$AB$29,2,IF(J219=$AB$30,3,"")))))</f>
        <v/>
      </c>
      <c r="M219" s="4">
        <f t="array" ref="M219">IFERROR(INDEX(Unified_Matrix!$A:$ZZ,ROW(A216),MATCH("+ OVR",Unified_Matrix!$1:$1,0)),"")</f>
        <v/>
      </c>
      <c r="N219" s="4">
        <f t="array" ref="N219">IFERROR(INDEX(Unified_Matrix!$A:$ZZ,ROW(A216),MATCH("Max OVR",Unified_Matrix!$1:$1,0)),"")</f>
        <v/>
      </c>
      <c r="O219" s="4">
        <f t="array" ref="O219">IFERROR(INDEX(Unified_Matrix!$A:$ZZ,ROW(A216),MATCH("Req_Position",Unified_Matrix!$1:$1,0)),"")</f>
        <v/>
      </c>
      <c r="P219" s="4">
        <f t="array" ref="P219">IFERROR(INDEX(Unified_Matrix!$A:$ZZ,ROW(A216),MATCH("Req_OVR_Max",Unified_Matrix!$1:$1,0)),"")</f>
        <v/>
      </c>
      <c r="Q219" s="4">
        <f t="array" ref="Q219">IFERROR(INDEX(Unified_Matrix!$A:$ZZ,ROW(A216),MATCH("Req_Other",Unified_Matrix!$1:$1,0)),"")</f>
        <v/>
      </c>
    </row>
    <row r="220" hidden="1">
      <c r="J220" s="4">
        <f t="array" ref="J220">IFERROR(INDEX(Unified_Matrix!$A:$ZZ,ROW(A217),MATCH("Max "&amp;$J$9,Unified_Matrix!$1:$1,0)),"")</f>
        <v/>
      </c>
      <c r="K220" s="4">
        <f t="array" ref="K220">IFERROR(INDEX(Unified_Matrix!$A:$ZZ,ROW(A217),MATCH("Evolution_Name",Unified_Matrix!$1:$1,0)),"")</f>
        <v/>
      </c>
      <c r="L220" s="4">
        <f>IF(J220="","",IF(J220=0,"",IF(J220=$AB$28,1,IF(J220=$AB$29,2,IF(J220=$AB$30,3,"")))))</f>
        <v/>
      </c>
      <c r="M220" s="4">
        <f t="array" ref="M220">IFERROR(INDEX(Unified_Matrix!$A:$ZZ,ROW(A217),MATCH("+ OVR",Unified_Matrix!$1:$1,0)),"")</f>
        <v/>
      </c>
      <c r="N220" s="4">
        <f t="array" ref="N220">IFERROR(INDEX(Unified_Matrix!$A:$ZZ,ROW(A217),MATCH("Max OVR",Unified_Matrix!$1:$1,0)),"")</f>
        <v/>
      </c>
      <c r="O220" s="4">
        <f t="array" ref="O220">IFERROR(INDEX(Unified_Matrix!$A:$ZZ,ROW(A217),MATCH("Req_Position",Unified_Matrix!$1:$1,0)),"")</f>
        <v/>
      </c>
      <c r="P220" s="4">
        <f t="array" ref="P220">IFERROR(INDEX(Unified_Matrix!$A:$ZZ,ROW(A217),MATCH("Req_OVR_Max",Unified_Matrix!$1:$1,0)),"")</f>
        <v/>
      </c>
      <c r="Q220" s="4">
        <f t="array" ref="Q220">IFERROR(INDEX(Unified_Matrix!$A:$ZZ,ROW(A217),MATCH("Req_Other",Unified_Matrix!$1:$1,0)),"")</f>
        <v/>
      </c>
    </row>
    <row r="221" hidden="1">
      <c r="J221" s="4">
        <f t="array" ref="J221">IFERROR(INDEX(Unified_Matrix!$A:$ZZ,ROW(A218),MATCH("Max "&amp;$J$9,Unified_Matrix!$1:$1,0)),"")</f>
        <v/>
      </c>
      <c r="K221" s="4">
        <f t="array" ref="K221">IFERROR(INDEX(Unified_Matrix!$A:$ZZ,ROW(A218),MATCH("Evolution_Name",Unified_Matrix!$1:$1,0)),"")</f>
        <v/>
      </c>
      <c r="L221" s="4">
        <f>IF(J221="","",IF(J221=0,"",IF(J221=$AB$28,1,IF(J221=$AB$29,2,IF(J221=$AB$30,3,"")))))</f>
        <v/>
      </c>
      <c r="M221" s="4">
        <f t="array" ref="M221">IFERROR(INDEX(Unified_Matrix!$A:$ZZ,ROW(A218),MATCH("+ OVR",Unified_Matrix!$1:$1,0)),"")</f>
        <v/>
      </c>
      <c r="N221" s="4">
        <f t="array" ref="N221">IFERROR(INDEX(Unified_Matrix!$A:$ZZ,ROW(A218),MATCH("Max OVR",Unified_Matrix!$1:$1,0)),"")</f>
        <v/>
      </c>
      <c r="O221" s="4">
        <f t="array" ref="O221">IFERROR(INDEX(Unified_Matrix!$A:$ZZ,ROW(A218),MATCH("Req_Position",Unified_Matrix!$1:$1,0)),"")</f>
        <v/>
      </c>
      <c r="P221" s="4">
        <f t="array" ref="P221">IFERROR(INDEX(Unified_Matrix!$A:$ZZ,ROW(A218),MATCH("Req_OVR_Max",Unified_Matrix!$1:$1,0)),"")</f>
        <v/>
      </c>
      <c r="Q221" s="4">
        <f t="array" ref="Q221">IFERROR(INDEX(Unified_Matrix!$A:$ZZ,ROW(A218),MATCH("Req_Other",Unified_Matrix!$1:$1,0)),"")</f>
        <v/>
      </c>
    </row>
    <row r="222" hidden="1">
      <c r="J222" s="4">
        <f t="array" ref="J222">IFERROR(INDEX(Unified_Matrix!$A:$ZZ,ROW(A219),MATCH("Max "&amp;$J$9,Unified_Matrix!$1:$1,0)),"")</f>
        <v/>
      </c>
      <c r="K222" s="4">
        <f t="array" ref="K222">IFERROR(INDEX(Unified_Matrix!$A:$ZZ,ROW(A219),MATCH("Evolution_Name",Unified_Matrix!$1:$1,0)),"")</f>
        <v/>
      </c>
      <c r="L222" s="4">
        <f>IF(J222="","",IF(J222=0,"",IF(J222=$AB$28,1,IF(J222=$AB$29,2,IF(J222=$AB$30,3,"")))))</f>
        <v/>
      </c>
      <c r="M222" s="4">
        <f t="array" ref="M222">IFERROR(INDEX(Unified_Matrix!$A:$ZZ,ROW(A219),MATCH("+ OVR",Unified_Matrix!$1:$1,0)),"")</f>
        <v/>
      </c>
      <c r="N222" s="4">
        <f t="array" ref="N222">IFERROR(INDEX(Unified_Matrix!$A:$ZZ,ROW(A219),MATCH("Max OVR",Unified_Matrix!$1:$1,0)),"")</f>
        <v/>
      </c>
      <c r="O222" s="4">
        <f t="array" ref="O222">IFERROR(INDEX(Unified_Matrix!$A:$ZZ,ROW(A219),MATCH("Req_Position",Unified_Matrix!$1:$1,0)),"")</f>
        <v/>
      </c>
      <c r="P222" s="4">
        <f t="array" ref="P222">IFERROR(INDEX(Unified_Matrix!$A:$ZZ,ROW(A219),MATCH("Req_OVR_Max",Unified_Matrix!$1:$1,0)),"")</f>
        <v/>
      </c>
      <c r="Q222" s="4">
        <f t="array" ref="Q222">IFERROR(INDEX(Unified_Matrix!$A:$ZZ,ROW(A219),MATCH("Req_Other",Unified_Matrix!$1:$1,0)),"")</f>
        <v/>
      </c>
    </row>
    <row r="223" hidden="1">
      <c r="J223" s="4">
        <f t="array" ref="J223">IFERROR(INDEX(Unified_Matrix!$A:$ZZ,ROW(A220),MATCH("Max "&amp;$J$9,Unified_Matrix!$1:$1,0)),"")</f>
        <v/>
      </c>
      <c r="K223" s="4">
        <f t="array" ref="K223">IFERROR(INDEX(Unified_Matrix!$A:$ZZ,ROW(A220),MATCH("Evolution_Name",Unified_Matrix!$1:$1,0)),"")</f>
        <v/>
      </c>
      <c r="L223" s="4">
        <f>IF(J223="","",IF(J223=0,"",IF(J223=$AB$28,1,IF(J223=$AB$29,2,IF(J223=$AB$30,3,"")))))</f>
        <v/>
      </c>
      <c r="M223" s="4">
        <f t="array" ref="M223">IFERROR(INDEX(Unified_Matrix!$A:$ZZ,ROW(A220),MATCH("+ OVR",Unified_Matrix!$1:$1,0)),"")</f>
        <v/>
      </c>
      <c r="N223" s="4">
        <f t="array" ref="N223">IFERROR(INDEX(Unified_Matrix!$A:$ZZ,ROW(A220),MATCH("Max OVR",Unified_Matrix!$1:$1,0)),"")</f>
        <v/>
      </c>
      <c r="O223" s="4">
        <f t="array" ref="O223">IFERROR(INDEX(Unified_Matrix!$A:$ZZ,ROW(A220),MATCH("Req_Position",Unified_Matrix!$1:$1,0)),"")</f>
        <v/>
      </c>
      <c r="P223" s="4">
        <f t="array" ref="P223">IFERROR(INDEX(Unified_Matrix!$A:$ZZ,ROW(A220),MATCH("Req_OVR_Max",Unified_Matrix!$1:$1,0)),"")</f>
        <v/>
      </c>
      <c r="Q223" s="4">
        <f t="array" ref="Q223">IFERROR(INDEX(Unified_Matrix!$A:$ZZ,ROW(A220),MATCH("Req_Other",Unified_Matrix!$1:$1,0)),"")</f>
        <v/>
      </c>
    </row>
    <row r="224" hidden="1">
      <c r="J224" s="4">
        <f t="array" ref="J224">IFERROR(INDEX(Unified_Matrix!$A:$ZZ,ROW(A221),MATCH("Max "&amp;$J$9,Unified_Matrix!$1:$1,0)),"")</f>
        <v/>
      </c>
      <c r="K224" s="4">
        <f t="array" ref="K224">IFERROR(INDEX(Unified_Matrix!$A:$ZZ,ROW(A221),MATCH("Evolution_Name",Unified_Matrix!$1:$1,0)),"")</f>
        <v/>
      </c>
      <c r="L224" s="4">
        <f>IF(J224="","",IF(J224=0,"",IF(J224=$AB$28,1,IF(J224=$AB$29,2,IF(J224=$AB$30,3,"")))))</f>
        <v/>
      </c>
      <c r="M224" s="4">
        <f t="array" ref="M224">IFERROR(INDEX(Unified_Matrix!$A:$ZZ,ROW(A221),MATCH("+ OVR",Unified_Matrix!$1:$1,0)),"")</f>
        <v/>
      </c>
      <c r="N224" s="4">
        <f t="array" ref="N224">IFERROR(INDEX(Unified_Matrix!$A:$ZZ,ROW(A221),MATCH("Max OVR",Unified_Matrix!$1:$1,0)),"")</f>
        <v/>
      </c>
      <c r="O224" s="4">
        <f t="array" ref="O224">IFERROR(INDEX(Unified_Matrix!$A:$ZZ,ROW(A221),MATCH("Req_Position",Unified_Matrix!$1:$1,0)),"")</f>
        <v/>
      </c>
      <c r="P224" s="4">
        <f t="array" ref="P224">IFERROR(INDEX(Unified_Matrix!$A:$ZZ,ROW(A221),MATCH("Req_OVR_Max",Unified_Matrix!$1:$1,0)),"")</f>
        <v/>
      </c>
      <c r="Q224" s="4">
        <f t="array" ref="Q224">IFERROR(INDEX(Unified_Matrix!$A:$ZZ,ROW(A221),MATCH("Req_Other",Unified_Matrix!$1:$1,0)),"")</f>
        <v/>
      </c>
    </row>
    <row r="225" hidden="1">
      <c r="J225" s="4">
        <f t="array" ref="J225">IFERROR(INDEX(Unified_Matrix!$A:$ZZ,ROW(A222),MATCH("Max "&amp;$J$9,Unified_Matrix!$1:$1,0)),"")</f>
        <v/>
      </c>
      <c r="K225" s="4">
        <f t="array" ref="K225">IFERROR(INDEX(Unified_Matrix!$A:$ZZ,ROW(A222),MATCH("Evolution_Name",Unified_Matrix!$1:$1,0)),"")</f>
        <v/>
      </c>
      <c r="L225" s="4">
        <f>IF(J225="","",IF(J225=0,"",IF(J225=$AB$28,1,IF(J225=$AB$29,2,IF(J225=$AB$30,3,"")))))</f>
        <v/>
      </c>
      <c r="M225" s="4">
        <f t="array" ref="M225">IFERROR(INDEX(Unified_Matrix!$A:$ZZ,ROW(A222),MATCH("+ OVR",Unified_Matrix!$1:$1,0)),"")</f>
        <v/>
      </c>
      <c r="N225" s="4">
        <f t="array" ref="N225">IFERROR(INDEX(Unified_Matrix!$A:$ZZ,ROW(A222),MATCH("Max OVR",Unified_Matrix!$1:$1,0)),"")</f>
        <v/>
      </c>
      <c r="O225" s="4">
        <f t="array" ref="O225">IFERROR(INDEX(Unified_Matrix!$A:$ZZ,ROW(A222),MATCH("Req_Position",Unified_Matrix!$1:$1,0)),"")</f>
        <v/>
      </c>
      <c r="P225" s="4">
        <f t="array" ref="P225">IFERROR(INDEX(Unified_Matrix!$A:$ZZ,ROW(A222),MATCH("Req_OVR_Max",Unified_Matrix!$1:$1,0)),"")</f>
        <v/>
      </c>
      <c r="Q225" s="4">
        <f t="array" ref="Q225">IFERROR(INDEX(Unified_Matrix!$A:$ZZ,ROW(A222),MATCH("Req_Other",Unified_Matrix!$1:$1,0)),"")</f>
        <v/>
      </c>
    </row>
    <row r="226" hidden="1">
      <c r="J226" s="4">
        <f t="array" ref="J226">IFERROR(INDEX(Unified_Matrix!$A:$ZZ,ROW(A223),MATCH("Max "&amp;$J$9,Unified_Matrix!$1:$1,0)),"")</f>
        <v/>
      </c>
      <c r="K226" s="4">
        <f t="array" ref="K226">IFERROR(INDEX(Unified_Matrix!$A:$ZZ,ROW(A223),MATCH("Evolution_Name",Unified_Matrix!$1:$1,0)),"")</f>
        <v/>
      </c>
      <c r="L226" s="4">
        <f>IF(J226="","",IF(J226=0,"",IF(J226=$AB$28,1,IF(J226=$AB$29,2,IF(J226=$AB$30,3,"")))))</f>
        <v/>
      </c>
      <c r="M226" s="4">
        <f t="array" ref="M226">IFERROR(INDEX(Unified_Matrix!$A:$ZZ,ROW(A223),MATCH("+ OVR",Unified_Matrix!$1:$1,0)),"")</f>
        <v/>
      </c>
      <c r="N226" s="4">
        <f t="array" ref="N226">IFERROR(INDEX(Unified_Matrix!$A:$ZZ,ROW(A223),MATCH("Max OVR",Unified_Matrix!$1:$1,0)),"")</f>
        <v/>
      </c>
      <c r="O226" s="4">
        <f t="array" ref="O226">IFERROR(INDEX(Unified_Matrix!$A:$ZZ,ROW(A223),MATCH("Req_Position",Unified_Matrix!$1:$1,0)),"")</f>
        <v/>
      </c>
      <c r="P226" s="4">
        <f t="array" ref="P226">IFERROR(INDEX(Unified_Matrix!$A:$ZZ,ROW(A223),MATCH("Req_OVR_Max",Unified_Matrix!$1:$1,0)),"")</f>
        <v/>
      </c>
      <c r="Q226" s="4">
        <f t="array" ref="Q226">IFERROR(INDEX(Unified_Matrix!$A:$ZZ,ROW(A223),MATCH("Req_Other",Unified_Matrix!$1:$1,0)),"")</f>
        <v/>
      </c>
    </row>
    <row r="227" hidden="1">
      <c r="J227" s="4">
        <f t="array" ref="J227">IFERROR(INDEX(Unified_Matrix!$A:$ZZ,ROW(A224),MATCH("Max "&amp;$J$9,Unified_Matrix!$1:$1,0)),"")</f>
        <v/>
      </c>
      <c r="K227" s="4">
        <f t="array" ref="K227">IFERROR(INDEX(Unified_Matrix!$A:$ZZ,ROW(A224),MATCH("Evolution_Name",Unified_Matrix!$1:$1,0)),"")</f>
        <v/>
      </c>
      <c r="L227" s="4">
        <f>IF(J227="","",IF(J227=0,"",IF(J227=$AB$28,1,IF(J227=$AB$29,2,IF(J227=$AB$30,3,"")))))</f>
        <v/>
      </c>
      <c r="M227" s="4">
        <f t="array" ref="M227">IFERROR(INDEX(Unified_Matrix!$A:$ZZ,ROW(A224),MATCH("+ OVR",Unified_Matrix!$1:$1,0)),"")</f>
        <v/>
      </c>
      <c r="N227" s="4">
        <f t="array" ref="N227">IFERROR(INDEX(Unified_Matrix!$A:$ZZ,ROW(A224),MATCH("Max OVR",Unified_Matrix!$1:$1,0)),"")</f>
        <v/>
      </c>
      <c r="O227" s="4">
        <f t="array" ref="O227">IFERROR(INDEX(Unified_Matrix!$A:$ZZ,ROW(A224),MATCH("Req_Position",Unified_Matrix!$1:$1,0)),"")</f>
        <v/>
      </c>
      <c r="P227" s="4">
        <f t="array" ref="P227">IFERROR(INDEX(Unified_Matrix!$A:$ZZ,ROW(A224),MATCH("Req_OVR_Max",Unified_Matrix!$1:$1,0)),"")</f>
        <v/>
      </c>
      <c r="Q227" s="4">
        <f t="array" ref="Q227">IFERROR(INDEX(Unified_Matrix!$A:$ZZ,ROW(A224),MATCH("Req_Other",Unified_Matrix!$1:$1,0)),"")</f>
        <v/>
      </c>
    </row>
    <row r="228" hidden="1">
      <c r="J228" s="4">
        <f t="array" ref="J228">IFERROR(INDEX(Unified_Matrix!$A:$ZZ,ROW(A225),MATCH("Max "&amp;$J$9,Unified_Matrix!$1:$1,0)),"")</f>
        <v/>
      </c>
      <c r="K228" s="4">
        <f t="array" ref="K228">IFERROR(INDEX(Unified_Matrix!$A:$ZZ,ROW(A225),MATCH("Evolution_Name",Unified_Matrix!$1:$1,0)),"")</f>
        <v/>
      </c>
      <c r="L228" s="4">
        <f>IF(J228="","",IF(J228=0,"",IF(J228=$AB$28,1,IF(J228=$AB$29,2,IF(J228=$AB$30,3,"")))))</f>
        <v/>
      </c>
      <c r="M228" s="4">
        <f t="array" ref="M228">IFERROR(INDEX(Unified_Matrix!$A:$ZZ,ROW(A225),MATCH("+ OVR",Unified_Matrix!$1:$1,0)),"")</f>
        <v/>
      </c>
      <c r="N228" s="4">
        <f t="array" ref="N228">IFERROR(INDEX(Unified_Matrix!$A:$ZZ,ROW(A225),MATCH("Max OVR",Unified_Matrix!$1:$1,0)),"")</f>
        <v/>
      </c>
      <c r="O228" s="4">
        <f t="array" ref="O228">IFERROR(INDEX(Unified_Matrix!$A:$ZZ,ROW(A225),MATCH("Req_Position",Unified_Matrix!$1:$1,0)),"")</f>
        <v/>
      </c>
      <c r="P228" s="4">
        <f t="array" ref="P228">IFERROR(INDEX(Unified_Matrix!$A:$ZZ,ROW(A225),MATCH("Req_OVR_Max",Unified_Matrix!$1:$1,0)),"")</f>
        <v/>
      </c>
      <c r="Q228" s="4">
        <f t="array" ref="Q228">IFERROR(INDEX(Unified_Matrix!$A:$ZZ,ROW(A225),MATCH("Req_Other",Unified_Matrix!$1:$1,0)),"")</f>
        <v/>
      </c>
    </row>
    <row r="229" hidden="1">
      <c r="J229" s="4">
        <f t="array" ref="J229">IFERROR(INDEX(Unified_Matrix!$A:$ZZ,ROW(A226),MATCH("Max "&amp;$J$9,Unified_Matrix!$1:$1,0)),"")</f>
        <v/>
      </c>
      <c r="K229" s="4">
        <f t="array" ref="K229">IFERROR(INDEX(Unified_Matrix!$A:$ZZ,ROW(A226),MATCH("Evolution_Name",Unified_Matrix!$1:$1,0)),"")</f>
        <v/>
      </c>
      <c r="L229" s="4">
        <f>IF(J229="","",IF(J229=0,"",IF(J229=$AB$28,1,IF(J229=$AB$29,2,IF(J229=$AB$30,3,"")))))</f>
        <v/>
      </c>
      <c r="M229" s="4">
        <f t="array" ref="M229">IFERROR(INDEX(Unified_Matrix!$A:$ZZ,ROW(A226),MATCH("+ OVR",Unified_Matrix!$1:$1,0)),"")</f>
        <v/>
      </c>
      <c r="N229" s="4">
        <f t="array" ref="N229">IFERROR(INDEX(Unified_Matrix!$A:$ZZ,ROW(A226),MATCH("Max OVR",Unified_Matrix!$1:$1,0)),"")</f>
        <v/>
      </c>
      <c r="O229" s="4">
        <f t="array" ref="O229">IFERROR(INDEX(Unified_Matrix!$A:$ZZ,ROW(A226),MATCH("Req_Position",Unified_Matrix!$1:$1,0)),"")</f>
        <v/>
      </c>
      <c r="P229" s="4">
        <f t="array" ref="P229">IFERROR(INDEX(Unified_Matrix!$A:$ZZ,ROW(A226),MATCH("Req_OVR_Max",Unified_Matrix!$1:$1,0)),"")</f>
        <v/>
      </c>
      <c r="Q229" s="4">
        <f t="array" ref="Q229">IFERROR(INDEX(Unified_Matrix!$A:$ZZ,ROW(A226),MATCH("Req_Other",Unified_Matrix!$1:$1,0)),"")</f>
        <v/>
      </c>
    </row>
    <row r="230" hidden="1">
      <c r="J230" s="4">
        <f t="array" ref="J230">IFERROR(INDEX(Unified_Matrix!$A:$ZZ,ROW(A227),MATCH("Max "&amp;$J$9,Unified_Matrix!$1:$1,0)),"")</f>
        <v/>
      </c>
      <c r="K230" s="4">
        <f t="array" ref="K230">IFERROR(INDEX(Unified_Matrix!$A:$ZZ,ROW(A227),MATCH("Evolution_Name",Unified_Matrix!$1:$1,0)),"")</f>
        <v/>
      </c>
      <c r="L230" s="4">
        <f>IF(J230="","",IF(J230=0,"",IF(J230=$AB$28,1,IF(J230=$AB$29,2,IF(J230=$AB$30,3,"")))))</f>
        <v/>
      </c>
      <c r="M230" s="4">
        <f t="array" ref="M230">IFERROR(INDEX(Unified_Matrix!$A:$ZZ,ROW(A227),MATCH("+ OVR",Unified_Matrix!$1:$1,0)),"")</f>
        <v/>
      </c>
      <c r="N230" s="4">
        <f t="array" ref="N230">IFERROR(INDEX(Unified_Matrix!$A:$ZZ,ROW(A227),MATCH("Max OVR",Unified_Matrix!$1:$1,0)),"")</f>
        <v/>
      </c>
      <c r="O230" s="4">
        <f t="array" ref="O230">IFERROR(INDEX(Unified_Matrix!$A:$ZZ,ROW(A227),MATCH("Req_Position",Unified_Matrix!$1:$1,0)),"")</f>
        <v/>
      </c>
      <c r="P230" s="4">
        <f t="array" ref="P230">IFERROR(INDEX(Unified_Matrix!$A:$ZZ,ROW(A227),MATCH("Req_OVR_Max",Unified_Matrix!$1:$1,0)),"")</f>
        <v/>
      </c>
      <c r="Q230" s="4">
        <f t="array" ref="Q230">IFERROR(INDEX(Unified_Matrix!$A:$ZZ,ROW(A227),MATCH("Req_Other",Unified_Matrix!$1:$1,0)),"")</f>
        <v/>
      </c>
    </row>
    <row r="231" hidden="1">
      <c r="J231" s="4">
        <f t="array" ref="J231">IFERROR(INDEX(Unified_Matrix!$A:$ZZ,ROW(A228),MATCH("Max "&amp;$J$9,Unified_Matrix!$1:$1,0)),"")</f>
        <v/>
      </c>
      <c r="K231" s="4">
        <f t="array" ref="K231">IFERROR(INDEX(Unified_Matrix!$A:$ZZ,ROW(A228),MATCH("Evolution_Name",Unified_Matrix!$1:$1,0)),"")</f>
        <v/>
      </c>
      <c r="L231" s="4">
        <f>IF(J231="","",IF(J231=0,"",IF(J231=$AB$28,1,IF(J231=$AB$29,2,IF(J231=$AB$30,3,"")))))</f>
        <v/>
      </c>
      <c r="M231" s="4">
        <f t="array" ref="M231">IFERROR(INDEX(Unified_Matrix!$A:$ZZ,ROW(A228),MATCH("+ OVR",Unified_Matrix!$1:$1,0)),"")</f>
        <v/>
      </c>
      <c r="N231" s="4">
        <f t="array" ref="N231">IFERROR(INDEX(Unified_Matrix!$A:$ZZ,ROW(A228),MATCH("Max OVR",Unified_Matrix!$1:$1,0)),"")</f>
        <v/>
      </c>
      <c r="O231" s="4">
        <f t="array" ref="O231">IFERROR(INDEX(Unified_Matrix!$A:$ZZ,ROW(A228),MATCH("Req_Position",Unified_Matrix!$1:$1,0)),"")</f>
        <v/>
      </c>
      <c r="P231" s="4">
        <f t="array" ref="P231">IFERROR(INDEX(Unified_Matrix!$A:$ZZ,ROW(A228),MATCH("Req_OVR_Max",Unified_Matrix!$1:$1,0)),"")</f>
        <v/>
      </c>
      <c r="Q231" s="4">
        <f t="array" ref="Q231">IFERROR(INDEX(Unified_Matrix!$A:$ZZ,ROW(A228),MATCH("Req_Other",Unified_Matrix!$1:$1,0)),"")</f>
        <v/>
      </c>
    </row>
    <row r="232" hidden="1">
      <c r="J232" s="4">
        <f t="array" ref="J232">IFERROR(INDEX(Unified_Matrix!$A:$ZZ,ROW(A229),MATCH("Max "&amp;$J$9,Unified_Matrix!$1:$1,0)),"")</f>
        <v/>
      </c>
      <c r="K232" s="4">
        <f t="array" ref="K232">IFERROR(INDEX(Unified_Matrix!$A:$ZZ,ROW(A229),MATCH("Evolution_Name",Unified_Matrix!$1:$1,0)),"")</f>
        <v/>
      </c>
      <c r="L232" s="4">
        <f>IF(J232="","",IF(J232=0,"",IF(J232=$AB$28,1,IF(J232=$AB$29,2,IF(J232=$AB$30,3,"")))))</f>
        <v/>
      </c>
      <c r="M232" s="4">
        <f t="array" ref="M232">IFERROR(INDEX(Unified_Matrix!$A:$ZZ,ROW(A229),MATCH("+ OVR",Unified_Matrix!$1:$1,0)),"")</f>
        <v/>
      </c>
      <c r="N232" s="4">
        <f t="array" ref="N232">IFERROR(INDEX(Unified_Matrix!$A:$ZZ,ROW(A229),MATCH("Max OVR",Unified_Matrix!$1:$1,0)),"")</f>
        <v/>
      </c>
      <c r="O232" s="4">
        <f t="array" ref="O232">IFERROR(INDEX(Unified_Matrix!$A:$ZZ,ROW(A229),MATCH("Req_Position",Unified_Matrix!$1:$1,0)),"")</f>
        <v/>
      </c>
      <c r="P232" s="4">
        <f t="array" ref="P232">IFERROR(INDEX(Unified_Matrix!$A:$ZZ,ROW(A229),MATCH("Req_OVR_Max",Unified_Matrix!$1:$1,0)),"")</f>
        <v/>
      </c>
      <c r="Q232" s="4">
        <f t="array" ref="Q232">IFERROR(INDEX(Unified_Matrix!$A:$ZZ,ROW(A229),MATCH("Req_Other",Unified_Matrix!$1:$1,0)),"")</f>
        <v/>
      </c>
    </row>
    <row r="233" hidden="1">
      <c r="J233" s="4">
        <f t="array" ref="J233">IFERROR(INDEX(Unified_Matrix!$A:$ZZ,ROW(A230),MATCH("Max "&amp;$J$9,Unified_Matrix!$1:$1,0)),"")</f>
        <v/>
      </c>
      <c r="K233" s="4">
        <f t="array" ref="K233">IFERROR(INDEX(Unified_Matrix!$A:$ZZ,ROW(A230),MATCH("Evolution_Name",Unified_Matrix!$1:$1,0)),"")</f>
        <v/>
      </c>
      <c r="L233" s="4">
        <f>IF(J233="","",IF(J233=0,"",IF(J233=$AB$28,1,IF(J233=$AB$29,2,IF(J233=$AB$30,3,"")))))</f>
        <v/>
      </c>
      <c r="M233" s="4">
        <f t="array" ref="M233">IFERROR(INDEX(Unified_Matrix!$A:$ZZ,ROW(A230),MATCH("+ OVR",Unified_Matrix!$1:$1,0)),"")</f>
        <v/>
      </c>
      <c r="N233" s="4">
        <f t="array" ref="N233">IFERROR(INDEX(Unified_Matrix!$A:$ZZ,ROW(A230),MATCH("Max OVR",Unified_Matrix!$1:$1,0)),"")</f>
        <v/>
      </c>
      <c r="O233" s="4">
        <f t="array" ref="O233">IFERROR(INDEX(Unified_Matrix!$A:$ZZ,ROW(A230),MATCH("Req_Position",Unified_Matrix!$1:$1,0)),"")</f>
        <v/>
      </c>
      <c r="P233" s="4">
        <f t="array" ref="P233">IFERROR(INDEX(Unified_Matrix!$A:$ZZ,ROW(A230),MATCH("Req_OVR_Max",Unified_Matrix!$1:$1,0)),"")</f>
        <v/>
      </c>
      <c r="Q233" s="4">
        <f t="array" ref="Q233">IFERROR(INDEX(Unified_Matrix!$A:$ZZ,ROW(A230),MATCH("Req_Other",Unified_Matrix!$1:$1,0)),"")</f>
        <v/>
      </c>
    </row>
    <row r="234" hidden="1">
      <c r="J234" s="4">
        <f t="array" ref="J234">IFERROR(INDEX(Unified_Matrix!$A:$ZZ,ROW(A231),MATCH("Max "&amp;$J$9,Unified_Matrix!$1:$1,0)),"")</f>
        <v/>
      </c>
      <c r="K234" s="4">
        <f t="array" ref="K234">IFERROR(INDEX(Unified_Matrix!$A:$ZZ,ROW(A231),MATCH("Evolution_Name",Unified_Matrix!$1:$1,0)),"")</f>
        <v/>
      </c>
      <c r="L234" s="4">
        <f>IF(J234="","",IF(J234=0,"",IF(J234=$AB$28,1,IF(J234=$AB$29,2,IF(J234=$AB$30,3,"")))))</f>
        <v/>
      </c>
      <c r="M234" s="4">
        <f t="array" ref="M234">IFERROR(INDEX(Unified_Matrix!$A:$ZZ,ROW(A231),MATCH("+ OVR",Unified_Matrix!$1:$1,0)),"")</f>
        <v/>
      </c>
      <c r="N234" s="4">
        <f t="array" ref="N234">IFERROR(INDEX(Unified_Matrix!$A:$ZZ,ROW(A231),MATCH("Max OVR",Unified_Matrix!$1:$1,0)),"")</f>
        <v/>
      </c>
      <c r="O234" s="4">
        <f t="array" ref="O234">IFERROR(INDEX(Unified_Matrix!$A:$ZZ,ROW(A231),MATCH("Req_Position",Unified_Matrix!$1:$1,0)),"")</f>
        <v/>
      </c>
      <c r="P234" s="4">
        <f t="array" ref="P234">IFERROR(INDEX(Unified_Matrix!$A:$ZZ,ROW(A231),MATCH("Req_OVR_Max",Unified_Matrix!$1:$1,0)),"")</f>
        <v/>
      </c>
      <c r="Q234" s="4">
        <f t="array" ref="Q234">IFERROR(INDEX(Unified_Matrix!$A:$ZZ,ROW(A231),MATCH("Req_Other",Unified_Matrix!$1:$1,0)),"")</f>
        <v/>
      </c>
    </row>
    <row r="235" hidden="1">
      <c r="J235" s="4">
        <f t="array" ref="J235">IFERROR(INDEX(Unified_Matrix!$A:$ZZ,ROW(A232),MATCH("Max "&amp;$J$9,Unified_Matrix!$1:$1,0)),"")</f>
        <v/>
      </c>
      <c r="K235" s="4">
        <f t="array" ref="K235">IFERROR(INDEX(Unified_Matrix!$A:$ZZ,ROW(A232),MATCH("Evolution_Name",Unified_Matrix!$1:$1,0)),"")</f>
        <v/>
      </c>
      <c r="L235" s="4">
        <f>IF(J235="","",IF(J235=0,"",IF(J235=$AB$28,1,IF(J235=$AB$29,2,IF(J235=$AB$30,3,"")))))</f>
        <v/>
      </c>
      <c r="M235" s="4">
        <f t="array" ref="M235">IFERROR(INDEX(Unified_Matrix!$A:$ZZ,ROW(A232),MATCH("+ OVR",Unified_Matrix!$1:$1,0)),"")</f>
        <v/>
      </c>
      <c r="N235" s="4">
        <f t="array" ref="N235">IFERROR(INDEX(Unified_Matrix!$A:$ZZ,ROW(A232),MATCH("Max OVR",Unified_Matrix!$1:$1,0)),"")</f>
        <v/>
      </c>
      <c r="O235" s="4">
        <f t="array" ref="O235">IFERROR(INDEX(Unified_Matrix!$A:$ZZ,ROW(A232),MATCH("Req_Position",Unified_Matrix!$1:$1,0)),"")</f>
        <v/>
      </c>
      <c r="P235" s="4">
        <f t="array" ref="P235">IFERROR(INDEX(Unified_Matrix!$A:$ZZ,ROW(A232),MATCH("Req_OVR_Max",Unified_Matrix!$1:$1,0)),"")</f>
        <v/>
      </c>
      <c r="Q235" s="4">
        <f t="array" ref="Q235">IFERROR(INDEX(Unified_Matrix!$A:$ZZ,ROW(A232),MATCH("Req_Other",Unified_Matrix!$1:$1,0)),"")</f>
        <v/>
      </c>
    </row>
    <row r="236" hidden="1">
      <c r="J236" s="4">
        <f t="array" ref="J236">IFERROR(INDEX(Unified_Matrix!$A:$ZZ,ROW(A233),MATCH("Max "&amp;$J$9,Unified_Matrix!$1:$1,0)),"")</f>
        <v/>
      </c>
      <c r="K236" s="4">
        <f t="array" ref="K236">IFERROR(INDEX(Unified_Matrix!$A:$ZZ,ROW(A233),MATCH("Evolution_Name",Unified_Matrix!$1:$1,0)),"")</f>
        <v/>
      </c>
      <c r="L236" s="4">
        <f>IF(J236="","",IF(J236=0,"",IF(J236=$AB$28,1,IF(J236=$AB$29,2,IF(J236=$AB$30,3,"")))))</f>
        <v/>
      </c>
      <c r="M236" s="4">
        <f t="array" ref="M236">IFERROR(INDEX(Unified_Matrix!$A:$ZZ,ROW(A233),MATCH("+ OVR",Unified_Matrix!$1:$1,0)),"")</f>
        <v/>
      </c>
      <c r="N236" s="4">
        <f t="array" ref="N236">IFERROR(INDEX(Unified_Matrix!$A:$ZZ,ROW(A233),MATCH("Max OVR",Unified_Matrix!$1:$1,0)),"")</f>
        <v/>
      </c>
      <c r="O236" s="4">
        <f t="array" ref="O236">IFERROR(INDEX(Unified_Matrix!$A:$ZZ,ROW(A233),MATCH("Req_Position",Unified_Matrix!$1:$1,0)),"")</f>
        <v/>
      </c>
      <c r="P236" s="4">
        <f t="array" ref="P236">IFERROR(INDEX(Unified_Matrix!$A:$ZZ,ROW(A233),MATCH("Req_OVR_Max",Unified_Matrix!$1:$1,0)),"")</f>
        <v/>
      </c>
      <c r="Q236" s="4">
        <f t="array" ref="Q236">IFERROR(INDEX(Unified_Matrix!$A:$ZZ,ROW(A233),MATCH("Req_Other",Unified_Matrix!$1:$1,0)),"")</f>
        <v/>
      </c>
    </row>
    <row r="237" hidden="1">
      <c r="J237" s="4">
        <f t="array" ref="J237">IFERROR(INDEX(Unified_Matrix!$A:$ZZ,ROW(A234),MATCH("Max "&amp;$J$9,Unified_Matrix!$1:$1,0)),"")</f>
        <v/>
      </c>
      <c r="K237" s="4">
        <f t="array" ref="K237">IFERROR(INDEX(Unified_Matrix!$A:$ZZ,ROW(A234),MATCH("Evolution_Name",Unified_Matrix!$1:$1,0)),"")</f>
        <v/>
      </c>
      <c r="L237" s="4">
        <f>IF(J237="","",IF(J237=0,"",IF(J237=$AB$28,1,IF(J237=$AB$29,2,IF(J237=$AB$30,3,"")))))</f>
        <v/>
      </c>
      <c r="M237" s="4">
        <f t="array" ref="M237">IFERROR(INDEX(Unified_Matrix!$A:$ZZ,ROW(A234),MATCH("+ OVR",Unified_Matrix!$1:$1,0)),"")</f>
        <v/>
      </c>
      <c r="N237" s="4">
        <f t="array" ref="N237">IFERROR(INDEX(Unified_Matrix!$A:$ZZ,ROW(A234),MATCH("Max OVR",Unified_Matrix!$1:$1,0)),"")</f>
        <v/>
      </c>
      <c r="O237" s="4">
        <f t="array" ref="O237">IFERROR(INDEX(Unified_Matrix!$A:$ZZ,ROW(A234),MATCH("Req_Position",Unified_Matrix!$1:$1,0)),"")</f>
        <v/>
      </c>
      <c r="P237" s="4">
        <f t="array" ref="P237">IFERROR(INDEX(Unified_Matrix!$A:$ZZ,ROW(A234),MATCH("Req_OVR_Max",Unified_Matrix!$1:$1,0)),"")</f>
        <v/>
      </c>
      <c r="Q237" s="4">
        <f t="array" ref="Q237">IFERROR(INDEX(Unified_Matrix!$A:$ZZ,ROW(A234),MATCH("Req_Other",Unified_Matrix!$1:$1,0)),"")</f>
        <v/>
      </c>
    </row>
    <row r="238" hidden="1">
      <c r="J238" s="4">
        <f t="array" ref="J238">IFERROR(INDEX(Unified_Matrix!$A:$ZZ,ROW(A235),MATCH("Max "&amp;$J$9,Unified_Matrix!$1:$1,0)),"")</f>
        <v/>
      </c>
      <c r="K238" s="4">
        <f t="array" ref="K238">IFERROR(INDEX(Unified_Matrix!$A:$ZZ,ROW(A235),MATCH("Evolution_Name",Unified_Matrix!$1:$1,0)),"")</f>
        <v/>
      </c>
      <c r="L238" s="4">
        <f>IF(J238="","",IF(J238=0,"",IF(J238=$AB$28,1,IF(J238=$AB$29,2,IF(J238=$AB$30,3,"")))))</f>
        <v/>
      </c>
      <c r="M238" s="4">
        <f t="array" ref="M238">IFERROR(INDEX(Unified_Matrix!$A:$ZZ,ROW(A235),MATCH("+ OVR",Unified_Matrix!$1:$1,0)),"")</f>
        <v/>
      </c>
      <c r="N238" s="4">
        <f t="array" ref="N238">IFERROR(INDEX(Unified_Matrix!$A:$ZZ,ROW(A235),MATCH("Max OVR",Unified_Matrix!$1:$1,0)),"")</f>
        <v/>
      </c>
      <c r="O238" s="4">
        <f t="array" ref="O238">IFERROR(INDEX(Unified_Matrix!$A:$ZZ,ROW(A235),MATCH("Req_Position",Unified_Matrix!$1:$1,0)),"")</f>
        <v/>
      </c>
      <c r="P238" s="4">
        <f t="array" ref="P238">IFERROR(INDEX(Unified_Matrix!$A:$ZZ,ROW(A235),MATCH("Req_OVR_Max",Unified_Matrix!$1:$1,0)),"")</f>
        <v/>
      </c>
      <c r="Q238" s="4">
        <f t="array" ref="Q238">IFERROR(INDEX(Unified_Matrix!$A:$ZZ,ROW(A235),MATCH("Req_Other",Unified_Matrix!$1:$1,0)),"")</f>
        <v/>
      </c>
    </row>
    <row r="239" hidden="1">
      <c r="J239" s="4">
        <f t="array" ref="J239">IFERROR(INDEX(Unified_Matrix!$A:$ZZ,ROW(A236),MATCH("Max "&amp;$J$9,Unified_Matrix!$1:$1,0)),"")</f>
        <v/>
      </c>
      <c r="K239" s="4">
        <f t="array" ref="K239">IFERROR(INDEX(Unified_Matrix!$A:$ZZ,ROW(A236),MATCH("Evolution_Name",Unified_Matrix!$1:$1,0)),"")</f>
        <v/>
      </c>
      <c r="L239" s="4">
        <f>IF(J239="","",IF(J239=0,"",IF(J239=$AB$28,1,IF(J239=$AB$29,2,IF(J239=$AB$30,3,"")))))</f>
        <v/>
      </c>
      <c r="M239" s="4">
        <f t="array" ref="M239">IFERROR(INDEX(Unified_Matrix!$A:$ZZ,ROW(A236),MATCH("+ OVR",Unified_Matrix!$1:$1,0)),"")</f>
        <v/>
      </c>
      <c r="N239" s="4">
        <f t="array" ref="N239">IFERROR(INDEX(Unified_Matrix!$A:$ZZ,ROW(A236),MATCH("Max OVR",Unified_Matrix!$1:$1,0)),"")</f>
        <v/>
      </c>
      <c r="O239" s="4">
        <f t="array" ref="O239">IFERROR(INDEX(Unified_Matrix!$A:$ZZ,ROW(A236),MATCH("Req_Position",Unified_Matrix!$1:$1,0)),"")</f>
        <v/>
      </c>
      <c r="P239" s="4">
        <f t="array" ref="P239">IFERROR(INDEX(Unified_Matrix!$A:$ZZ,ROW(A236),MATCH("Req_OVR_Max",Unified_Matrix!$1:$1,0)),"")</f>
        <v/>
      </c>
      <c r="Q239" s="4">
        <f t="array" ref="Q239">IFERROR(INDEX(Unified_Matrix!$A:$ZZ,ROW(A236),MATCH("Req_Other",Unified_Matrix!$1:$1,0)),"")</f>
        <v/>
      </c>
    </row>
    <row r="240" hidden="1">
      <c r="J240" s="4">
        <f t="array" ref="J240">IFERROR(INDEX(Unified_Matrix!$A:$ZZ,ROW(A237),MATCH("Max "&amp;$J$9,Unified_Matrix!$1:$1,0)),"")</f>
        <v/>
      </c>
      <c r="K240" s="4">
        <f t="array" ref="K240">IFERROR(INDEX(Unified_Matrix!$A:$ZZ,ROW(A237),MATCH("Evolution_Name",Unified_Matrix!$1:$1,0)),"")</f>
        <v/>
      </c>
      <c r="L240" s="4">
        <f>IF(J240="","",IF(J240=0,"",IF(J240=$AB$28,1,IF(J240=$AB$29,2,IF(J240=$AB$30,3,"")))))</f>
        <v/>
      </c>
      <c r="M240" s="4">
        <f t="array" ref="M240">IFERROR(INDEX(Unified_Matrix!$A:$ZZ,ROW(A237),MATCH("+ OVR",Unified_Matrix!$1:$1,0)),"")</f>
        <v/>
      </c>
      <c r="N240" s="4">
        <f t="array" ref="N240">IFERROR(INDEX(Unified_Matrix!$A:$ZZ,ROW(A237),MATCH("Max OVR",Unified_Matrix!$1:$1,0)),"")</f>
        <v/>
      </c>
      <c r="O240" s="4">
        <f t="array" ref="O240">IFERROR(INDEX(Unified_Matrix!$A:$ZZ,ROW(A237),MATCH("Req_Position",Unified_Matrix!$1:$1,0)),"")</f>
        <v/>
      </c>
      <c r="P240" s="4">
        <f t="array" ref="P240">IFERROR(INDEX(Unified_Matrix!$A:$ZZ,ROW(A237),MATCH("Req_OVR_Max",Unified_Matrix!$1:$1,0)),"")</f>
        <v/>
      </c>
      <c r="Q240" s="4">
        <f t="array" ref="Q240">IFERROR(INDEX(Unified_Matrix!$A:$ZZ,ROW(A237),MATCH("Req_Other",Unified_Matrix!$1:$1,0)),"")</f>
        <v/>
      </c>
    </row>
    <row r="241" hidden="1">
      <c r="J241" s="4">
        <f t="array" ref="J241">IFERROR(INDEX(Unified_Matrix!$A:$ZZ,ROW(A238),MATCH("Max "&amp;$J$9,Unified_Matrix!$1:$1,0)),"")</f>
        <v/>
      </c>
      <c r="K241" s="4">
        <f t="array" ref="K241">IFERROR(INDEX(Unified_Matrix!$A:$ZZ,ROW(A238),MATCH("Evolution_Name",Unified_Matrix!$1:$1,0)),"")</f>
        <v/>
      </c>
      <c r="L241" s="4">
        <f>IF(J241="","",IF(J241=0,"",IF(J241=$AB$28,1,IF(J241=$AB$29,2,IF(J241=$AB$30,3,"")))))</f>
        <v/>
      </c>
      <c r="M241" s="4">
        <f t="array" ref="M241">IFERROR(INDEX(Unified_Matrix!$A:$ZZ,ROW(A238),MATCH("+ OVR",Unified_Matrix!$1:$1,0)),"")</f>
        <v/>
      </c>
      <c r="N241" s="4">
        <f t="array" ref="N241">IFERROR(INDEX(Unified_Matrix!$A:$ZZ,ROW(A238),MATCH("Max OVR",Unified_Matrix!$1:$1,0)),"")</f>
        <v/>
      </c>
      <c r="O241" s="4">
        <f t="array" ref="O241">IFERROR(INDEX(Unified_Matrix!$A:$ZZ,ROW(A238),MATCH("Req_Position",Unified_Matrix!$1:$1,0)),"")</f>
        <v/>
      </c>
      <c r="P241" s="4">
        <f t="array" ref="P241">IFERROR(INDEX(Unified_Matrix!$A:$ZZ,ROW(A238),MATCH("Req_OVR_Max",Unified_Matrix!$1:$1,0)),"")</f>
        <v/>
      </c>
      <c r="Q241" s="4">
        <f t="array" ref="Q241">IFERROR(INDEX(Unified_Matrix!$A:$ZZ,ROW(A238),MATCH("Req_Other",Unified_Matrix!$1:$1,0)),"")</f>
        <v/>
      </c>
    </row>
    <row r="242" hidden="1">
      <c r="J242" s="4">
        <f t="array" ref="J242">IFERROR(INDEX(Unified_Matrix!$A:$ZZ,ROW(A239),MATCH("Max "&amp;$J$9,Unified_Matrix!$1:$1,0)),"")</f>
        <v/>
      </c>
      <c r="K242" s="4">
        <f t="array" ref="K242">IFERROR(INDEX(Unified_Matrix!$A:$ZZ,ROW(A239),MATCH("Evolution_Name",Unified_Matrix!$1:$1,0)),"")</f>
        <v/>
      </c>
      <c r="L242" s="4">
        <f>IF(J242="","",IF(J242=0,"",IF(J242=$AB$28,1,IF(J242=$AB$29,2,IF(J242=$AB$30,3,"")))))</f>
        <v/>
      </c>
      <c r="M242" s="4">
        <f t="array" ref="M242">IFERROR(INDEX(Unified_Matrix!$A:$ZZ,ROW(A239),MATCH("+ OVR",Unified_Matrix!$1:$1,0)),"")</f>
        <v/>
      </c>
      <c r="N242" s="4">
        <f t="array" ref="N242">IFERROR(INDEX(Unified_Matrix!$A:$ZZ,ROW(A239),MATCH("Max OVR",Unified_Matrix!$1:$1,0)),"")</f>
        <v/>
      </c>
      <c r="O242" s="4">
        <f t="array" ref="O242">IFERROR(INDEX(Unified_Matrix!$A:$ZZ,ROW(A239),MATCH("Req_Position",Unified_Matrix!$1:$1,0)),"")</f>
        <v/>
      </c>
      <c r="P242" s="4">
        <f t="array" ref="P242">IFERROR(INDEX(Unified_Matrix!$A:$ZZ,ROW(A239),MATCH("Req_OVR_Max",Unified_Matrix!$1:$1,0)),"")</f>
        <v/>
      </c>
      <c r="Q242" s="4">
        <f t="array" ref="Q242">IFERROR(INDEX(Unified_Matrix!$A:$ZZ,ROW(A239),MATCH("Req_Other",Unified_Matrix!$1:$1,0)),"")</f>
        <v/>
      </c>
    </row>
    <row r="243" hidden="1">
      <c r="J243" s="4">
        <f t="array" ref="J243">IFERROR(INDEX(Unified_Matrix!$A:$ZZ,ROW(A240),MATCH("Max "&amp;$J$9,Unified_Matrix!$1:$1,0)),"")</f>
        <v/>
      </c>
      <c r="K243" s="4">
        <f t="array" ref="K243">IFERROR(INDEX(Unified_Matrix!$A:$ZZ,ROW(A240),MATCH("Evolution_Name",Unified_Matrix!$1:$1,0)),"")</f>
        <v/>
      </c>
      <c r="L243" s="4">
        <f>IF(J243="","",IF(J243=0,"",IF(J243=$AB$28,1,IF(J243=$AB$29,2,IF(J243=$AB$30,3,"")))))</f>
        <v/>
      </c>
      <c r="M243" s="4">
        <f t="array" ref="M243">IFERROR(INDEX(Unified_Matrix!$A:$ZZ,ROW(A240),MATCH("+ OVR",Unified_Matrix!$1:$1,0)),"")</f>
        <v/>
      </c>
      <c r="N243" s="4">
        <f t="array" ref="N243">IFERROR(INDEX(Unified_Matrix!$A:$ZZ,ROW(A240),MATCH("Max OVR",Unified_Matrix!$1:$1,0)),"")</f>
        <v/>
      </c>
      <c r="O243" s="4">
        <f t="array" ref="O243">IFERROR(INDEX(Unified_Matrix!$A:$ZZ,ROW(A240),MATCH("Req_Position",Unified_Matrix!$1:$1,0)),"")</f>
        <v/>
      </c>
      <c r="P243" s="4">
        <f t="array" ref="P243">IFERROR(INDEX(Unified_Matrix!$A:$ZZ,ROW(A240),MATCH("Req_OVR_Max",Unified_Matrix!$1:$1,0)),"")</f>
        <v/>
      </c>
      <c r="Q243" s="4">
        <f t="array" ref="Q243">IFERROR(INDEX(Unified_Matrix!$A:$ZZ,ROW(A240),MATCH("Req_Other",Unified_Matrix!$1:$1,0)),"")</f>
        <v/>
      </c>
    </row>
    <row r="244" hidden="1">
      <c r="J244" s="4">
        <f t="array" ref="J244">IFERROR(INDEX(Unified_Matrix!$A:$ZZ,ROW(A241),MATCH("Max "&amp;$J$9,Unified_Matrix!$1:$1,0)),"")</f>
        <v/>
      </c>
      <c r="K244" s="4">
        <f t="array" ref="K244">IFERROR(INDEX(Unified_Matrix!$A:$ZZ,ROW(A241),MATCH("Evolution_Name",Unified_Matrix!$1:$1,0)),"")</f>
        <v/>
      </c>
      <c r="L244" s="4">
        <f>IF(J244="","",IF(J244=0,"",IF(J244=$AB$28,1,IF(J244=$AB$29,2,IF(J244=$AB$30,3,"")))))</f>
        <v/>
      </c>
      <c r="M244" s="4">
        <f t="array" ref="M244">IFERROR(INDEX(Unified_Matrix!$A:$ZZ,ROW(A241),MATCH("+ OVR",Unified_Matrix!$1:$1,0)),"")</f>
        <v/>
      </c>
      <c r="N244" s="4">
        <f t="array" ref="N244">IFERROR(INDEX(Unified_Matrix!$A:$ZZ,ROW(A241),MATCH("Max OVR",Unified_Matrix!$1:$1,0)),"")</f>
        <v/>
      </c>
      <c r="O244" s="4">
        <f t="array" ref="O244">IFERROR(INDEX(Unified_Matrix!$A:$ZZ,ROW(A241),MATCH("Req_Position",Unified_Matrix!$1:$1,0)),"")</f>
        <v/>
      </c>
      <c r="P244" s="4">
        <f t="array" ref="P244">IFERROR(INDEX(Unified_Matrix!$A:$ZZ,ROW(A241),MATCH("Req_OVR_Max",Unified_Matrix!$1:$1,0)),"")</f>
        <v/>
      </c>
      <c r="Q244" s="4">
        <f t="array" ref="Q244">IFERROR(INDEX(Unified_Matrix!$A:$ZZ,ROW(A241),MATCH("Req_Other",Unified_Matrix!$1:$1,0)),"")</f>
        <v/>
      </c>
    </row>
    <row r="245" hidden="1">
      <c r="J245" s="4">
        <f t="array" ref="J245">IFERROR(INDEX(Unified_Matrix!$A:$ZZ,ROW(A242),MATCH("Max "&amp;$J$9,Unified_Matrix!$1:$1,0)),"")</f>
        <v/>
      </c>
      <c r="K245" s="4">
        <f t="array" ref="K245">IFERROR(INDEX(Unified_Matrix!$A:$ZZ,ROW(A242),MATCH("Evolution_Name",Unified_Matrix!$1:$1,0)),"")</f>
        <v/>
      </c>
      <c r="L245" s="4">
        <f>IF(J245="","",IF(J245=0,"",IF(J245=$AB$28,1,IF(J245=$AB$29,2,IF(J245=$AB$30,3,"")))))</f>
        <v/>
      </c>
      <c r="M245" s="4">
        <f t="array" ref="M245">IFERROR(INDEX(Unified_Matrix!$A:$ZZ,ROW(A242),MATCH("+ OVR",Unified_Matrix!$1:$1,0)),"")</f>
        <v/>
      </c>
      <c r="N245" s="4">
        <f t="array" ref="N245">IFERROR(INDEX(Unified_Matrix!$A:$ZZ,ROW(A242),MATCH("Max OVR",Unified_Matrix!$1:$1,0)),"")</f>
        <v/>
      </c>
      <c r="O245" s="4">
        <f t="array" ref="O245">IFERROR(INDEX(Unified_Matrix!$A:$ZZ,ROW(A242),MATCH("Req_Position",Unified_Matrix!$1:$1,0)),"")</f>
        <v/>
      </c>
      <c r="P245" s="4">
        <f t="array" ref="P245">IFERROR(INDEX(Unified_Matrix!$A:$ZZ,ROW(A242),MATCH("Req_OVR_Max",Unified_Matrix!$1:$1,0)),"")</f>
        <v/>
      </c>
      <c r="Q245" s="4">
        <f t="array" ref="Q245">IFERROR(INDEX(Unified_Matrix!$A:$ZZ,ROW(A242),MATCH("Req_Other",Unified_Matrix!$1:$1,0)),"")</f>
        <v/>
      </c>
    </row>
    <row r="246" hidden="1">
      <c r="J246" s="4">
        <f t="array" ref="J246">IFERROR(INDEX(Unified_Matrix!$A:$ZZ,ROW(A243),MATCH("Max "&amp;$J$9,Unified_Matrix!$1:$1,0)),"")</f>
        <v/>
      </c>
      <c r="K246" s="4">
        <f t="array" ref="K246">IFERROR(INDEX(Unified_Matrix!$A:$ZZ,ROW(A243),MATCH("Evolution_Name",Unified_Matrix!$1:$1,0)),"")</f>
        <v/>
      </c>
      <c r="L246" s="4">
        <f>IF(J246="","",IF(J246=0,"",IF(J246=$AB$28,1,IF(J246=$AB$29,2,IF(J246=$AB$30,3,"")))))</f>
        <v/>
      </c>
      <c r="M246" s="4">
        <f t="array" ref="M246">IFERROR(INDEX(Unified_Matrix!$A:$ZZ,ROW(A243),MATCH("+ OVR",Unified_Matrix!$1:$1,0)),"")</f>
        <v/>
      </c>
      <c r="N246" s="4">
        <f t="array" ref="N246">IFERROR(INDEX(Unified_Matrix!$A:$ZZ,ROW(A243),MATCH("Max OVR",Unified_Matrix!$1:$1,0)),"")</f>
        <v/>
      </c>
      <c r="O246" s="4">
        <f t="array" ref="O246">IFERROR(INDEX(Unified_Matrix!$A:$ZZ,ROW(A243),MATCH("Req_Position",Unified_Matrix!$1:$1,0)),"")</f>
        <v/>
      </c>
      <c r="P246" s="4">
        <f t="array" ref="P246">IFERROR(INDEX(Unified_Matrix!$A:$ZZ,ROW(A243),MATCH("Req_OVR_Max",Unified_Matrix!$1:$1,0)),"")</f>
        <v/>
      </c>
      <c r="Q246" s="4">
        <f t="array" ref="Q246">IFERROR(INDEX(Unified_Matrix!$A:$ZZ,ROW(A243),MATCH("Req_Other",Unified_Matrix!$1:$1,0)),"")</f>
        <v/>
      </c>
    </row>
    <row r="247" hidden="1">
      <c r="J247" s="4">
        <f t="array" ref="J247">IFERROR(INDEX(Unified_Matrix!$A:$ZZ,ROW(A244),MATCH("Max "&amp;$J$9,Unified_Matrix!$1:$1,0)),"")</f>
        <v/>
      </c>
      <c r="K247" s="4">
        <f t="array" ref="K247">IFERROR(INDEX(Unified_Matrix!$A:$ZZ,ROW(A244),MATCH("Evolution_Name",Unified_Matrix!$1:$1,0)),"")</f>
        <v/>
      </c>
      <c r="L247" s="4">
        <f>IF(J247="","",IF(J247=0,"",IF(J247=$AB$28,1,IF(J247=$AB$29,2,IF(J247=$AB$30,3,"")))))</f>
        <v/>
      </c>
      <c r="M247" s="4">
        <f t="array" ref="M247">IFERROR(INDEX(Unified_Matrix!$A:$ZZ,ROW(A244),MATCH("+ OVR",Unified_Matrix!$1:$1,0)),"")</f>
        <v/>
      </c>
      <c r="N247" s="4">
        <f t="array" ref="N247">IFERROR(INDEX(Unified_Matrix!$A:$ZZ,ROW(A244),MATCH("Max OVR",Unified_Matrix!$1:$1,0)),"")</f>
        <v/>
      </c>
      <c r="O247" s="4">
        <f t="array" ref="O247">IFERROR(INDEX(Unified_Matrix!$A:$ZZ,ROW(A244),MATCH("Req_Position",Unified_Matrix!$1:$1,0)),"")</f>
        <v/>
      </c>
      <c r="P247" s="4">
        <f t="array" ref="P247">IFERROR(INDEX(Unified_Matrix!$A:$ZZ,ROW(A244),MATCH("Req_OVR_Max",Unified_Matrix!$1:$1,0)),"")</f>
        <v/>
      </c>
      <c r="Q247" s="4">
        <f t="array" ref="Q247">IFERROR(INDEX(Unified_Matrix!$A:$ZZ,ROW(A244),MATCH("Req_Other",Unified_Matrix!$1:$1,0)),"")</f>
        <v/>
      </c>
    </row>
    <row r="248" hidden="1">
      <c r="J248" s="4">
        <f t="array" ref="J248">IFERROR(INDEX(Unified_Matrix!$A:$ZZ,ROW(A245),MATCH("Max "&amp;$J$9,Unified_Matrix!$1:$1,0)),"")</f>
        <v/>
      </c>
      <c r="K248" s="4">
        <f t="array" ref="K248">IFERROR(INDEX(Unified_Matrix!$A:$ZZ,ROW(A245),MATCH("Evolution_Name",Unified_Matrix!$1:$1,0)),"")</f>
        <v/>
      </c>
      <c r="L248" s="4">
        <f>IF(J248="","",IF(J248=0,"",IF(J248=$AB$28,1,IF(J248=$AB$29,2,IF(J248=$AB$30,3,"")))))</f>
        <v/>
      </c>
      <c r="M248" s="4">
        <f t="array" ref="M248">IFERROR(INDEX(Unified_Matrix!$A:$ZZ,ROW(A245),MATCH("+ OVR",Unified_Matrix!$1:$1,0)),"")</f>
        <v/>
      </c>
      <c r="N248" s="4">
        <f t="array" ref="N248">IFERROR(INDEX(Unified_Matrix!$A:$ZZ,ROW(A245),MATCH("Max OVR",Unified_Matrix!$1:$1,0)),"")</f>
        <v/>
      </c>
      <c r="O248" s="4">
        <f t="array" ref="O248">IFERROR(INDEX(Unified_Matrix!$A:$ZZ,ROW(A245),MATCH("Req_Position",Unified_Matrix!$1:$1,0)),"")</f>
        <v/>
      </c>
      <c r="P248" s="4">
        <f t="array" ref="P248">IFERROR(INDEX(Unified_Matrix!$A:$ZZ,ROW(A245),MATCH("Req_OVR_Max",Unified_Matrix!$1:$1,0)),"")</f>
        <v/>
      </c>
      <c r="Q248" s="4">
        <f t="array" ref="Q248">IFERROR(INDEX(Unified_Matrix!$A:$ZZ,ROW(A245),MATCH("Req_Other",Unified_Matrix!$1:$1,0)),"")</f>
        <v/>
      </c>
    </row>
    <row r="249" hidden="1">
      <c r="J249" s="4">
        <f t="array" ref="J249">IFERROR(INDEX(Unified_Matrix!$A:$ZZ,ROW(A246),MATCH("Max "&amp;$J$9,Unified_Matrix!$1:$1,0)),"")</f>
        <v/>
      </c>
      <c r="K249" s="4">
        <f t="array" ref="K249">IFERROR(INDEX(Unified_Matrix!$A:$ZZ,ROW(A246),MATCH("Evolution_Name",Unified_Matrix!$1:$1,0)),"")</f>
        <v/>
      </c>
      <c r="L249" s="4">
        <f>IF(J249="","",IF(J249=0,"",IF(J249=$AB$28,1,IF(J249=$AB$29,2,IF(J249=$AB$30,3,"")))))</f>
        <v/>
      </c>
      <c r="M249" s="4">
        <f t="array" ref="M249">IFERROR(INDEX(Unified_Matrix!$A:$ZZ,ROW(A246),MATCH("+ OVR",Unified_Matrix!$1:$1,0)),"")</f>
        <v/>
      </c>
      <c r="N249" s="4">
        <f t="array" ref="N249">IFERROR(INDEX(Unified_Matrix!$A:$ZZ,ROW(A246),MATCH("Max OVR",Unified_Matrix!$1:$1,0)),"")</f>
        <v/>
      </c>
      <c r="O249" s="4">
        <f t="array" ref="O249">IFERROR(INDEX(Unified_Matrix!$A:$ZZ,ROW(A246),MATCH("Req_Position",Unified_Matrix!$1:$1,0)),"")</f>
        <v/>
      </c>
      <c r="P249" s="4">
        <f t="array" ref="P249">IFERROR(INDEX(Unified_Matrix!$A:$ZZ,ROW(A246),MATCH("Req_OVR_Max",Unified_Matrix!$1:$1,0)),"")</f>
        <v/>
      </c>
      <c r="Q249" s="4">
        <f t="array" ref="Q249">IFERROR(INDEX(Unified_Matrix!$A:$ZZ,ROW(A246),MATCH("Req_Other",Unified_Matrix!$1:$1,0)),"")</f>
        <v/>
      </c>
    </row>
    <row r="250" hidden="1">
      <c r="J250" s="4">
        <f t="array" ref="J250">IFERROR(INDEX(Unified_Matrix!$A:$ZZ,ROW(A247),MATCH("Max "&amp;$J$9,Unified_Matrix!$1:$1,0)),"")</f>
        <v/>
      </c>
      <c r="K250" s="4">
        <f t="array" ref="K250">IFERROR(INDEX(Unified_Matrix!$A:$ZZ,ROW(A247),MATCH("Evolution_Name",Unified_Matrix!$1:$1,0)),"")</f>
        <v/>
      </c>
      <c r="L250" s="4">
        <f>IF(J250="","",IF(J250=0,"",IF(J250=$AB$28,1,IF(J250=$AB$29,2,IF(J250=$AB$30,3,"")))))</f>
        <v/>
      </c>
      <c r="M250" s="4">
        <f t="array" ref="M250">IFERROR(INDEX(Unified_Matrix!$A:$ZZ,ROW(A247),MATCH("+ OVR",Unified_Matrix!$1:$1,0)),"")</f>
        <v/>
      </c>
      <c r="N250" s="4">
        <f t="array" ref="N250">IFERROR(INDEX(Unified_Matrix!$A:$ZZ,ROW(A247),MATCH("Max OVR",Unified_Matrix!$1:$1,0)),"")</f>
        <v/>
      </c>
      <c r="O250" s="4">
        <f t="array" ref="O250">IFERROR(INDEX(Unified_Matrix!$A:$ZZ,ROW(A247),MATCH("Req_Position",Unified_Matrix!$1:$1,0)),"")</f>
        <v/>
      </c>
      <c r="P250" s="4">
        <f t="array" ref="P250">IFERROR(INDEX(Unified_Matrix!$A:$ZZ,ROW(A247),MATCH("Req_OVR_Max",Unified_Matrix!$1:$1,0)),"")</f>
        <v/>
      </c>
      <c r="Q250" s="4">
        <f t="array" ref="Q250">IFERROR(INDEX(Unified_Matrix!$A:$ZZ,ROW(A247),MATCH("Req_Other",Unified_Matrix!$1:$1,0)),"")</f>
        <v/>
      </c>
    </row>
    <row r="251" hidden="1">
      <c r="J251" s="4">
        <f t="array" ref="J251">IFERROR(INDEX(Unified_Matrix!$A:$ZZ,ROW(A248),MATCH("Max "&amp;$J$9,Unified_Matrix!$1:$1,0)),"")</f>
        <v/>
      </c>
      <c r="K251" s="4">
        <f t="array" ref="K251">IFERROR(INDEX(Unified_Matrix!$A:$ZZ,ROW(A248),MATCH("Evolution_Name",Unified_Matrix!$1:$1,0)),"")</f>
        <v/>
      </c>
      <c r="L251" s="4">
        <f>IF(J251="","",IF(J251=0,"",IF(J251=$AB$28,1,IF(J251=$AB$29,2,IF(J251=$AB$30,3,"")))))</f>
        <v/>
      </c>
      <c r="M251" s="4">
        <f t="array" ref="M251">IFERROR(INDEX(Unified_Matrix!$A:$ZZ,ROW(A248),MATCH("+ OVR",Unified_Matrix!$1:$1,0)),"")</f>
        <v/>
      </c>
      <c r="N251" s="4">
        <f t="array" ref="N251">IFERROR(INDEX(Unified_Matrix!$A:$ZZ,ROW(A248),MATCH("Max OVR",Unified_Matrix!$1:$1,0)),"")</f>
        <v/>
      </c>
      <c r="O251" s="4">
        <f t="array" ref="O251">IFERROR(INDEX(Unified_Matrix!$A:$ZZ,ROW(A248),MATCH("Req_Position",Unified_Matrix!$1:$1,0)),"")</f>
        <v/>
      </c>
      <c r="P251" s="4">
        <f t="array" ref="P251">IFERROR(INDEX(Unified_Matrix!$A:$ZZ,ROW(A248),MATCH("Req_OVR_Max",Unified_Matrix!$1:$1,0)),"")</f>
        <v/>
      </c>
      <c r="Q251" s="4">
        <f t="array" ref="Q251">IFERROR(INDEX(Unified_Matrix!$A:$ZZ,ROW(A248),MATCH("Req_Other",Unified_Matrix!$1:$1,0)),"")</f>
        <v/>
      </c>
    </row>
    <row r="252" hidden="1">
      <c r="J252" s="4">
        <f t="array" ref="J252">IFERROR(INDEX(Unified_Matrix!$A:$ZZ,ROW(A249),MATCH("Max "&amp;$J$9,Unified_Matrix!$1:$1,0)),"")</f>
        <v/>
      </c>
      <c r="K252" s="4">
        <f t="array" ref="K252">IFERROR(INDEX(Unified_Matrix!$A:$ZZ,ROW(A249),MATCH("Evolution_Name",Unified_Matrix!$1:$1,0)),"")</f>
        <v/>
      </c>
      <c r="L252" s="4">
        <f>IF(J252="","",IF(J252=0,"",IF(J252=$AB$28,1,IF(J252=$AB$29,2,IF(J252=$AB$30,3,"")))))</f>
        <v/>
      </c>
      <c r="M252" s="4">
        <f t="array" ref="M252">IFERROR(INDEX(Unified_Matrix!$A:$ZZ,ROW(A249),MATCH("+ OVR",Unified_Matrix!$1:$1,0)),"")</f>
        <v/>
      </c>
      <c r="N252" s="4">
        <f t="array" ref="N252">IFERROR(INDEX(Unified_Matrix!$A:$ZZ,ROW(A249),MATCH("Max OVR",Unified_Matrix!$1:$1,0)),"")</f>
        <v/>
      </c>
      <c r="O252" s="4">
        <f t="array" ref="O252">IFERROR(INDEX(Unified_Matrix!$A:$ZZ,ROW(A249),MATCH("Req_Position",Unified_Matrix!$1:$1,0)),"")</f>
        <v/>
      </c>
      <c r="P252" s="4">
        <f t="array" ref="P252">IFERROR(INDEX(Unified_Matrix!$A:$ZZ,ROW(A249),MATCH("Req_OVR_Max",Unified_Matrix!$1:$1,0)),"")</f>
        <v/>
      </c>
      <c r="Q252" s="4">
        <f t="array" ref="Q252">IFERROR(INDEX(Unified_Matrix!$A:$ZZ,ROW(A249),MATCH("Req_Other",Unified_Matrix!$1:$1,0)),"")</f>
        <v/>
      </c>
    </row>
    <row r="253" hidden="1">
      <c r="J253" s="4">
        <f t="array" ref="J253">IFERROR(INDEX(Unified_Matrix!$A:$ZZ,ROW(A250),MATCH("Max "&amp;$J$9,Unified_Matrix!$1:$1,0)),"")</f>
        <v/>
      </c>
      <c r="K253" s="4">
        <f t="array" ref="K253">IFERROR(INDEX(Unified_Matrix!$A:$ZZ,ROW(A250),MATCH("Evolution_Name",Unified_Matrix!$1:$1,0)),"")</f>
        <v/>
      </c>
      <c r="L253" s="4">
        <f>IF(J253="","",IF(J253=0,"",IF(J253=$AB$28,1,IF(J253=$AB$29,2,IF(J253=$AB$30,3,"")))))</f>
        <v/>
      </c>
      <c r="M253" s="4">
        <f t="array" ref="M253">IFERROR(INDEX(Unified_Matrix!$A:$ZZ,ROW(A250),MATCH("+ OVR",Unified_Matrix!$1:$1,0)),"")</f>
        <v/>
      </c>
      <c r="N253" s="4">
        <f t="array" ref="N253">IFERROR(INDEX(Unified_Matrix!$A:$ZZ,ROW(A250),MATCH("Max OVR",Unified_Matrix!$1:$1,0)),"")</f>
        <v/>
      </c>
      <c r="O253" s="4">
        <f t="array" ref="O253">IFERROR(INDEX(Unified_Matrix!$A:$ZZ,ROW(A250),MATCH("Req_Position",Unified_Matrix!$1:$1,0)),"")</f>
        <v/>
      </c>
      <c r="P253" s="4">
        <f t="array" ref="P253">IFERROR(INDEX(Unified_Matrix!$A:$ZZ,ROW(A250),MATCH("Req_OVR_Max",Unified_Matrix!$1:$1,0)),"")</f>
        <v/>
      </c>
      <c r="Q253" s="4">
        <f t="array" ref="Q253">IFERROR(INDEX(Unified_Matrix!$A:$ZZ,ROW(A250),MATCH("Req_Other",Unified_Matrix!$1:$1,0)),"")</f>
        <v/>
      </c>
    </row>
    <row r="254" hidden="1">
      <c r="J254" s="4">
        <f t="array" ref="J254">IFERROR(INDEX(Unified_Matrix!$A:$ZZ,ROW(A251),MATCH("Max "&amp;$J$9,Unified_Matrix!$1:$1,0)),"")</f>
        <v/>
      </c>
      <c r="K254" s="4">
        <f t="array" ref="K254">IFERROR(INDEX(Unified_Matrix!$A:$ZZ,ROW(A251),MATCH("Evolution_Name",Unified_Matrix!$1:$1,0)),"")</f>
        <v/>
      </c>
      <c r="L254" s="4">
        <f>IF(J254="","",IF(J254=0,"",IF(J254=$AB$28,1,IF(J254=$AB$29,2,IF(J254=$AB$30,3,"")))))</f>
        <v/>
      </c>
      <c r="M254" s="4">
        <f t="array" ref="M254">IFERROR(INDEX(Unified_Matrix!$A:$ZZ,ROW(A251),MATCH("+ OVR",Unified_Matrix!$1:$1,0)),"")</f>
        <v/>
      </c>
      <c r="N254" s="4">
        <f t="array" ref="N254">IFERROR(INDEX(Unified_Matrix!$A:$ZZ,ROW(A251),MATCH("Max OVR",Unified_Matrix!$1:$1,0)),"")</f>
        <v/>
      </c>
      <c r="O254" s="4">
        <f t="array" ref="O254">IFERROR(INDEX(Unified_Matrix!$A:$ZZ,ROW(A251),MATCH("Req_Position",Unified_Matrix!$1:$1,0)),"")</f>
        <v/>
      </c>
      <c r="P254" s="4">
        <f t="array" ref="P254">IFERROR(INDEX(Unified_Matrix!$A:$ZZ,ROW(A251),MATCH("Req_OVR_Max",Unified_Matrix!$1:$1,0)),"")</f>
        <v/>
      </c>
      <c r="Q254" s="4">
        <f t="array" ref="Q254">IFERROR(INDEX(Unified_Matrix!$A:$ZZ,ROW(A251),MATCH("Req_Other",Unified_Matrix!$1:$1,0)),"")</f>
        <v/>
      </c>
    </row>
    <row r="255" hidden="1">
      <c r="J255" s="4">
        <f t="array" ref="J255">IFERROR(INDEX(Unified_Matrix!$A:$ZZ,ROW(A252),MATCH("Max "&amp;$J$9,Unified_Matrix!$1:$1,0)),"")</f>
        <v/>
      </c>
      <c r="K255" s="4">
        <f t="array" ref="K255">IFERROR(INDEX(Unified_Matrix!$A:$ZZ,ROW(A252),MATCH("Evolution_Name",Unified_Matrix!$1:$1,0)),"")</f>
        <v/>
      </c>
      <c r="L255" s="4">
        <f>IF(J255="","",IF(J255=0,"",IF(J255=$AB$28,1,IF(J255=$AB$29,2,IF(J255=$AB$30,3,"")))))</f>
        <v/>
      </c>
      <c r="M255" s="4">
        <f t="array" ref="M255">IFERROR(INDEX(Unified_Matrix!$A:$ZZ,ROW(A252),MATCH("+ OVR",Unified_Matrix!$1:$1,0)),"")</f>
        <v/>
      </c>
      <c r="N255" s="4">
        <f t="array" ref="N255">IFERROR(INDEX(Unified_Matrix!$A:$ZZ,ROW(A252),MATCH("Max OVR",Unified_Matrix!$1:$1,0)),"")</f>
        <v/>
      </c>
      <c r="O255" s="4">
        <f t="array" ref="O255">IFERROR(INDEX(Unified_Matrix!$A:$ZZ,ROW(A252),MATCH("Req_Position",Unified_Matrix!$1:$1,0)),"")</f>
        <v/>
      </c>
      <c r="P255" s="4">
        <f t="array" ref="P255">IFERROR(INDEX(Unified_Matrix!$A:$ZZ,ROW(A252),MATCH("Req_OVR_Max",Unified_Matrix!$1:$1,0)),"")</f>
        <v/>
      </c>
      <c r="Q255" s="4">
        <f t="array" ref="Q255">IFERROR(INDEX(Unified_Matrix!$A:$ZZ,ROW(A252),MATCH("Req_Other",Unified_Matrix!$1:$1,0)),"")</f>
        <v/>
      </c>
    </row>
    <row r="256" hidden="1">
      <c r="J256" s="4">
        <f t="array" ref="J256">IFERROR(INDEX(Unified_Matrix!$A:$ZZ,ROW(A253),MATCH("Max "&amp;$J$9,Unified_Matrix!$1:$1,0)),"")</f>
        <v/>
      </c>
      <c r="K256" s="4">
        <f t="array" ref="K256">IFERROR(INDEX(Unified_Matrix!$A:$ZZ,ROW(A253),MATCH("Evolution_Name",Unified_Matrix!$1:$1,0)),"")</f>
        <v/>
      </c>
      <c r="L256" s="4">
        <f>IF(J256="","",IF(J256=0,"",IF(J256=$AB$28,1,IF(J256=$AB$29,2,IF(J256=$AB$30,3,"")))))</f>
        <v/>
      </c>
      <c r="M256" s="4">
        <f t="array" ref="M256">IFERROR(INDEX(Unified_Matrix!$A:$ZZ,ROW(A253),MATCH("+ OVR",Unified_Matrix!$1:$1,0)),"")</f>
        <v/>
      </c>
      <c r="N256" s="4">
        <f t="array" ref="N256">IFERROR(INDEX(Unified_Matrix!$A:$ZZ,ROW(A253),MATCH("Max OVR",Unified_Matrix!$1:$1,0)),"")</f>
        <v/>
      </c>
      <c r="O256" s="4">
        <f t="array" ref="O256">IFERROR(INDEX(Unified_Matrix!$A:$ZZ,ROW(A253),MATCH("Req_Position",Unified_Matrix!$1:$1,0)),"")</f>
        <v/>
      </c>
      <c r="P256" s="4">
        <f t="array" ref="P256">IFERROR(INDEX(Unified_Matrix!$A:$ZZ,ROW(A253),MATCH("Req_OVR_Max",Unified_Matrix!$1:$1,0)),"")</f>
        <v/>
      </c>
      <c r="Q256" s="4">
        <f t="array" ref="Q256">IFERROR(INDEX(Unified_Matrix!$A:$ZZ,ROW(A253),MATCH("Req_Other",Unified_Matrix!$1:$1,0)),"")</f>
        <v/>
      </c>
    </row>
    <row r="257" hidden="1">
      <c r="J257" s="4">
        <f t="array" ref="J257">IFERROR(INDEX(Unified_Matrix!$A:$ZZ,ROW(A254),MATCH("Max "&amp;$J$9,Unified_Matrix!$1:$1,0)),"")</f>
        <v/>
      </c>
      <c r="K257" s="4">
        <f t="array" ref="K257">IFERROR(INDEX(Unified_Matrix!$A:$ZZ,ROW(A254),MATCH("Evolution_Name",Unified_Matrix!$1:$1,0)),"")</f>
        <v/>
      </c>
      <c r="L257" s="4">
        <f>IF(J257="","",IF(J257=0,"",IF(J257=$AB$28,1,IF(J257=$AB$29,2,IF(J257=$AB$30,3,"")))))</f>
        <v/>
      </c>
      <c r="M257" s="4">
        <f t="array" ref="M257">IFERROR(INDEX(Unified_Matrix!$A:$ZZ,ROW(A254),MATCH("+ OVR",Unified_Matrix!$1:$1,0)),"")</f>
        <v/>
      </c>
      <c r="N257" s="4">
        <f t="array" ref="N257">IFERROR(INDEX(Unified_Matrix!$A:$ZZ,ROW(A254),MATCH("Max OVR",Unified_Matrix!$1:$1,0)),"")</f>
        <v/>
      </c>
      <c r="O257" s="4">
        <f t="array" ref="O257">IFERROR(INDEX(Unified_Matrix!$A:$ZZ,ROW(A254),MATCH("Req_Position",Unified_Matrix!$1:$1,0)),"")</f>
        <v/>
      </c>
      <c r="P257" s="4">
        <f t="array" ref="P257">IFERROR(INDEX(Unified_Matrix!$A:$ZZ,ROW(A254),MATCH("Req_OVR_Max",Unified_Matrix!$1:$1,0)),"")</f>
        <v/>
      </c>
      <c r="Q257" s="4">
        <f t="array" ref="Q257">IFERROR(INDEX(Unified_Matrix!$A:$ZZ,ROW(A254),MATCH("Req_Other",Unified_Matrix!$1:$1,0)),"")</f>
        <v/>
      </c>
    </row>
    <row r="258" hidden="1">
      <c r="J258" s="4">
        <f t="array" ref="J258">IFERROR(INDEX(Unified_Matrix!$A:$ZZ,ROW(A255),MATCH("Max "&amp;$J$9,Unified_Matrix!$1:$1,0)),"")</f>
        <v/>
      </c>
      <c r="K258" s="4">
        <f t="array" ref="K258">IFERROR(INDEX(Unified_Matrix!$A:$ZZ,ROW(A255),MATCH("Evolution_Name",Unified_Matrix!$1:$1,0)),"")</f>
        <v/>
      </c>
      <c r="L258" s="4">
        <f>IF(J258="","",IF(J258=0,"",IF(J258=$AB$28,1,IF(J258=$AB$29,2,IF(J258=$AB$30,3,"")))))</f>
        <v/>
      </c>
      <c r="M258" s="4">
        <f t="array" ref="M258">IFERROR(INDEX(Unified_Matrix!$A:$ZZ,ROW(A255),MATCH("+ OVR",Unified_Matrix!$1:$1,0)),"")</f>
        <v/>
      </c>
      <c r="N258" s="4">
        <f t="array" ref="N258">IFERROR(INDEX(Unified_Matrix!$A:$ZZ,ROW(A255),MATCH("Max OVR",Unified_Matrix!$1:$1,0)),"")</f>
        <v/>
      </c>
      <c r="O258" s="4">
        <f t="array" ref="O258">IFERROR(INDEX(Unified_Matrix!$A:$ZZ,ROW(A255),MATCH("Req_Position",Unified_Matrix!$1:$1,0)),"")</f>
        <v/>
      </c>
      <c r="P258" s="4">
        <f t="array" ref="P258">IFERROR(INDEX(Unified_Matrix!$A:$ZZ,ROW(A255),MATCH("Req_OVR_Max",Unified_Matrix!$1:$1,0)),"")</f>
        <v/>
      </c>
      <c r="Q258" s="4">
        <f t="array" ref="Q258">IFERROR(INDEX(Unified_Matrix!$A:$ZZ,ROW(A255),MATCH("Req_Other",Unified_Matrix!$1:$1,0)),"")</f>
        <v/>
      </c>
    </row>
    <row r="259" hidden="1">
      <c r="J259" s="4">
        <f t="array" ref="J259">IFERROR(INDEX(Unified_Matrix!$A:$ZZ,ROW(A256),MATCH("Max "&amp;$J$9,Unified_Matrix!$1:$1,0)),"")</f>
        <v/>
      </c>
      <c r="K259" s="4">
        <f t="array" ref="K259">IFERROR(INDEX(Unified_Matrix!$A:$ZZ,ROW(A256),MATCH("Evolution_Name",Unified_Matrix!$1:$1,0)),"")</f>
        <v/>
      </c>
      <c r="L259" s="4">
        <f>IF(J259="","",IF(J259=0,"",IF(J259=$AB$28,1,IF(J259=$AB$29,2,IF(J259=$AB$30,3,"")))))</f>
        <v/>
      </c>
      <c r="M259" s="4">
        <f t="array" ref="M259">IFERROR(INDEX(Unified_Matrix!$A:$ZZ,ROW(A256),MATCH("+ OVR",Unified_Matrix!$1:$1,0)),"")</f>
        <v/>
      </c>
      <c r="N259" s="4">
        <f t="array" ref="N259">IFERROR(INDEX(Unified_Matrix!$A:$ZZ,ROW(A256),MATCH("Max OVR",Unified_Matrix!$1:$1,0)),"")</f>
        <v/>
      </c>
      <c r="O259" s="4">
        <f t="array" ref="O259">IFERROR(INDEX(Unified_Matrix!$A:$ZZ,ROW(A256),MATCH("Req_Position",Unified_Matrix!$1:$1,0)),"")</f>
        <v/>
      </c>
      <c r="P259" s="4">
        <f t="array" ref="P259">IFERROR(INDEX(Unified_Matrix!$A:$ZZ,ROW(A256),MATCH("Req_OVR_Max",Unified_Matrix!$1:$1,0)),"")</f>
        <v/>
      </c>
      <c r="Q259" s="4">
        <f t="array" ref="Q259">IFERROR(INDEX(Unified_Matrix!$A:$ZZ,ROW(A256),MATCH("Req_Other",Unified_Matrix!$1:$1,0)),"")</f>
        <v/>
      </c>
    </row>
    <row r="260" hidden="1">
      <c r="J260" s="4">
        <f t="array" ref="J260">IFERROR(INDEX(Unified_Matrix!$A:$ZZ,ROW(A257),MATCH("Max "&amp;$J$9,Unified_Matrix!$1:$1,0)),"")</f>
        <v/>
      </c>
      <c r="K260" s="4">
        <f t="array" ref="K260">IFERROR(INDEX(Unified_Matrix!$A:$ZZ,ROW(A257),MATCH("Evolution_Name",Unified_Matrix!$1:$1,0)),"")</f>
        <v/>
      </c>
      <c r="L260" s="4">
        <f>IF(J260="","",IF(J260=0,"",IF(J260=$AB$28,1,IF(J260=$AB$29,2,IF(J260=$AB$30,3,"")))))</f>
        <v/>
      </c>
      <c r="M260" s="4">
        <f t="array" ref="M260">IFERROR(INDEX(Unified_Matrix!$A:$ZZ,ROW(A257),MATCH("+ OVR",Unified_Matrix!$1:$1,0)),"")</f>
        <v/>
      </c>
      <c r="N260" s="4">
        <f t="array" ref="N260">IFERROR(INDEX(Unified_Matrix!$A:$ZZ,ROW(A257),MATCH("Max OVR",Unified_Matrix!$1:$1,0)),"")</f>
        <v/>
      </c>
      <c r="O260" s="4">
        <f t="array" ref="O260">IFERROR(INDEX(Unified_Matrix!$A:$ZZ,ROW(A257),MATCH("Req_Position",Unified_Matrix!$1:$1,0)),"")</f>
        <v/>
      </c>
      <c r="P260" s="4">
        <f t="array" ref="P260">IFERROR(INDEX(Unified_Matrix!$A:$ZZ,ROW(A257),MATCH("Req_OVR_Max",Unified_Matrix!$1:$1,0)),"")</f>
        <v/>
      </c>
      <c r="Q260" s="4">
        <f t="array" ref="Q260">IFERROR(INDEX(Unified_Matrix!$A:$ZZ,ROW(A257),MATCH("Req_Other",Unified_Matrix!$1:$1,0)),"")</f>
        <v/>
      </c>
    </row>
    <row r="261" hidden="1">
      <c r="J261" s="4">
        <f t="array" ref="J261">IFERROR(INDEX(Unified_Matrix!$A:$ZZ,ROW(A258),MATCH("Max "&amp;$J$9,Unified_Matrix!$1:$1,0)),"")</f>
        <v/>
      </c>
      <c r="K261" s="4">
        <f t="array" ref="K261">IFERROR(INDEX(Unified_Matrix!$A:$ZZ,ROW(A258),MATCH("Evolution_Name",Unified_Matrix!$1:$1,0)),"")</f>
        <v/>
      </c>
      <c r="L261" s="4">
        <f>IF(J261="","",IF(J261=0,"",IF(J261=$AB$28,1,IF(J261=$AB$29,2,IF(J261=$AB$30,3,"")))))</f>
        <v/>
      </c>
      <c r="M261" s="4">
        <f t="array" ref="M261">IFERROR(INDEX(Unified_Matrix!$A:$ZZ,ROW(A258),MATCH("+ OVR",Unified_Matrix!$1:$1,0)),"")</f>
        <v/>
      </c>
      <c r="N261" s="4">
        <f t="array" ref="N261">IFERROR(INDEX(Unified_Matrix!$A:$ZZ,ROW(A258),MATCH("Max OVR",Unified_Matrix!$1:$1,0)),"")</f>
        <v/>
      </c>
      <c r="O261" s="4">
        <f t="array" ref="O261">IFERROR(INDEX(Unified_Matrix!$A:$ZZ,ROW(A258),MATCH("Req_Position",Unified_Matrix!$1:$1,0)),"")</f>
        <v/>
      </c>
      <c r="P261" s="4">
        <f t="array" ref="P261">IFERROR(INDEX(Unified_Matrix!$A:$ZZ,ROW(A258),MATCH("Req_OVR_Max",Unified_Matrix!$1:$1,0)),"")</f>
        <v/>
      </c>
      <c r="Q261" s="4">
        <f t="array" ref="Q261">IFERROR(INDEX(Unified_Matrix!$A:$ZZ,ROW(A258),MATCH("Req_Other",Unified_Matrix!$1:$1,0)),"")</f>
        <v/>
      </c>
    </row>
    <row r="262" hidden="1">
      <c r="J262" s="4">
        <f t="array" ref="J262">IFERROR(INDEX(Unified_Matrix!$A:$ZZ,ROW(A259),MATCH("Max "&amp;$J$9,Unified_Matrix!$1:$1,0)),"")</f>
        <v/>
      </c>
      <c r="K262" s="4">
        <f t="array" ref="K262">IFERROR(INDEX(Unified_Matrix!$A:$ZZ,ROW(A259),MATCH("Evolution_Name",Unified_Matrix!$1:$1,0)),"")</f>
        <v/>
      </c>
      <c r="L262" s="4">
        <f>IF(J262="","",IF(J262=0,"",IF(J262=$AB$28,1,IF(J262=$AB$29,2,IF(J262=$AB$30,3,"")))))</f>
        <v/>
      </c>
      <c r="M262" s="4">
        <f t="array" ref="M262">IFERROR(INDEX(Unified_Matrix!$A:$ZZ,ROW(A259),MATCH("+ OVR",Unified_Matrix!$1:$1,0)),"")</f>
        <v/>
      </c>
      <c r="N262" s="4">
        <f t="array" ref="N262">IFERROR(INDEX(Unified_Matrix!$A:$ZZ,ROW(A259),MATCH("Max OVR",Unified_Matrix!$1:$1,0)),"")</f>
        <v/>
      </c>
      <c r="O262" s="4">
        <f t="array" ref="O262">IFERROR(INDEX(Unified_Matrix!$A:$ZZ,ROW(A259),MATCH("Req_Position",Unified_Matrix!$1:$1,0)),"")</f>
        <v/>
      </c>
      <c r="P262" s="4">
        <f t="array" ref="P262">IFERROR(INDEX(Unified_Matrix!$A:$ZZ,ROW(A259),MATCH("Req_OVR_Max",Unified_Matrix!$1:$1,0)),"")</f>
        <v/>
      </c>
      <c r="Q262" s="4">
        <f t="array" ref="Q262">IFERROR(INDEX(Unified_Matrix!$A:$ZZ,ROW(A259),MATCH("Req_Other",Unified_Matrix!$1:$1,0)),"")</f>
        <v/>
      </c>
    </row>
    <row r="263" hidden="1">
      <c r="J263" s="4">
        <f t="array" ref="J263">IFERROR(INDEX(Unified_Matrix!$A:$ZZ,ROW(A260),MATCH("Max "&amp;$J$9,Unified_Matrix!$1:$1,0)),"")</f>
        <v/>
      </c>
      <c r="K263" s="4">
        <f t="array" ref="K263">IFERROR(INDEX(Unified_Matrix!$A:$ZZ,ROW(A260),MATCH("Evolution_Name",Unified_Matrix!$1:$1,0)),"")</f>
        <v/>
      </c>
      <c r="L263" s="4">
        <f>IF(J263="","",IF(J263=0,"",IF(J263=$AB$28,1,IF(J263=$AB$29,2,IF(J263=$AB$30,3,"")))))</f>
        <v/>
      </c>
      <c r="M263" s="4">
        <f t="array" ref="M263">IFERROR(INDEX(Unified_Matrix!$A:$ZZ,ROW(A260),MATCH("+ OVR",Unified_Matrix!$1:$1,0)),"")</f>
        <v/>
      </c>
      <c r="N263" s="4">
        <f t="array" ref="N263">IFERROR(INDEX(Unified_Matrix!$A:$ZZ,ROW(A260),MATCH("Max OVR",Unified_Matrix!$1:$1,0)),"")</f>
        <v/>
      </c>
      <c r="O263" s="4">
        <f t="array" ref="O263">IFERROR(INDEX(Unified_Matrix!$A:$ZZ,ROW(A260),MATCH("Req_Position",Unified_Matrix!$1:$1,0)),"")</f>
        <v/>
      </c>
      <c r="P263" s="4">
        <f t="array" ref="P263">IFERROR(INDEX(Unified_Matrix!$A:$ZZ,ROW(A260),MATCH("Req_OVR_Max",Unified_Matrix!$1:$1,0)),"")</f>
        <v/>
      </c>
      <c r="Q263" s="4">
        <f t="array" ref="Q263">IFERROR(INDEX(Unified_Matrix!$A:$ZZ,ROW(A260),MATCH("Req_Other",Unified_Matrix!$1:$1,0)),"")</f>
        <v/>
      </c>
    </row>
    <row r="264" hidden="1">
      <c r="J264" s="4">
        <f t="array" ref="J264">IFERROR(INDEX(Unified_Matrix!$A:$ZZ,ROW(A261),MATCH("Max "&amp;$J$9,Unified_Matrix!$1:$1,0)),"")</f>
        <v/>
      </c>
      <c r="K264" s="4">
        <f t="array" ref="K264">IFERROR(INDEX(Unified_Matrix!$A:$ZZ,ROW(A261),MATCH("Evolution_Name",Unified_Matrix!$1:$1,0)),"")</f>
        <v/>
      </c>
      <c r="L264" s="4">
        <f>IF(J264="","",IF(J264=0,"",IF(J264=$AB$28,1,IF(J264=$AB$29,2,IF(J264=$AB$30,3,"")))))</f>
        <v/>
      </c>
      <c r="M264" s="4">
        <f t="array" ref="M264">IFERROR(INDEX(Unified_Matrix!$A:$ZZ,ROW(A261),MATCH("+ OVR",Unified_Matrix!$1:$1,0)),"")</f>
        <v/>
      </c>
      <c r="N264" s="4">
        <f t="array" ref="N264">IFERROR(INDEX(Unified_Matrix!$A:$ZZ,ROW(A261),MATCH("Max OVR",Unified_Matrix!$1:$1,0)),"")</f>
        <v/>
      </c>
      <c r="O264" s="4">
        <f t="array" ref="O264">IFERROR(INDEX(Unified_Matrix!$A:$ZZ,ROW(A261),MATCH("Req_Position",Unified_Matrix!$1:$1,0)),"")</f>
        <v/>
      </c>
      <c r="P264" s="4">
        <f t="array" ref="P264">IFERROR(INDEX(Unified_Matrix!$A:$ZZ,ROW(A261),MATCH("Req_OVR_Max",Unified_Matrix!$1:$1,0)),"")</f>
        <v/>
      </c>
      <c r="Q264" s="4">
        <f t="array" ref="Q264">IFERROR(INDEX(Unified_Matrix!$A:$ZZ,ROW(A261),MATCH("Req_Other",Unified_Matrix!$1:$1,0)),"")</f>
        <v/>
      </c>
    </row>
    <row r="265" hidden="1">
      <c r="J265" s="4">
        <f t="array" ref="J265">IFERROR(INDEX(Unified_Matrix!$A:$ZZ,ROW(A262),MATCH("Max "&amp;$J$9,Unified_Matrix!$1:$1,0)),"")</f>
        <v/>
      </c>
      <c r="K265" s="4">
        <f t="array" ref="K265">IFERROR(INDEX(Unified_Matrix!$A:$ZZ,ROW(A262),MATCH("Evolution_Name",Unified_Matrix!$1:$1,0)),"")</f>
        <v/>
      </c>
      <c r="L265" s="4">
        <f>IF(J265="","",IF(J265=0,"",IF(J265=$AB$28,1,IF(J265=$AB$29,2,IF(J265=$AB$30,3,"")))))</f>
        <v/>
      </c>
      <c r="M265" s="4">
        <f t="array" ref="M265">IFERROR(INDEX(Unified_Matrix!$A:$ZZ,ROW(A262),MATCH("+ OVR",Unified_Matrix!$1:$1,0)),"")</f>
        <v/>
      </c>
      <c r="N265" s="4">
        <f t="array" ref="N265">IFERROR(INDEX(Unified_Matrix!$A:$ZZ,ROW(A262),MATCH("Max OVR",Unified_Matrix!$1:$1,0)),"")</f>
        <v/>
      </c>
      <c r="O265" s="4">
        <f t="array" ref="O265">IFERROR(INDEX(Unified_Matrix!$A:$ZZ,ROW(A262),MATCH("Req_Position",Unified_Matrix!$1:$1,0)),"")</f>
        <v/>
      </c>
      <c r="P265" s="4">
        <f t="array" ref="P265">IFERROR(INDEX(Unified_Matrix!$A:$ZZ,ROW(A262),MATCH("Req_OVR_Max",Unified_Matrix!$1:$1,0)),"")</f>
        <v/>
      </c>
      <c r="Q265" s="4">
        <f t="array" ref="Q265">IFERROR(INDEX(Unified_Matrix!$A:$ZZ,ROW(A262),MATCH("Req_Other",Unified_Matrix!$1:$1,0)),"")</f>
        <v/>
      </c>
    </row>
    <row r="266" hidden="1">
      <c r="J266" s="4">
        <f t="array" ref="J266">IFERROR(INDEX(Unified_Matrix!$A:$ZZ,ROW(A263),MATCH("Max "&amp;$J$9,Unified_Matrix!$1:$1,0)),"")</f>
        <v/>
      </c>
      <c r="K266" s="4">
        <f t="array" ref="K266">IFERROR(INDEX(Unified_Matrix!$A:$ZZ,ROW(A263),MATCH("Evolution_Name",Unified_Matrix!$1:$1,0)),"")</f>
        <v/>
      </c>
      <c r="L266" s="4">
        <f>IF(J266="","",IF(J266=0,"",IF(J266=$AB$28,1,IF(J266=$AB$29,2,IF(J266=$AB$30,3,"")))))</f>
        <v/>
      </c>
      <c r="M266" s="4">
        <f t="array" ref="M266">IFERROR(INDEX(Unified_Matrix!$A:$ZZ,ROW(A263),MATCH("+ OVR",Unified_Matrix!$1:$1,0)),"")</f>
        <v/>
      </c>
      <c r="N266" s="4">
        <f t="array" ref="N266">IFERROR(INDEX(Unified_Matrix!$A:$ZZ,ROW(A263),MATCH("Max OVR",Unified_Matrix!$1:$1,0)),"")</f>
        <v/>
      </c>
      <c r="O266" s="4">
        <f t="array" ref="O266">IFERROR(INDEX(Unified_Matrix!$A:$ZZ,ROW(A263),MATCH("Req_Position",Unified_Matrix!$1:$1,0)),"")</f>
        <v/>
      </c>
      <c r="P266" s="4">
        <f t="array" ref="P266">IFERROR(INDEX(Unified_Matrix!$A:$ZZ,ROW(A263),MATCH("Req_OVR_Max",Unified_Matrix!$1:$1,0)),"")</f>
        <v/>
      </c>
      <c r="Q266" s="4">
        <f t="array" ref="Q266">IFERROR(INDEX(Unified_Matrix!$A:$ZZ,ROW(A263),MATCH("Req_Other",Unified_Matrix!$1:$1,0)),"")</f>
        <v/>
      </c>
    </row>
    <row r="267" hidden="1">
      <c r="J267" s="4">
        <f t="array" ref="J267">IFERROR(INDEX(Unified_Matrix!$A:$ZZ,ROW(A264),MATCH("Max "&amp;$J$9,Unified_Matrix!$1:$1,0)),"")</f>
        <v/>
      </c>
      <c r="K267" s="4">
        <f t="array" ref="K267">IFERROR(INDEX(Unified_Matrix!$A:$ZZ,ROW(A264),MATCH("Evolution_Name",Unified_Matrix!$1:$1,0)),"")</f>
        <v/>
      </c>
      <c r="L267" s="4">
        <f>IF(J267="","",IF(J267=0,"",IF(J267=$AB$28,1,IF(J267=$AB$29,2,IF(J267=$AB$30,3,"")))))</f>
        <v/>
      </c>
      <c r="M267" s="4">
        <f t="array" ref="M267">IFERROR(INDEX(Unified_Matrix!$A:$ZZ,ROW(A264),MATCH("+ OVR",Unified_Matrix!$1:$1,0)),"")</f>
        <v/>
      </c>
      <c r="N267" s="4">
        <f t="array" ref="N267">IFERROR(INDEX(Unified_Matrix!$A:$ZZ,ROW(A264),MATCH("Max OVR",Unified_Matrix!$1:$1,0)),"")</f>
        <v/>
      </c>
      <c r="O267" s="4">
        <f t="array" ref="O267">IFERROR(INDEX(Unified_Matrix!$A:$ZZ,ROW(A264),MATCH("Req_Position",Unified_Matrix!$1:$1,0)),"")</f>
        <v/>
      </c>
      <c r="P267" s="4">
        <f t="array" ref="P267">IFERROR(INDEX(Unified_Matrix!$A:$ZZ,ROW(A264),MATCH("Req_OVR_Max",Unified_Matrix!$1:$1,0)),"")</f>
        <v/>
      </c>
      <c r="Q267" s="4">
        <f t="array" ref="Q267">IFERROR(INDEX(Unified_Matrix!$A:$ZZ,ROW(A264),MATCH("Req_Other",Unified_Matrix!$1:$1,0)),"")</f>
        <v/>
      </c>
    </row>
    <row r="268" hidden="1">
      <c r="J268" s="4">
        <f t="array" ref="J268">IFERROR(INDEX(Unified_Matrix!$A:$ZZ,ROW(A265),MATCH("Max "&amp;$J$9,Unified_Matrix!$1:$1,0)),"")</f>
        <v/>
      </c>
      <c r="K268" s="4">
        <f t="array" ref="K268">IFERROR(INDEX(Unified_Matrix!$A:$ZZ,ROW(A265),MATCH("Evolution_Name",Unified_Matrix!$1:$1,0)),"")</f>
        <v/>
      </c>
      <c r="L268" s="4">
        <f>IF(J268="","",IF(J268=0,"",IF(J268=$AB$28,1,IF(J268=$AB$29,2,IF(J268=$AB$30,3,"")))))</f>
        <v/>
      </c>
      <c r="M268" s="4">
        <f t="array" ref="M268">IFERROR(INDEX(Unified_Matrix!$A:$ZZ,ROW(A265),MATCH("+ OVR",Unified_Matrix!$1:$1,0)),"")</f>
        <v/>
      </c>
      <c r="N268" s="4">
        <f t="array" ref="N268">IFERROR(INDEX(Unified_Matrix!$A:$ZZ,ROW(A265),MATCH("Max OVR",Unified_Matrix!$1:$1,0)),"")</f>
        <v/>
      </c>
      <c r="O268" s="4">
        <f t="array" ref="O268">IFERROR(INDEX(Unified_Matrix!$A:$ZZ,ROW(A265),MATCH("Req_Position",Unified_Matrix!$1:$1,0)),"")</f>
        <v/>
      </c>
      <c r="P268" s="4">
        <f t="array" ref="P268">IFERROR(INDEX(Unified_Matrix!$A:$ZZ,ROW(A265),MATCH("Req_OVR_Max",Unified_Matrix!$1:$1,0)),"")</f>
        <v/>
      </c>
      <c r="Q268" s="4">
        <f t="array" ref="Q268">IFERROR(INDEX(Unified_Matrix!$A:$ZZ,ROW(A265),MATCH("Req_Other",Unified_Matrix!$1:$1,0)),"")</f>
        <v/>
      </c>
    </row>
    <row r="269" hidden="1">
      <c r="J269" s="4">
        <f t="array" ref="J269">IFERROR(INDEX(Unified_Matrix!$A:$ZZ,ROW(A266),MATCH("Max "&amp;$J$9,Unified_Matrix!$1:$1,0)),"")</f>
        <v/>
      </c>
      <c r="K269" s="4">
        <f t="array" ref="K269">IFERROR(INDEX(Unified_Matrix!$A:$ZZ,ROW(A266),MATCH("Evolution_Name",Unified_Matrix!$1:$1,0)),"")</f>
        <v/>
      </c>
      <c r="L269" s="4">
        <f>IF(J269="","",IF(J269=0,"",IF(J269=$AB$28,1,IF(J269=$AB$29,2,IF(J269=$AB$30,3,"")))))</f>
        <v/>
      </c>
      <c r="M269" s="4">
        <f t="array" ref="M269">IFERROR(INDEX(Unified_Matrix!$A:$ZZ,ROW(A266),MATCH("+ OVR",Unified_Matrix!$1:$1,0)),"")</f>
        <v/>
      </c>
      <c r="N269" s="4">
        <f t="array" ref="N269">IFERROR(INDEX(Unified_Matrix!$A:$ZZ,ROW(A266),MATCH("Max OVR",Unified_Matrix!$1:$1,0)),"")</f>
        <v/>
      </c>
      <c r="O269" s="4">
        <f t="array" ref="O269">IFERROR(INDEX(Unified_Matrix!$A:$ZZ,ROW(A266),MATCH("Req_Position",Unified_Matrix!$1:$1,0)),"")</f>
        <v/>
      </c>
      <c r="P269" s="4">
        <f t="array" ref="P269">IFERROR(INDEX(Unified_Matrix!$A:$ZZ,ROW(A266),MATCH("Req_OVR_Max",Unified_Matrix!$1:$1,0)),"")</f>
        <v/>
      </c>
      <c r="Q269" s="4">
        <f t="array" ref="Q269">IFERROR(INDEX(Unified_Matrix!$A:$ZZ,ROW(A266),MATCH("Req_Other",Unified_Matrix!$1:$1,0)),"")</f>
        <v/>
      </c>
    </row>
    <row r="270" hidden="1">
      <c r="J270" s="4">
        <f t="array" ref="J270">IFERROR(INDEX(Unified_Matrix!$A:$ZZ,ROW(A267),MATCH("Max "&amp;$J$9,Unified_Matrix!$1:$1,0)),"")</f>
        <v/>
      </c>
      <c r="K270" s="4">
        <f t="array" ref="K270">IFERROR(INDEX(Unified_Matrix!$A:$ZZ,ROW(A267),MATCH("Evolution_Name",Unified_Matrix!$1:$1,0)),"")</f>
        <v/>
      </c>
      <c r="L270" s="4">
        <f>IF(J270="","",IF(J270=0,"",IF(J270=$AB$28,1,IF(J270=$AB$29,2,IF(J270=$AB$30,3,"")))))</f>
        <v/>
      </c>
      <c r="M270" s="4">
        <f t="array" ref="M270">IFERROR(INDEX(Unified_Matrix!$A:$ZZ,ROW(A267),MATCH("+ OVR",Unified_Matrix!$1:$1,0)),"")</f>
        <v/>
      </c>
      <c r="N270" s="4">
        <f t="array" ref="N270">IFERROR(INDEX(Unified_Matrix!$A:$ZZ,ROW(A267),MATCH("Max OVR",Unified_Matrix!$1:$1,0)),"")</f>
        <v/>
      </c>
      <c r="O270" s="4">
        <f t="array" ref="O270">IFERROR(INDEX(Unified_Matrix!$A:$ZZ,ROW(A267),MATCH("Req_Position",Unified_Matrix!$1:$1,0)),"")</f>
        <v/>
      </c>
      <c r="P270" s="4">
        <f t="array" ref="P270">IFERROR(INDEX(Unified_Matrix!$A:$ZZ,ROW(A267),MATCH("Req_OVR_Max",Unified_Matrix!$1:$1,0)),"")</f>
        <v/>
      </c>
      <c r="Q270" s="4">
        <f t="array" ref="Q270">IFERROR(INDEX(Unified_Matrix!$A:$ZZ,ROW(A267),MATCH("Req_Other",Unified_Matrix!$1:$1,0)),"")</f>
        <v/>
      </c>
    </row>
    <row r="271" hidden="1">
      <c r="J271" s="4">
        <f t="array" ref="J271">IFERROR(INDEX(Unified_Matrix!$A:$ZZ,ROW(A268),MATCH("Max "&amp;$J$9,Unified_Matrix!$1:$1,0)),"")</f>
        <v/>
      </c>
      <c r="K271" s="4">
        <f t="array" ref="K271">IFERROR(INDEX(Unified_Matrix!$A:$ZZ,ROW(A268),MATCH("Evolution_Name",Unified_Matrix!$1:$1,0)),"")</f>
        <v/>
      </c>
      <c r="L271" s="4">
        <f>IF(J271="","",IF(J271=0,"",IF(J271=$AB$28,1,IF(J271=$AB$29,2,IF(J271=$AB$30,3,"")))))</f>
        <v/>
      </c>
      <c r="M271" s="4">
        <f t="array" ref="M271">IFERROR(INDEX(Unified_Matrix!$A:$ZZ,ROW(A268),MATCH("+ OVR",Unified_Matrix!$1:$1,0)),"")</f>
        <v/>
      </c>
      <c r="N271" s="4">
        <f t="array" ref="N271">IFERROR(INDEX(Unified_Matrix!$A:$ZZ,ROW(A268),MATCH("Max OVR",Unified_Matrix!$1:$1,0)),"")</f>
        <v/>
      </c>
      <c r="O271" s="4">
        <f t="array" ref="O271">IFERROR(INDEX(Unified_Matrix!$A:$ZZ,ROW(A268),MATCH("Req_Position",Unified_Matrix!$1:$1,0)),"")</f>
        <v/>
      </c>
      <c r="P271" s="4">
        <f t="array" ref="P271">IFERROR(INDEX(Unified_Matrix!$A:$ZZ,ROW(A268),MATCH("Req_OVR_Max",Unified_Matrix!$1:$1,0)),"")</f>
        <v/>
      </c>
      <c r="Q271" s="4">
        <f t="array" ref="Q271">IFERROR(INDEX(Unified_Matrix!$A:$ZZ,ROW(A268),MATCH("Req_Other",Unified_Matrix!$1:$1,0)),"")</f>
        <v/>
      </c>
    </row>
    <row r="272" hidden="1">
      <c r="J272" s="4">
        <f t="array" ref="J272">IFERROR(INDEX(Unified_Matrix!$A:$ZZ,ROW(A269),MATCH("Max "&amp;$J$9,Unified_Matrix!$1:$1,0)),"")</f>
        <v/>
      </c>
      <c r="K272" s="4">
        <f t="array" ref="K272">IFERROR(INDEX(Unified_Matrix!$A:$ZZ,ROW(A269),MATCH("Evolution_Name",Unified_Matrix!$1:$1,0)),"")</f>
        <v/>
      </c>
      <c r="L272" s="4">
        <f>IF(J272="","",IF(J272=0,"",IF(J272=$AB$28,1,IF(J272=$AB$29,2,IF(J272=$AB$30,3,"")))))</f>
        <v/>
      </c>
      <c r="M272" s="4">
        <f t="array" ref="M272">IFERROR(INDEX(Unified_Matrix!$A:$ZZ,ROW(A269),MATCH("+ OVR",Unified_Matrix!$1:$1,0)),"")</f>
        <v/>
      </c>
      <c r="N272" s="4">
        <f t="array" ref="N272">IFERROR(INDEX(Unified_Matrix!$A:$ZZ,ROW(A269),MATCH("Max OVR",Unified_Matrix!$1:$1,0)),"")</f>
        <v/>
      </c>
      <c r="O272" s="4">
        <f t="array" ref="O272">IFERROR(INDEX(Unified_Matrix!$A:$ZZ,ROW(A269),MATCH("Req_Position",Unified_Matrix!$1:$1,0)),"")</f>
        <v/>
      </c>
      <c r="P272" s="4">
        <f t="array" ref="P272">IFERROR(INDEX(Unified_Matrix!$A:$ZZ,ROW(A269),MATCH("Req_OVR_Max",Unified_Matrix!$1:$1,0)),"")</f>
        <v/>
      </c>
      <c r="Q272" s="4">
        <f t="array" ref="Q272">IFERROR(INDEX(Unified_Matrix!$A:$ZZ,ROW(A269),MATCH("Req_Other",Unified_Matrix!$1:$1,0)),"")</f>
        <v/>
      </c>
    </row>
    <row r="273" hidden="1">
      <c r="J273" s="4">
        <f t="array" ref="J273">IFERROR(INDEX(Unified_Matrix!$A:$ZZ,ROW(A270),MATCH("Max "&amp;$J$9,Unified_Matrix!$1:$1,0)),"")</f>
        <v/>
      </c>
      <c r="K273" s="4">
        <f t="array" ref="K273">IFERROR(INDEX(Unified_Matrix!$A:$ZZ,ROW(A270),MATCH("Evolution_Name",Unified_Matrix!$1:$1,0)),"")</f>
        <v/>
      </c>
      <c r="L273" s="4">
        <f>IF(J273="","",IF(J273=0,"",IF(J273=$AB$28,1,IF(J273=$AB$29,2,IF(J273=$AB$30,3,"")))))</f>
        <v/>
      </c>
      <c r="M273" s="4">
        <f t="array" ref="M273">IFERROR(INDEX(Unified_Matrix!$A:$ZZ,ROW(A270),MATCH("+ OVR",Unified_Matrix!$1:$1,0)),"")</f>
        <v/>
      </c>
      <c r="N273" s="4">
        <f t="array" ref="N273">IFERROR(INDEX(Unified_Matrix!$A:$ZZ,ROW(A270),MATCH("Max OVR",Unified_Matrix!$1:$1,0)),"")</f>
        <v/>
      </c>
      <c r="O273" s="4">
        <f t="array" ref="O273">IFERROR(INDEX(Unified_Matrix!$A:$ZZ,ROW(A270),MATCH("Req_Position",Unified_Matrix!$1:$1,0)),"")</f>
        <v/>
      </c>
      <c r="P273" s="4">
        <f t="array" ref="P273">IFERROR(INDEX(Unified_Matrix!$A:$ZZ,ROW(A270),MATCH("Req_OVR_Max",Unified_Matrix!$1:$1,0)),"")</f>
        <v/>
      </c>
      <c r="Q273" s="4">
        <f t="array" ref="Q273">IFERROR(INDEX(Unified_Matrix!$A:$ZZ,ROW(A270),MATCH("Req_Other",Unified_Matrix!$1:$1,0)),"")</f>
        <v/>
      </c>
    </row>
    <row r="274" hidden="1">
      <c r="J274" s="4">
        <f t="array" ref="J274">IFERROR(INDEX(Unified_Matrix!$A:$ZZ,ROW(A271),MATCH("Max "&amp;$J$9,Unified_Matrix!$1:$1,0)),"")</f>
        <v/>
      </c>
      <c r="K274" s="4">
        <f t="array" ref="K274">IFERROR(INDEX(Unified_Matrix!$A:$ZZ,ROW(A271),MATCH("Evolution_Name",Unified_Matrix!$1:$1,0)),"")</f>
        <v/>
      </c>
      <c r="L274" s="4">
        <f>IF(J274="","",IF(J274=0,"",IF(J274=$AB$28,1,IF(J274=$AB$29,2,IF(J274=$AB$30,3,"")))))</f>
        <v/>
      </c>
      <c r="M274" s="4">
        <f t="array" ref="M274">IFERROR(INDEX(Unified_Matrix!$A:$ZZ,ROW(A271),MATCH("+ OVR",Unified_Matrix!$1:$1,0)),"")</f>
        <v/>
      </c>
      <c r="N274" s="4">
        <f t="array" ref="N274">IFERROR(INDEX(Unified_Matrix!$A:$ZZ,ROW(A271),MATCH("Max OVR",Unified_Matrix!$1:$1,0)),"")</f>
        <v/>
      </c>
      <c r="O274" s="4">
        <f t="array" ref="O274">IFERROR(INDEX(Unified_Matrix!$A:$ZZ,ROW(A271),MATCH("Req_Position",Unified_Matrix!$1:$1,0)),"")</f>
        <v/>
      </c>
      <c r="P274" s="4">
        <f t="array" ref="P274">IFERROR(INDEX(Unified_Matrix!$A:$ZZ,ROW(A271),MATCH("Req_OVR_Max",Unified_Matrix!$1:$1,0)),"")</f>
        <v/>
      </c>
      <c r="Q274" s="4">
        <f t="array" ref="Q274">IFERROR(INDEX(Unified_Matrix!$A:$ZZ,ROW(A271),MATCH("Req_Other",Unified_Matrix!$1:$1,0)),"")</f>
        <v/>
      </c>
    </row>
    <row r="275" hidden="1">
      <c r="J275" s="4">
        <f t="array" ref="J275">IFERROR(INDEX(Unified_Matrix!$A:$ZZ,ROW(A272),MATCH("Max "&amp;$J$9,Unified_Matrix!$1:$1,0)),"")</f>
        <v/>
      </c>
      <c r="K275" s="4">
        <f t="array" ref="K275">IFERROR(INDEX(Unified_Matrix!$A:$ZZ,ROW(A272),MATCH("Evolution_Name",Unified_Matrix!$1:$1,0)),"")</f>
        <v/>
      </c>
      <c r="L275" s="4">
        <f>IF(J275="","",IF(J275=0,"",IF(J275=$AB$28,1,IF(J275=$AB$29,2,IF(J275=$AB$30,3,"")))))</f>
        <v/>
      </c>
      <c r="M275" s="4">
        <f t="array" ref="M275">IFERROR(INDEX(Unified_Matrix!$A:$ZZ,ROW(A272),MATCH("+ OVR",Unified_Matrix!$1:$1,0)),"")</f>
        <v/>
      </c>
      <c r="N275" s="4">
        <f t="array" ref="N275">IFERROR(INDEX(Unified_Matrix!$A:$ZZ,ROW(A272),MATCH("Max OVR",Unified_Matrix!$1:$1,0)),"")</f>
        <v/>
      </c>
      <c r="O275" s="4">
        <f t="array" ref="O275">IFERROR(INDEX(Unified_Matrix!$A:$ZZ,ROW(A272),MATCH("Req_Position",Unified_Matrix!$1:$1,0)),"")</f>
        <v/>
      </c>
      <c r="P275" s="4">
        <f t="array" ref="P275">IFERROR(INDEX(Unified_Matrix!$A:$ZZ,ROW(A272),MATCH("Req_OVR_Max",Unified_Matrix!$1:$1,0)),"")</f>
        <v/>
      </c>
      <c r="Q275" s="4">
        <f t="array" ref="Q275">IFERROR(INDEX(Unified_Matrix!$A:$ZZ,ROW(A272),MATCH("Req_Other",Unified_Matrix!$1:$1,0)),"")</f>
        <v/>
      </c>
    </row>
    <row r="276" hidden="1">
      <c r="J276" s="4">
        <f t="array" ref="J276">IFERROR(INDEX(Unified_Matrix!$A:$ZZ,ROW(A273),MATCH("Max "&amp;$J$9,Unified_Matrix!$1:$1,0)),"")</f>
        <v/>
      </c>
      <c r="K276" s="4">
        <f t="array" ref="K276">IFERROR(INDEX(Unified_Matrix!$A:$ZZ,ROW(A273),MATCH("Evolution_Name",Unified_Matrix!$1:$1,0)),"")</f>
        <v/>
      </c>
      <c r="L276" s="4">
        <f>IF(J276="","",IF(J276=0,"",IF(J276=$AB$28,1,IF(J276=$AB$29,2,IF(J276=$AB$30,3,"")))))</f>
        <v/>
      </c>
      <c r="M276" s="4">
        <f t="array" ref="M276">IFERROR(INDEX(Unified_Matrix!$A:$ZZ,ROW(A273),MATCH("+ OVR",Unified_Matrix!$1:$1,0)),"")</f>
        <v/>
      </c>
      <c r="N276" s="4">
        <f t="array" ref="N276">IFERROR(INDEX(Unified_Matrix!$A:$ZZ,ROW(A273),MATCH("Max OVR",Unified_Matrix!$1:$1,0)),"")</f>
        <v/>
      </c>
      <c r="O276" s="4">
        <f t="array" ref="O276">IFERROR(INDEX(Unified_Matrix!$A:$ZZ,ROW(A273),MATCH("Req_Position",Unified_Matrix!$1:$1,0)),"")</f>
        <v/>
      </c>
      <c r="P276" s="4">
        <f t="array" ref="P276">IFERROR(INDEX(Unified_Matrix!$A:$ZZ,ROW(A273),MATCH("Req_OVR_Max",Unified_Matrix!$1:$1,0)),"")</f>
        <v/>
      </c>
      <c r="Q276" s="4">
        <f t="array" ref="Q276">IFERROR(INDEX(Unified_Matrix!$A:$ZZ,ROW(A273),MATCH("Req_Other",Unified_Matrix!$1:$1,0)),"")</f>
        <v/>
      </c>
    </row>
    <row r="277" hidden="1">
      <c r="J277" s="4">
        <f t="array" ref="J277">IFERROR(INDEX(Unified_Matrix!$A:$ZZ,ROW(A274),MATCH("Max "&amp;$J$9,Unified_Matrix!$1:$1,0)),"")</f>
        <v/>
      </c>
      <c r="K277" s="4">
        <f t="array" ref="K277">IFERROR(INDEX(Unified_Matrix!$A:$ZZ,ROW(A274),MATCH("Evolution_Name",Unified_Matrix!$1:$1,0)),"")</f>
        <v/>
      </c>
      <c r="L277" s="4">
        <f>IF(J277="","",IF(J277=0,"",IF(J277=$AB$28,1,IF(J277=$AB$29,2,IF(J277=$AB$30,3,"")))))</f>
        <v/>
      </c>
      <c r="M277" s="4">
        <f t="array" ref="M277">IFERROR(INDEX(Unified_Matrix!$A:$ZZ,ROW(A274),MATCH("+ OVR",Unified_Matrix!$1:$1,0)),"")</f>
        <v/>
      </c>
      <c r="N277" s="4">
        <f t="array" ref="N277">IFERROR(INDEX(Unified_Matrix!$A:$ZZ,ROW(A274),MATCH("Max OVR",Unified_Matrix!$1:$1,0)),"")</f>
        <v/>
      </c>
      <c r="O277" s="4">
        <f t="array" ref="O277">IFERROR(INDEX(Unified_Matrix!$A:$ZZ,ROW(A274),MATCH("Req_Position",Unified_Matrix!$1:$1,0)),"")</f>
        <v/>
      </c>
      <c r="P277" s="4">
        <f t="array" ref="P277">IFERROR(INDEX(Unified_Matrix!$A:$ZZ,ROW(A274),MATCH("Req_OVR_Max",Unified_Matrix!$1:$1,0)),"")</f>
        <v/>
      </c>
      <c r="Q277" s="4">
        <f t="array" ref="Q277">IFERROR(INDEX(Unified_Matrix!$A:$ZZ,ROW(A274),MATCH("Req_Other",Unified_Matrix!$1:$1,0)),"")</f>
        <v/>
      </c>
    </row>
    <row r="278" hidden="1">
      <c r="J278" s="4">
        <f t="array" ref="J278">IFERROR(INDEX(Unified_Matrix!$A:$ZZ,ROW(A275),MATCH("Max "&amp;$J$9,Unified_Matrix!$1:$1,0)),"")</f>
        <v/>
      </c>
      <c r="K278" s="4">
        <f t="array" ref="K278">IFERROR(INDEX(Unified_Matrix!$A:$ZZ,ROW(A275),MATCH("Evolution_Name",Unified_Matrix!$1:$1,0)),"")</f>
        <v/>
      </c>
      <c r="L278" s="4">
        <f>IF(J278="","",IF(J278=0,"",IF(J278=$AB$28,1,IF(J278=$AB$29,2,IF(J278=$AB$30,3,"")))))</f>
        <v/>
      </c>
      <c r="M278" s="4">
        <f t="array" ref="M278">IFERROR(INDEX(Unified_Matrix!$A:$ZZ,ROW(A275),MATCH("+ OVR",Unified_Matrix!$1:$1,0)),"")</f>
        <v/>
      </c>
      <c r="N278" s="4">
        <f t="array" ref="N278">IFERROR(INDEX(Unified_Matrix!$A:$ZZ,ROW(A275),MATCH("Max OVR",Unified_Matrix!$1:$1,0)),"")</f>
        <v/>
      </c>
      <c r="O278" s="4">
        <f t="array" ref="O278">IFERROR(INDEX(Unified_Matrix!$A:$ZZ,ROW(A275),MATCH("Req_Position",Unified_Matrix!$1:$1,0)),"")</f>
        <v/>
      </c>
      <c r="P278" s="4">
        <f t="array" ref="P278">IFERROR(INDEX(Unified_Matrix!$A:$ZZ,ROW(A275),MATCH("Req_OVR_Max",Unified_Matrix!$1:$1,0)),"")</f>
        <v/>
      </c>
      <c r="Q278" s="4">
        <f t="array" ref="Q278">IFERROR(INDEX(Unified_Matrix!$A:$ZZ,ROW(A275),MATCH("Req_Other",Unified_Matrix!$1:$1,0)),"")</f>
        <v/>
      </c>
    </row>
    <row r="279" hidden="1">
      <c r="J279" s="4">
        <f t="array" ref="J279">IFERROR(INDEX(Unified_Matrix!$A:$ZZ,ROW(A276),MATCH("Max "&amp;$J$9,Unified_Matrix!$1:$1,0)),"")</f>
        <v/>
      </c>
      <c r="K279" s="4">
        <f t="array" ref="K279">IFERROR(INDEX(Unified_Matrix!$A:$ZZ,ROW(A276),MATCH("Evolution_Name",Unified_Matrix!$1:$1,0)),"")</f>
        <v/>
      </c>
      <c r="L279" s="4">
        <f>IF(J279="","",IF(J279=0,"",IF(J279=$AB$28,1,IF(J279=$AB$29,2,IF(J279=$AB$30,3,"")))))</f>
        <v/>
      </c>
      <c r="M279" s="4">
        <f t="array" ref="M279">IFERROR(INDEX(Unified_Matrix!$A:$ZZ,ROW(A276),MATCH("+ OVR",Unified_Matrix!$1:$1,0)),"")</f>
        <v/>
      </c>
      <c r="N279" s="4">
        <f t="array" ref="N279">IFERROR(INDEX(Unified_Matrix!$A:$ZZ,ROW(A276),MATCH("Max OVR",Unified_Matrix!$1:$1,0)),"")</f>
        <v/>
      </c>
      <c r="O279" s="4">
        <f t="array" ref="O279">IFERROR(INDEX(Unified_Matrix!$A:$ZZ,ROW(A276),MATCH("Req_Position",Unified_Matrix!$1:$1,0)),"")</f>
        <v/>
      </c>
      <c r="P279" s="4">
        <f t="array" ref="P279">IFERROR(INDEX(Unified_Matrix!$A:$ZZ,ROW(A276),MATCH("Req_OVR_Max",Unified_Matrix!$1:$1,0)),"")</f>
        <v/>
      </c>
      <c r="Q279" s="4">
        <f t="array" ref="Q279">IFERROR(INDEX(Unified_Matrix!$A:$ZZ,ROW(A276),MATCH("Req_Other",Unified_Matrix!$1:$1,0)),"")</f>
        <v/>
      </c>
    </row>
    <row r="280" hidden="1">
      <c r="J280" s="4">
        <f t="array" ref="J280">IFERROR(INDEX(Unified_Matrix!$A:$ZZ,ROW(A277),MATCH("Max "&amp;$J$9,Unified_Matrix!$1:$1,0)),"")</f>
        <v/>
      </c>
      <c r="K280" s="4">
        <f t="array" ref="K280">IFERROR(INDEX(Unified_Matrix!$A:$ZZ,ROW(A277),MATCH("Evolution_Name",Unified_Matrix!$1:$1,0)),"")</f>
        <v/>
      </c>
      <c r="L280" s="4">
        <f>IF(J280="","",IF(J280=0,"",IF(J280=$AB$28,1,IF(J280=$AB$29,2,IF(J280=$AB$30,3,"")))))</f>
        <v/>
      </c>
      <c r="M280" s="4">
        <f t="array" ref="M280">IFERROR(INDEX(Unified_Matrix!$A:$ZZ,ROW(A277),MATCH("+ OVR",Unified_Matrix!$1:$1,0)),"")</f>
        <v/>
      </c>
      <c r="N280" s="4">
        <f t="array" ref="N280">IFERROR(INDEX(Unified_Matrix!$A:$ZZ,ROW(A277),MATCH("Max OVR",Unified_Matrix!$1:$1,0)),"")</f>
        <v/>
      </c>
      <c r="O280" s="4">
        <f t="array" ref="O280">IFERROR(INDEX(Unified_Matrix!$A:$ZZ,ROW(A277),MATCH("Req_Position",Unified_Matrix!$1:$1,0)),"")</f>
        <v/>
      </c>
      <c r="P280" s="4">
        <f t="array" ref="P280">IFERROR(INDEX(Unified_Matrix!$A:$ZZ,ROW(A277),MATCH("Req_OVR_Max",Unified_Matrix!$1:$1,0)),"")</f>
        <v/>
      </c>
      <c r="Q280" s="4">
        <f t="array" ref="Q280">IFERROR(INDEX(Unified_Matrix!$A:$ZZ,ROW(A277),MATCH("Req_Other",Unified_Matrix!$1:$1,0)),"")</f>
        <v/>
      </c>
    </row>
    <row r="281" hidden="1">
      <c r="J281" s="4">
        <f t="array" ref="J281">IFERROR(INDEX(Unified_Matrix!$A:$ZZ,ROW(A278),MATCH("Max "&amp;$J$9,Unified_Matrix!$1:$1,0)),"")</f>
        <v/>
      </c>
      <c r="K281" s="4">
        <f t="array" ref="K281">IFERROR(INDEX(Unified_Matrix!$A:$ZZ,ROW(A278),MATCH("Evolution_Name",Unified_Matrix!$1:$1,0)),"")</f>
        <v/>
      </c>
      <c r="L281" s="4">
        <f>IF(J281="","",IF(J281=0,"",IF(J281=$AB$28,1,IF(J281=$AB$29,2,IF(J281=$AB$30,3,"")))))</f>
        <v/>
      </c>
      <c r="M281" s="4">
        <f t="array" ref="M281">IFERROR(INDEX(Unified_Matrix!$A:$ZZ,ROW(A278),MATCH("+ OVR",Unified_Matrix!$1:$1,0)),"")</f>
        <v/>
      </c>
      <c r="N281" s="4">
        <f t="array" ref="N281">IFERROR(INDEX(Unified_Matrix!$A:$ZZ,ROW(A278),MATCH("Max OVR",Unified_Matrix!$1:$1,0)),"")</f>
        <v/>
      </c>
      <c r="O281" s="4">
        <f t="array" ref="O281">IFERROR(INDEX(Unified_Matrix!$A:$ZZ,ROW(A278),MATCH("Req_Position",Unified_Matrix!$1:$1,0)),"")</f>
        <v/>
      </c>
      <c r="P281" s="4">
        <f t="array" ref="P281">IFERROR(INDEX(Unified_Matrix!$A:$ZZ,ROW(A278),MATCH("Req_OVR_Max",Unified_Matrix!$1:$1,0)),"")</f>
        <v/>
      </c>
      <c r="Q281" s="4">
        <f t="array" ref="Q281">IFERROR(INDEX(Unified_Matrix!$A:$ZZ,ROW(A278),MATCH("Req_Other",Unified_Matrix!$1:$1,0)),"")</f>
        <v/>
      </c>
    </row>
    <row r="282" hidden="1">
      <c r="J282" s="4">
        <f t="array" ref="J282">IFERROR(INDEX(Unified_Matrix!$A:$ZZ,ROW(A279),MATCH("Max "&amp;$J$9,Unified_Matrix!$1:$1,0)),"")</f>
        <v/>
      </c>
      <c r="K282" s="4">
        <f t="array" ref="K282">IFERROR(INDEX(Unified_Matrix!$A:$ZZ,ROW(A279),MATCH("Evolution_Name",Unified_Matrix!$1:$1,0)),"")</f>
        <v/>
      </c>
      <c r="L282" s="4">
        <f>IF(J282="","",IF(J282=0,"",IF(J282=$AB$28,1,IF(J282=$AB$29,2,IF(J282=$AB$30,3,"")))))</f>
        <v/>
      </c>
      <c r="M282" s="4">
        <f t="array" ref="M282">IFERROR(INDEX(Unified_Matrix!$A:$ZZ,ROW(A279),MATCH("+ OVR",Unified_Matrix!$1:$1,0)),"")</f>
        <v/>
      </c>
      <c r="N282" s="4">
        <f t="array" ref="N282">IFERROR(INDEX(Unified_Matrix!$A:$ZZ,ROW(A279),MATCH("Max OVR",Unified_Matrix!$1:$1,0)),"")</f>
        <v/>
      </c>
      <c r="O282" s="4">
        <f t="array" ref="O282">IFERROR(INDEX(Unified_Matrix!$A:$ZZ,ROW(A279),MATCH("Req_Position",Unified_Matrix!$1:$1,0)),"")</f>
        <v/>
      </c>
      <c r="P282" s="4">
        <f t="array" ref="P282">IFERROR(INDEX(Unified_Matrix!$A:$ZZ,ROW(A279),MATCH("Req_OVR_Max",Unified_Matrix!$1:$1,0)),"")</f>
        <v/>
      </c>
      <c r="Q282" s="4">
        <f t="array" ref="Q282">IFERROR(INDEX(Unified_Matrix!$A:$ZZ,ROW(A279),MATCH("Req_Other",Unified_Matrix!$1:$1,0)),"")</f>
        <v/>
      </c>
    </row>
    <row r="283" hidden="1">
      <c r="J283" s="4">
        <f t="array" ref="J283">IFERROR(INDEX(Unified_Matrix!$A:$ZZ,ROW(A280),MATCH("Max "&amp;$J$9,Unified_Matrix!$1:$1,0)),"")</f>
        <v/>
      </c>
      <c r="K283" s="4">
        <f t="array" ref="K283">IFERROR(INDEX(Unified_Matrix!$A:$ZZ,ROW(A280),MATCH("Evolution_Name",Unified_Matrix!$1:$1,0)),"")</f>
        <v/>
      </c>
      <c r="L283" s="4">
        <f>IF(J283="","",IF(J283=0,"",IF(J283=$AB$28,1,IF(J283=$AB$29,2,IF(J283=$AB$30,3,"")))))</f>
        <v/>
      </c>
      <c r="M283" s="4">
        <f t="array" ref="M283">IFERROR(INDEX(Unified_Matrix!$A:$ZZ,ROW(A280),MATCH("+ OVR",Unified_Matrix!$1:$1,0)),"")</f>
        <v/>
      </c>
      <c r="N283" s="4">
        <f t="array" ref="N283">IFERROR(INDEX(Unified_Matrix!$A:$ZZ,ROW(A280),MATCH("Max OVR",Unified_Matrix!$1:$1,0)),"")</f>
        <v/>
      </c>
      <c r="O283" s="4">
        <f t="array" ref="O283">IFERROR(INDEX(Unified_Matrix!$A:$ZZ,ROW(A280),MATCH("Req_Position",Unified_Matrix!$1:$1,0)),"")</f>
        <v/>
      </c>
      <c r="P283" s="4">
        <f t="array" ref="P283">IFERROR(INDEX(Unified_Matrix!$A:$ZZ,ROW(A280),MATCH("Req_OVR_Max",Unified_Matrix!$1:$1,0)),"")</f>
        <v/>
      </c>
      <c r="Q283" s="4">
        <f t="array" ref="Q283">IFERROR(INDEX(Unified_Matrix!$A:$ZZ,ROW(A280),MATCH("Req_Other",Unified_Matrix!$1:$1,0)),"")</f>
        <v/>
      </c>
    </row>
    <row r="284" hidden="1">
      <c r="J284" s="4">
        <f t="array" ref="J284">IFERROR(INDEX(Unified_Matrix!$A:$ZZ,ROW(A281),MATCH("Max "&amp;$J$9,Unified_Matrix!$1:$1,0)),"")</f>
        <v/>
      </c>
      <c r="K284" s="4">
        <f t="array" ref="K284">IFERROR(INDEX(Unified_Matrix!$A:$ZZ,ROW(A281),MATCH("Evolution_Name",Unified_Matrix!$1:$1,0)),"")</f>
        <v/>
      </c>
      <c r="L284" s="4">
        <f>IF(J284="","",IF(J284=0,"",IF(J284=$AB$28,1,IF(J284=$AB$29,2,IF(J284=$AB$30,3,"")))))</f>
        <v/>
      </c>
      <c r="M284" s="4">
        <f t="array" ref="M284">IFERROR(INDEX(Unified_Matrix!$A:$ZZ,ROW(A281),MATCH("+ OVR",Unified_Matrix!$1:$1,0)),"")</f>
        <v/>
      </c>
      <c r="N284" s="4">
        <f t="array" ref="N284">IFERROR(INDEX(Unified_Matrix!$A:$ZZ,ROW(A281),MATCH("Max OVR",Unified_Matrix!$1:$1,0)),"")</f>
        <v/>
      </c>
      <c r="O284" s="4">
        <f t="array" ref="O284">IFERROR(INDEX(Unified_Matrix!$A:$ZZ,ROW(A281),MATCH("Req_Position",Unified_Matrix!$1:$1,0)),"")</f>
        <v/>
      </c>
      <c r="P284" s="4">
        <f t="array" ref="P284">IFERROR(INDEX(Unified_Matrix!$A:$ZZ,ROW(A281),MATCH("Req_OVR_Max",Unified_Matrix!$1:$1,0)),"")</f>
        <v/>
      </c>
      <c r="Q284" s="4">
        <f t="array" ref="Q284">IFERROR(INDEX(Unified_Matrix!$A:$ZZ,ROW(A281),MATCH("Req_Other",Unified_Matrix!$1:$1,0)),"")</f>
        <v/>
      </c>
    </row>
    <row r="285" hidden="1">
      <c r="J285" s="4">
        <f t="array" ref="J285">IFERROR(INDEX(Unified_Matrix!$A:$ZZ,ROW(A282),MATCH("Max "&amp;$J$9,Unified_Matrix!$1:$1,0)),"")</f>
        <v/>
      </c>
      <c r="K285" s="4">
        <f t="array" ref="K285">IFERROR(INDEX(Unified_Matrix!$A:$ZZ,ROW(A282),MATCH("Evolution_Name",Unified_Matrix!$1:$1,0)),"")</f>
        <v/>
      </c>
      <c r="L285" s="4">
        <f>IF(J285="","",IF(J285=0,"",IF(J285=$AB$28,1,IF(J285=$AB$29,2,IF(J285=$AB$30,3,"")))))</f>
        <v/>
      </c>
      <c r="M285" s="4">
        <f t="array" ref="M285">IFERROR(INDEX(Unified_Matrix!$A:$ZZ,ROW(A282),MATCH("+ OVR",Unified_Matrix!$1:$1,0)),"")</f>
        <v/>
      </c>
      <c r="N285" s="4">
        <f t="array" ref="N285">IFERROR(INDEX(Unified_Matrix!$A:$ZZ,ROW(A282),MATCH("Max OVR",Unified_Matrix!$1:$1,0)),"")</f>
        <v/>
      </c>
      <c r="O285" s="4">
        <f t="array" ref="O285">IFERROR(INDEX(Unified_Matrix!$A:$ZZ,ROW(A282),MATCH("Req_Position",Unified_Matrix!$1:$1,0)),"")</f>
        <v/>
      </c>
      <c r="P285" s="4">
        <f t="array" ref="P285">IFERROR(INDEX(Unified_Matrix!$A:$ZZ,ROW(A282),MATCH("Req_OVR_Max",Unified_Matrix!$1:$1,0)),"")</f>
        <v/>
      </c>
      <c r="Q285" s="4">
        <f t="array" ref="Q285">IFERROR(INDEX(Unified_Matrix!$A:$ZZ,ROW(A282),MATCH("Req_Other",Unified_Matrix!$1:$1,0)),"")</f>
        <v/>
      </c>
    </row>
    <row r="286" hidden="1">
      <c r="J286" s="4">
        <f t="array" ref="J286">IFERROR(INDEX(Unified_Matrix!$A:$ZZ,ROW(A283),MATCH("Max "&amp;$J$9,Unified_Matrix!$1:$1,0)),"")</f>
        <v/>
      </c>
      <c r="K286" s="4">
        <f t="array" ref="K286">IFERROR(INDEX(Unified_Matrix!$A:$ZZ,ROW(A283),MATCH("Evolution_Name",Unified_Matrix!$1:$1,0)),"")</f>
        <v/>
      </c>
      <c r="L286" s="4">
        <f>IF(J286="","",IF(J286=0,"",IF(J286=$AB$28,1,IF(J286=$AB$29,2,IF(J286=$AB$30,3,"")))))</f>
        <v/>
      </c>
      <c r="M286" s="4">
        <f t="array" ref="M286">IFERROR(INDEX(Unified_Matrix!$A:$ZZ,ROW(A283),MATCH("+ OVR",Unified_Matrix!$1:$1,0)),"")</f>
        <v/>
      </c>
      <c r="N286" s="4">
        <f t="array" ref="N286">IFERROR(INDEX(Unified_Matrix!$A:$ZZ,ROW(A283),MATCH("Max OVR",Unified_Matrix!$1:$1,0)),"")</f>
        <v/>
      </c>
      <c r="O286" s="4">
        <f t="array" ref="O286">IFERROR(INDEX(Unified_Matrix!$A:$ZZ,ROW(A283),MATCH("Req_Position",Unified_Matrix!$1:$1,0)),"")</f>
        <v/>
      </c>
      <c r="P286" s="4">
        <f t="array" ref="P286">IFERROR(INDEX(Unified_Matrix!$A:$ZZ,ROW(A283),MATCH("Req_OVR_Max",Unified_Matrix!$1:$1,0)),"")</f>
        <v/>
      </c>
      <c r="Q286" s="4">
        <f t="array" ref="Q286">IFERROR(INDEX(Unified_Matrix!$A:$ZZ,ROW(A283),MATCH("Req_Other",Unified_Matrix!$1:$1,0)),"")</f>
        <v/>
      </c>
    </row>
    <row r="287" hidden="1">
      <c r="J287" s="4">
        <f t="array" ref="J287">IFERROR(INDEX(Unified_Matrix!$A:$ZZ,ROW(A284),MATCH("Max "&amp;$J$9,Unified_Matrix!$1:$1,0)),"")</f>
        <v/>
      </c>
      <c r="K287" s="4">
        <f t="array" ref="K287">IFERROR(INDEX(Unified_Matrix!$A:$ZZ,ROW(A284),MATCH("Evolution_Name",Unified_Matrix!$1:$1,0)),"")</f>
        <v/>
      </c>
      <c r="L287" s="4">
        <f>IF(J287="","",IF(J287=0,"",IF(J287=$AB$28,1,IF(J287=$AB$29,2,IF(J287=$AB$30,3,"")))))</f>
        <v/>
      </c>
      <c r="M287" s="4">
        <f t="array" ref="M287">IFERROR(INDEX(Unified_Matrix!$A:$ZZ,ROW(A284),MATCH("+ OVR",Unified_Matrix!$1:$1,0)),"")</f>
        <v/>
      </c>
      <c r="N287" s="4">
        <f t="array" ref="N287">IFERROR(INDEX(Unified_Matrix!$A:$ZZ,ROW(A284),MATCH("Max OVR",Unified_Matrix!$1:$1,0)),"")</f>
        <v/>
      </c>
      <c r="O287" s="4">
        <f t="array" ref="O287">IFERROR(INDEX(Unified_Matrix!$A:$ZZ,ROW(A284),MATCH("Req_Position",Unified_Matrix!$1:$1,0)),"")</f>
        <v/>
      </c>
      <c r="P287" s="4">
        <f t="array" ref="P287">IFERROR(INDEX(Unified_Matrix!$A:$ZZ,ROW(A284),MATCH("Req_OVR_Max",Unified_Matrix!$1:$1,0)),"")</f>
        <v/>
      </c>
      <c r="Q287" s="4">
        <f t="array" ref="Q287">IFERROR(INDEX(Unified_Matrix!$A:$ZZ,ROW(A284),MATCH("Req_Other",Unified_Matrix!$1:$1,0)),"")</f>
        <v/>
      </c>
    </row>
    <row r="288" hidden="1">
      <c r="J288" s="4">
        <f t="array" ref="J288">IFERROR(INDEX(Unified_Matrix!$A:$ZZ,ROW(A285),MATCH("Max "&amp;$J$9,Unified_Matrix!$1:$1,0)),"")</f>
        <v/>
      </c>
      <c r="K288" s="4">
        <f t="array" ref="K288">IFERROR(INDEX(Unified_Matrix!$A:$ZZ,ROW(A285),MATCH("Evolution_Name",Unified_Matrix!$1:$1,0)),"")</f>
        <v/>
      </c>
      <c r="L288" s="4">
        <f>IF(J288="","",IF(J288=0,"",IF(J288=$AB$28,1,IF(J288=$AB$29,2,IF(J288=$AB$30,3,"")))))</f>
        <v/>
      </c>
      <c r="M288" s="4">
        <f t="array" ref="M288">IFERROR(INDEX(Unified_Matrix!$A:$ZZ,ROW(A285),MATCH("+ OVR",Unified_Matrix!$1:$1,0)),"")</f>
        <v/>
      </c>
      <c r="N288" s="4">
        <f t="array" ref="N288">IFERROR(INDEX(Unified_Matrix!$A:$ZZ,ROW(A285),MATCH("Max OVR",Unified_Matrix!$1:$1,0)),"")</f>
        <v/>
      </c>
      <c r="O288" s="4">
        <f t="array" ref="O288">IFERROR(INDEX(Unified_Matrix!$A:$ZZ,ROW(A285),MATCH("Req_Position",Unified_Matrix!$1:$1,0)),"")</f>
        <v/>
      </c>
      <c r="P288" s="4">
        <f t="array" ref="P288">IFERROR(INDEX(Unified_Matrix!$A:$ZZ,ROW(A285),MATCH("Req_OVR_Max",Unified_Matrix!$1:$1,0)),"")</f>
        <v/>
      </c>
      <c r="Q288" s="4">
        <f t="array" ref="Q288">IFERROR(INDEX(Unified_Matrix!$A:$ZZ,ROW(A285),MATCH("Req_Other",Unified_Matrix!$1:$1,0)),"")</f>
        <v/>
      </c>
    </row>
    <row r="289" hidden="1">
      <c r="J289" s="4">
        <f t="array" ref="J289">IFERROR(INDEX(Unified_Matrix!$A:$ZZ,ROW(A286),MATCH("Max "&amp;$J$9,Unified_Matrix!$1:$1,0)),"")</f>
        <v/>
      </c>
      <c r="K289" s="4">
        <f t="array" ref="K289">IFERROR(INDEX(Unified_Matrix!$A:$ZZ,ROW(A286),MATCH("Evolution_Name",Unified_Matrix!$1:$1,0)),"")</f>
        <v/>
      </c>
      <c r="L289" s="4">
        <f>IF(J289="","",IF(J289=0,"",IF(J289=$AB$28,1,IF(J289=$AB$29,2,IF(J289=$AB$30,3,"")))))</f>
        <v/>
      </c>
      <c r="M289" s="4">
        <f t="array" ref="M289">IFERROR(INDEX(Unified_Matrix!$A:$ZZ,ROW(A286),MATCH("+ OVR",Unified_Matrix!$1:$1,0)),"")</f>
        <v/>
      </c>
      <c r="N289" s="4">
        <f t="array" ref="N289">IFERROR(INDEX(Unified_Matrix!$A:$ZZ,ROW(A286),MATCH("Max OVR",Unified_Matrix!$1:$1,0)),"")</f>
        <v/>
      </c>
      <c r="O289" s="4">
        <f t="array" ref="O289">IFERROR(INDEX(Unified_Matrix!$A:$ZZ,ROW(A286),MATCH("Req_Position",Unified_Matrix!$1:$1,0)),"")</f>
        <v/>
      </c>
      <c r="P289" s="4">
        <f t="array" ref="P289">IFERROR(INDEX(Unified_Matrix!$A:$ZZ,ROW(A286),MATCH("Req_OVR_Max",Unified_Matrix!$1:$1,0)),"")</f>
        <v/>
      </c>
      <c r="Q289" s="4">
        <f t="array" ref="Q289">IFERROR(INDEX(Unified_Matrix!$A:$ZZ,ROW(A286),MATCH("Req_Other",Unified_Matrix!$1:$1,0)),"")</f>
        <v/>
      </c>
    </row>
    <row r="290" hidden="1">
      <c r="J290" s="4">
        <f t="array" ref="J290">IFERROR(INDEX(Unified_Matrix!$A:$ZZ,ROW(A287),MATCH("Max "&amp;$J$9,Unified_Matrix!$1:$1,0)),"")</f>
        <v/>
      </c>
      <c r="K290" s="4">
        <f t="array" ref="K290">IFERROR(INDEX(Unified_Matrix!$A:$ZZ,ROW(A287),MATCH("Evolution_Name",Unified_Matrix!$1:$1,0)),"")</f>
        <v/>
      </c>
      <c r="L290" s="4">
        <f>IF(J290="","",IF(J290=0,"",IF(J290=$AB$28,1,IF(J290=$AB$29,2,IF(J290=$AB$30,3,"")))))</f>
        <v/>
      </c>
      <c r="M290" s="4">
        <f t="array" ref="M290">IFERROR(INDEX(Unified_Matrix!$A:$ZZ,ROW(A287),MATCH("+ OVR",Unified_Matrix!$1:$1,0)),"")</f>
        <v/>
      </c>
      <c r="N290" s="4">
        <f t="array" ref="N290">IFERROR(INDEX(Unified_Matrix!$A:$ZZ,ROW(A287),MATCH("Max OVR",Unified_Matrix!$1:$1,0)),"")</f>
        <v/>
      </c>
      <c r="O290" s="4">
        <f t="array" ref="O290">IFERROR(INDEX(Unified_Matrix!$A:$ZZ,ROW(A287),MATCH("Req_Position",Unified_Matrix!$1:$1,0)),"")</f>
        <v/>
      </c>
      <c r="P290" s="4">
        <f t="array" ref="P290">IFERROR(INDEX(Unified_Matrix!$A:$ZZ,ROW(A287),MATCH("Req_OVR_Max",Unified_Matrix!$1:$1,0)),"")</f>
        <v/>
      </c>
      <c r="Q290" s="4">
        <f t="array" ref="Q290">IFERROR(INDEX(Unified_Matrix!$A:$ZZ,ROW(A287),MATCH("Req_Other",Unified_Matrix!$1:$1,0)),"")</f>
        <v/>
      </c>
    </row>
    <row r="291" hidden="1">
      <c r="J291" s="4">
        <f t="array" ref="J291">IFERROR(INDEX(Unified_Matrix!$A:$ZZ,ROW(A288),MATCH("Max "&amp;$J$9,Unified_Matrix!$1:$1,0)),"")</f>
        <v/>
      </c>
      <c r="K291" s="4">
        <f t="array" ref="K291">IFERROR(INDEX(Unified_Matrix!$A:$ZZ,ROW(A288),MATCH("Evolution_Name",Unified_Matrix!$1:$1,0)),"")</f>
        <v/>
      </c>
      <c r="L291" s="4">
        <f>IF(J291="","",IF(J291=0,"",IF(J291=$AB$28,1,IF(J291=$AB$29,2,IF(J291=$AB$30,3,"")))))</f>
        <v/>
      </c>
      <c r="M291" s="4">
        <f t="array" ref="M291">IFERROR(INDEX(Unified_Matrix!$A:$ZZ,ROW(A288),MATCH("+ OVR",Unified_Matrix!$1:$1,0)),"")</f>
        <v/>
      </c>
      <c r="N291" s="4">
        <f t="array" ref="N291">IFERROR(INDEX(Unified_Matrix!$A:$ZZ,ROW(A288),MATCH("Max OVR",Unified_Matrix!$1:$1,0)),"")</f>
        <v/>
      </c>
      <c r="O291" s="4">
        <f t="array" ref="O291">IFERROR(INDEX(Unified_Matrix!$A:$ZZ,ROW(A288),MATCH("Req_Position",Unified_Matrix!$1:$1,0)),"")</f>
        <v/>
      </c>
      <c r="P291" s="4">
        <f t="array" ref="P291">IFERROR(INDEX(Unified_Matrix!$A:$ZZ,ROW(A288),MATCH("Req_OVR_Max",Unified_Matrix!$1:$1,0)),"")</f>
        <v/>
      </c>
      <c r="Q291" s="4">
        <f t="array" ref="Q291">IFERROR(INDEX(Unified_Matrix!$A:$ZZ,ROW(A288),MATCH("Req_Other",Unified_Matrix!$1:$1,0)),"")</f>
        <v/>
      </c>
    </row>
    <row r="292" hidden="1">
      <c r="J292" s="4">
        <f t="array" ref="J292">IFERROR(INDEX(Unified_Matrix!$A:$ZZ,ROW(A289),MATCH("Max "&amp;$J$9,Unified_Matrix!$1:$1,0)),"")</f>
        <v/>
      </c>
      <c r="K292" s="4">
        <f t="array" ref="K292">IFERROR(INDEX(Unified_Matrix!$A:$ZZ,ROW(A289),MATCH("Evolution_Name",Unified_Matrix!$1:$1,0)),"")</f>
        <v/>
      </c>
      <c r="L292" s="4">
        <f>IF(J292="","",IF(J292=0,"",IF(J292=$AB$28,1,IF(J292=$AB$29,2,IF(J292=$AB$30,3,"")))))</f>
        <v/>
      </c>
      <c r="M292" s="4">
        <f t="array" ref="M292">IFERROR(INDEX(Unified_Matrix!$A:$ZZ,ROW(A289),MATCH("+ OVR",Unified_Matrix!$1:$1,0)),"")</f>
        <v/>
      </c>
      <c r="N292" s="4">
        <f t="array" ref="N292">IFERROR(INDEX(Unified_Matrix!$A:$ZZ,ROW(A289),MATCH("Max OVR",Unified_Matrix!$1:$1,0)),"")</f>
        <v/>
      </c>
      <c r="O292" s="4">
        <f t="array" ref="O292">IFERROR(INDEX(Unified_Matrix!$A:$ZZ,ROW(A289),MATCH("Req_Position",Unified_Matrix!$1:$1,0)),"")</f>
        <v/>
      </c>
      <c r="P292" s="4">
        <f t="array" ref="P292">IFERROR(INDEX(Unified_Matrix!$A:$ZZ,ROW(A289),MATCH("Req_OVR_Max",Unified_Matrix!$1:$1,0)),"")</f>
        <v/>
      </c>
      <c r="Q292" s="4">
        <f t="array" ref="Q292">IFERROR(INDEX(Unified_Matrix!$A:$ZZ,ROW(A289),MATCH("Req_Other",Unified_Matrix!$1:$1,0)),"")</f>
        <v/>
      </c>
    </row>
    <row r="293" hidden="1">
      <c r="J293" s="4">
        <f t="array" ref="J293">IFERROR(INDEX(Unified_Matrix!$A:$ZZ,ROW(A290),MATCH("Max "&amp;$J$9,Unified_Matrix!$1:$1,0)),"")</f>
        <v/>
      </c>
      <c r="K293" s="4">
        <f t="array" ref="K293">IFERROR(INDEX(Unified_Matrix!$A:$ZZ,ROW(A290),MATCH("Evolution_Name",Unified_Matrix!$1:$1,0)),"")</f>
        <v/>
      </c>
      <c r="L293" s="4">
        <f>IF(J293="","",IF(J293=0,"",IF(J293=$AB$28,1,IF(J293=$AB$29,2,IF(J293=$AB$30,3,"")))))</f>
        <v/>
      </c>
      <c r="M293" s="4">
        <f t="array" ref="M293">IFERROR(INDEX(Unified_Matrix!$A:$ZZ,ROW(A290),MATCH("+ OVR",Unified_Matrix!$1:$1,0)),"")</f>
        <v/>
      </c>
      <c r="N293" s="4">
        <f t="array" ref="N293">IFERROR(INDEX(Unified_Matrix!$A:$ZZ,ROW(A290),MATCH("Max OVR",Unified_Matrix!$1:$1,0)),"")</f>
        <v/>
      </c>
      <c r="O293" s="4">
        <f t="array" ref="O293">IFERROR(INDEX(Unified_Matrix!$A:$ZZ,ROW(A290),MATCH("Req_Position",Unified_Matrix!$1:$1,0)),"")</f>
        <v/>
      </c>
      <c r="P293" s="4">
        <f t="array" ref="P293">IFERROR(INDEX(Unified_Matrix!$A:$ZZ,ROW(A290),MATCH("Req_OVR_Max",Unified_Matrix!$1:$1,0)),"")</f>
        <v/>
      </c>
      <c r="Q293" s="4">
        <f t="array" ref="Q293">IFERROR(INDEX(Unified_Matrix!$A:$ZZ,ROW(A290),MATCH("Req_Other",Unified_Matrix!$1:$1,0)),"")</f>
        <v/>
      </c>
    </row>
    <row r="294" hidden="1">
      <c r="J294" s="4">
        <f t="array" ref="J294">IFERROR(INDEX(Unified_Matrix!$A:$ZZ,ROW(A291),MATCH("Max "&amp;$J$9,Unified_Matrix!$1:$1,0)),"")</f>
        <v/>
      </c>
      <c r="K294" s="4">
        <f t="array" ref="K294">IFERROR(INDEX(Unified_Matrix!$A:$ZZ,ROW(A291),MATCH("Evolution_Name",Unified_Matrix!$1:$1,0)),"")</f>
        <v/>
      </c>
      <c r="L294" s="4">
        <f>IF(J294="","",IF(J294=0,"",IF(J294=$AB$28,1,IF(J294=$AB$29,2,IF(J294=$AB$30,3,"")))))</f>
        <v/>
      </c>
      <c r="M294" s="4">
        <f t="array" ref="M294">IFERROR(INDEX(Unified_Matrix!$A:$ZZ,ROW(A291),MATCH("+ OVR",Unified_Matrix!$1:$1,0)),"")</f>
        <v/>
      </c>
      <c r="N294" s="4">
        <f t="array" ref="N294">IFERROR(INDEX(Unified_Matrix!$A:$ZZ,ROW(A291),MATCH("Max OVR",Unified_Matrix!$1:$1,0)),"")</f>
        <v/>
      </c>
      <c r="O294" s="4">
        <f t="array" ref="O294">IFERROR(INDEX(Unified_Matrix!$A:$ZZ,ROW(A291),MATCH("Req_Position",Unified_Matrix!$1:$1,0)),"")</f>
        <v/>
      </c>
      <c r="P294" s="4">
        <f t="array" ref="P294">IFERROR(INDEX(Unified_Matrix!$A:$ZZ,ROW(A291),MATCH("Req_OVR_Max",Unified_Matrix!$1:$1,0)),"")</f>
        <v/>
      </c>
      <c r="Q294" s="4">
        <f t="array" ref="Q294">IFERROR(INDEX(Unified_Matrix!$A:$ZZ,ROW(A291),MATCH("Req_Other",Unified_Matrix!$1:$1,0)),"")</f>
        <v/>
      </c>
    </row>
    <row r="295" hidden="1">
      <c r="J295" s="4">
        <f t="array" ref="J295">IFERROR(INDEX(Unified_Matrix!$A:$ZZ,ROW(A292),MATCH("Max "&amp;$J$9,Unified_Matrix!$1:$1,0)),"")</f>
        <v/>
      </c>
      <c r="K295" s="4">
        <f t="array" ref="K295">IFERROR(INDEX(Unified_Matrix!$A:$ZZ,ROW(A292),MATCH("Evolution_Name",Unified_Matrix!$1:$1,0)),"")</f>
        <v/>
      </c>
      <c r="L295" s="4">
        <f>IF(J295="","",IF(J295=0,"",IF(J295=$AB$28,1,IF(J295=$AB$29,2,IF(J295=$AB$30,3,"")))))</f>
        <v/>
      </c>
      <c r="M295" s="4">
        <f t="array" ref="M295">IFERROR(INDEX(Unified_Matrix!$A:$ZZ,ROW(A292),MATCH("+ OVR",Unified_Matrix!$1:$1,0)),"")</f>
        <v/>
      </c>
      <c r="N295" s="4">
        <f t="array" ref="N295">IFERROR(INDEX(Unified_Matrix!$A:$ZZ,ROW(A292),MATCH("Max OVR",Unified_Matrix!$1:$1,0)),"")</f>
        <v/>
      </c>
      <c r="O295" s="4">
        <f t="array" ref="O295">IFERROR(INDEX(Unified_Matrix!$A:$ZZ,ROW(A292),MATCH("Req_Position",Unified_Matrix!$1:$1,0)),"")</f>
        <v/>
      </c>
      <c r="P295" s="4">
        <f t="array" ref="P295">IFERROR(INDEX(Unified_Matrix!$A:$ZZ,ROW(A292),MATCH("Req_OVR_Max",Unified_Matrix!$1:$1,0)),"")</f>
        <v/>
      </c>
      <c r="Q295" s="4">
        <f t="array" ref="Q295">IFERROR(INDEX(Unified_Matrix!$A:$ZZ,ROW(A292),MATCH("Req_Other",Unified_Matrix!$1:$1,0)),"")</f>
        <v/>
      </c>
    </row>
    <row r="296" hidden="1">
      <c r="J296" s="4">
        <f t="array" ref="J296">IFERROR(INDEX(Unified_Matrix!$A:$ZZ,ROW(A293),MATCH("Max "&amp;$J$9,Unified_Matrix!$1:$1,0)),"")</f>
        <v/>
      </c>
      <c r="K296" s="4">
        <f t="array" ref="K296">IFERROR(INDEX(Unified_Matrix!$A:$ZZ,ROW(A293),MATCH("Evolution_Name",Unified_Matrix!$1:$1,0)),"")</f>
        <v/>
      </c>
      <c r="L296" s="4">
        <f>IF(J296="","",IF(J296=0,"",IF(J296=$AB$28,1,IF(J296=$AB$29,2,IF(J296=$AB$30,3,"")))))</f>
        <v/>
      </c>
      <c r="M296" s="4">
        <f t="array" ref="M296">IFERROR(INDEX(Unified_Matrix!$A:$ZZ,ROW(A293),MATCH("+ OVR",Unified_Matrix!$1:$1,0)),"")</f>
        <v/>
      </c>
      <c r="N296" s="4">
        <f t="array" ref="N296">IFERROR(INDEX(Unified_Matrix!$A:$ZZ,ROW(A293),MATCH("Max OVR",Unified_Matrix!$1:$1,0)),"")</f>
        <v/>
      </c>
      <c r="O296" s="4">
        <f t="array" ref="O296">IFERROR(INDEX(Unified_Matrix!$A:$ZZ,ROW(A293),MATCH("Req_Position",Unified_Matrix!$1:$1,0)),"")</f>
        <v/>
      </c>
      <c r="P296" s="4">
        <f t="array" ref="P296">IFERROR(INDEX(Unified_Matrix!$A:$ZZ,ROW(A293),MATCH("Req_OVR_Max",Unified_Matrix!$1:$1,0)),"")</f>
        <v/>
      </c>
      <c r="Q296" s="4">
        <f t="array" ref="Q296">IFERROR(INDEX(Unified_Matrix!$A:$ZZ,ROW(A293),MATCH("Req_Other",Unified_Matrix!$1:$1,0)),"")</f>
        <v/>
      </c>
    </row>
    <row r="297" hidden="1">
      <c r="J297" s="4">
        <f t="array" ref="J297">IFERROR(INDEX(Unified_Matrix!$A:$ZZ,ROW(A294),MATCH("Max "&amp;$J$9,Unified_Matrix!$1:$1,0)),"")</f>
        <v/>
      </c>
      <c r="K297" s="4">
        <f t="array" ref="K297">IFERROR(INDEX(Unified_Matrix!$A:$ZZ,ROW(A294),MATCH("Evolution_Name",Unified_Matrix!$1:$1,0)),"")</f>
        <v/>
      </c>
      <c r="L297" s="4">
        <f>IF(J297="","",IF(J297=0,"",IF(J297=$AB$28,1,IF(J297=$AB$29,2,IF(J297=$AB$30,3,"")))))</f>
        <v/>
      </c>
      <c r="M297" s="4">
        <f t="array" ref="M297">IFERROR(INDEX(Unified_Matrix!$A:$ZZ,ROW(A294),MATCH("+ OVR",Unified_Matrix!$1:$1,0)),"")</f>
        <v/>
      </c>
      <c r="N297" s="4">
        <f t="array" ref="N297">IFERROR(INDEX(Unified_Matrix!$A:$ZZ,ROW(A294),MATCH("Max OVR",Unified_Matrix!$1:$1,0)),"")</f>
        <v/>
      </c>
      <c r="O297" s="4">
        <f t="array" ref="O297">IFERROR(INDEX(Unified_Matrix!$A:$ZZ,ROW(A294),MATCH("Req_Position",Unified_Matrix!$1:$1,0)),"")</f>
        <v/>
      </c>
      <c r="P297" s="4">
        <f t="array" ref="P297">IFERROR(INDEX(Unified_Matrix!$A:$ZZ,ROW(A294),MATCH("Req_OVR_Max",Unified_Matrix!$1:$1,0)),"")</f>
        <v/>
      </c>
      <c r="Q297" s="4">
        <f t="array" ref="Q297">IFERROR(INDEX(Unified_Matrix!$A:$ZZ,ROW(A294),MATCH("Req_Other",Unified_Matrix!$1:$1,0)),"")</f>
        <v/>
      </c>
    </row>
    <row r="298" hidden="1">
      <c r="J298" s="4">
        <f t="array" ref="J298">IFERROR(INDEX(Unified_Matrix!$A:$ZZ,ROW(A295),MATCH("Max "&amp;$J$9,Unified_Matrix!$1:$1,0)),"")</f>
        <v/>
      </c>
      <c r="K298" s="4">
        <f t="array" ref="K298">IFERROR(INDEX(Unified_Matrix!$A:$ZZ,ROW(A295),MATCH("Evolution_Name",Unified_Matrix!$1:$1,0)),"")</f>
        <v/>
      </c>
      <c r="L298" s="4">
        <f>IF(J298="","",IF(J298=0,"",IF(J298=$AB$28,1,IF(J298=$AB$29,2,IF(J298=$AB$30,3,"")))))</f>
        <v/>
      </c>
      <c r="M298" s="4">
        <f t="array" ref="M298">IFERROR(INDEX(Unified_Matrix!$A:$ZZ,ROW(A295),MATCH("+ OVR",Unified_Matrix!$1:$1,0)),"")</f>
        <v/>
      </c>
      <c r="N298" s="4">
        <f t="array" ref="N298">IFERROR(INDEX(Unified_Matrix!$A:$ZZ,ROW(A295),MATCH("Max OVR",Unified_Matrix!$1:$1,0)),"")</f>
        <v/>
      </c>
      <c r="O298" s="4">
        <f t="array" ref="O298">IFERROR(INDEX(Unified_Matrix!$A:$ZZ,ROW(A295),MATCH("Req_Position",Unified_Matrix!$1:$1,0)),"")</f>
        <v/>
      </c>
      <c r="P298" s="4">
        <f t="array" ref="P298">IFERROR(INDEX(Unified_Matrix!$A:$ZZ,ROW(A295),MATCH("Req_OVR_Max",Unified_Matrix!$1:$1,0)),"")</f>
        <v/>
      </c>
      <c r="Q298" s="4">
        <f t="array" ref="Q298">IFERROR(INDEX(Unified_Matrix!$A:$ZZ,ROW(A295),MATCH("Req_Other",Unified_Matrix!$1:$1,0)),"")</f>
        <v/>
      </c>
    </row>
    <row r="299" hidden="1">
      <c r="J299" s="4">
        <f t="array" ref="J299">IFERROR(INDEX(Unified_Matrix!$A:$ZZ,ROW(A296),MATCH("Max "&amp;$J$9,Unified_Matrix!$1:$1,0)),"")</f>
        <v/>
      </c>
      <c r="K299" s="4">
        <f t="array" ref="K299">IFERROR(INDEX(Unified_Matrix!$A:$ZZ,ROW(A296),MATCH("Evolution_Name",Unified_Matrix!$1:$1,0)),"")</f>
        <v/>
      </c>
      <c r="L299" s="4">
        <f>IF(J299="","",IF(J299=0,"",IF(J299=$AB$28,1,IF(J299=$AB$29,2,IF(J299=$AB$30,3,"")))))</f>
        <v/>
      </c>
      <c r="M299" s="4">
        <f t="array" ref="M299">IFERROR(INDEX(Unified_Matrix!$A:$ZZ,ROW(A296),MATCH("+ OVR",Unified_Matrix!$1:$1,0)),"")</f>
        <v/>
      </c>
      <c r="N299" s="4">
        <f t="array" ref="N299">IFERROR(INDEX(Unified_Matrix!$A:$ZZ,ROW(A296),MATCH("Max OVR",Unified_Matrix!$1:$1,0)),"")</f>
        <v/>
      </c>
      <c r="O299" s="4">
        <f t="array" ref="O299">IFERROR(INDEX(Unified_Matrix!$A:$ZZ,ROW(A296),MATCH("Req_Position",Unified_Matrix!$1:$1,0)),"")</f>
        <v/>
      </c>
      <c r="P299" s="4">
        <f t="array" ref="P299">IFERROR(INDEX(Unified_Matrix!$A:$ZZ,ROW(A296),MATCH("Req_OVR_Max",Unified_Matrix!$1:$1,0)),"")</f>
        <v/>
      </c>
      <c r="Q299" s="4">
        <f t="array" ref="Q299">IFERROR(INDEX(Unified_Matrix!$A:$ZZ,ROW(A296),MATCH("Req_Other",Unified_Matrix!$1:$1,0)),"")</f>
        <v/>
      </c>
    </row>
    <row r="300" hidden="1">
      <c r="J300" s="4">
        <f t="array" ref="J300">IFERROR(INDEX(Unified_Matrix!$A:$ZZ,ROW(A297),MATCH("Max "&amp;$J$9,Unified_Matrix!$1:$1,0)),"")</f>
        <v/>
      </c>
      <c r="K300" s="4">
        <f t="array" ref="K300">IFERROR(INDEX(Unified_Matrix!$A:$ZZ,ROW(A297),MATCH("Evolution_Name",Unified_Matrix!$1:$1,0)),"")</f>
        <v/>
      </c>
      <c r="L300" s="4">
        <f>IF(J300="","",IF(J300=0,"",IF(J300=$AB$28,1,IF(J300=$AB$29,2,IF(J300=$AB$30,3,"")))))</f>
        <v/>
      </c>
      <c r="M300" s="4">
        <f t="array" ref="M300">IFERROR(INDEX(Unified_Matrix!$A:$ZZ,ROW(A297),MATCH("+ OVR",Unified_Matrix!$1:$1,0)),"")</f>
        <v/>
      </c>
      <c r="N300" s="4">
        <f t="array" ref="N300">IFERROR(INDEX(Unified_Matrix!$A:$ZZ,ROW(A297),MATCH("Max OVR",Unified_Matrix!$1:$1,0)),"")</f>
        <v/>
      </c>
      <c r="O300" s="4">
        <f t="array" ref="O300">IFERROR(INDEX(Unified_Matrix!$A:$ZZ,ROW(A297),MATCH("Req_Position",Unified_Matrix!$1:$1,0)),"")</f>
        <v/>
      </c>
      <c r="P300" s="4">
        <f t="array" ref="P300">IFERROR(INDEX(Unified_Matrix!$A:$ZZ,ROW(A297),MATCH("Req_OVR_Max",Unified_Matrix!$1:$1,0)),"")</f>
        <v/>
      </c>
      <c r="Q300" s="4">
        <f t="array" ref="Q300">IFERROR(INDEX(Unified_Matrix!$A:$ZZ,ROW(A297),MATCH("Req_Other",Unified_Matrix!$1:$1,0)),"")</f>
        <v/>
      </c>
    </row>
    <row r="301" hidden="1">
      <c r="J301" s="4">
        <f t="array" ref="J301">IFERROR(INDEX(Unified_Matrix!$A:$ZZ,ROW(A298),MATCH("Max "&amp;$J$9,Unified_Matrix!$1:$1,0)),"")</f>
        <v/>
      </c>
      <c r="K301" s="4">
        <f t="array" ref="K301">IFERROR(INDEX(Unified_Matrix!$A:$ZZ,ROW(A298),MATCH("Evolution_Name",Unified_Matrix!$1:$1,0)),"")</f>
        <v/>
      </c>
      <c r="L301" s="4">
        <f>IF(J301="","",IF(J301=0,"",IF(J301=$AB$28,1,IF(J301=$AB$29,2,IF(J301=$AB$30,3,"")))))</f>
        <v/>
      </c>
      <c r="M301" s="4">
        <f t="array" ref="M301">IFERROR(INDEX(Unified_Matrix!$A:$ZZ,ROW(A298),MATCH("+ OVR",Unified_Matrix!$1:$1,0)),"")</f>
        <v/>
      </c>
      <c r="N301" s="4">
        <f t="array" ref="N301">IFERROR(INDEX(Unified_Matrix!$A:$ZZ,ROW(A298),MATCH("Max OVR",Unified_Matrix!$1:$1,0)),"")</f>
        <v/>
      </c>
      <c r="O301" s="4">
        <f t="array" ref="O301">IFERROR(INDEX(Unified_Matrix!$A:$ZZ,ROW(A298),MATCH("Req_Position",Unified_Matrix!$1:$1,0)),"")</f>
        <v/>
      </c>
      <c r="P301" s="4">
        <f t="array" ref="P301">IFERROR(INDEX(Unified_Matrix!$A:$ZZ,ROW(A298),MATCH("Req_OVR_Max",Unified_Matrix!$1:$1,0)),"")</f>
        <v/>
      </c>
      <c r="Q301" s="4">
        <f t="array" ref="Q301">IFERROR(INDEX(Unified_Matrix!$A:$ZZ,ROW(A298),MATCH("Req_Other",Unified_Matrix!$1:$1,0)),"")</f>
        <v/>
      </c>
    </row>
    <row r="302" hidden="1">
      <c r="J302" s="4">
        <f t="array" ref="J302">IFERROR(INDEX(Unified_Matrix!$A:$ZZ,ROW(A299),MATCH("Max "&amp;$J$9,Unified_Matrix!$1:$1,0)),"")</f>
        <v/>
      </c>
      <c r="K302" s="4">
        <f t="array" ref="K302">IFERROR(INDEX(Unified_Matrix!$A:$ZZ,ROW(A299),MATCH("Evolution_Name",Unified_Matrix!$1:$1,0)),"")</f>
        <v/>
      </c>
      <c r="L302" s="4">
        <f>IF(J302="","",IF(J302=0,"",IF(J302=$AB$28,1,IF(J302=$AB$29,2,IF(J302=$AB$30,3,"")))))</f>
        <v/>
      </c>
      <c r="M302" s="4">
        <f t="array" ref="M302">IFERROR(INDEX(Unified_Matrix!$A:$ZZ,ROW(A299),MATCH("+ OVR",Unified_Matrix!$1:$1,0)),"")</f>
        <v/>
      </c>
      <c r="N302" s="4">
        <f t="array" ref="N302">IFERROR(INDEX(Unified_Matrix!$A:$ZZ,ROW(A299),MATCH("Max OVR",Unified_Matrix!$1:$1,0)),"")</f>
        <v/>
      </c>
      <c r="O302" s="4">
        <f t="array" ref="O302">IFERROR(INDEX(Unified_Matrix!$A:$ZZ,ROW(A299),MATCH("Req_Position",Unified_Matrix!$1:$1,0)),"")</f>
        <v/>
      </c>
      <c r="P302" s="4">
        <f t="array" ref="P302">IFERROR(INDEX(Unified_Matrix!$A:$ZZ,ROW(A299),MATCH("Req_OVR_Max",Unified_Matrix!$1:$1,0)),"")</f>
        <v/>
      </c>
      <c r="Q302" s="4">
        <f t="array" ref="Q302">IFERROR(INDEX(Unified_Matrix!$A:$ZZ,ROW(A299),MATCH("Req_Other",Unified_Matrix!$1:$1,0)),"")</f>
        <v/>
      </c>
    </row>
    <row r="303" hidden="1">
      <c r="J303" s="4">
        <f t="array" ref="J303">IFERROR(INDEX(Unified_Matrix!$A:$ZZ,ROW(A300),MATCH("Max "&amp;$J$9,Unified_Matrix!$1:$1,0)),"")</f>
        <v/>
      </c>
      <c r="K303" s="4">
        <f t="array" ref="K303">IFERROR(INDEX(Unified_Matrix!$A:$ZZ,ROW(A300),MATCH("Evolution_Name",Unified_Matrix!$1:$1,0)),"")</f>
        <v/>
      </c>
      <c r="L303" s="4">
        <f>IF(J303="","",IF(J303=0,"",IF(J303=$AB$28,1,IF(J303=$AB$29,2,IF(J303=$AB$30,3,"")))))</f>
        <v/>
      </c>
      <c r="M303" s="4">
        <f t="array" ref="M303">IFERROR(INDEX(Unified_Matrix!$A:$ZZ,ROW(A300),MATCH("+ OVR",Unified_Matrix!$1:$1,0)),"")</f>
        <v/>
      </c>
      <c r="N303" s="4">
        <f t="array" ref="N303">IFERROR(INDEX(Unified_Matrix!$A:$ZZ,ROW(A300),MATCH("Max OVR",Unified_Matrix!$1:$1,0)),"")</f>
        <v/>
      </c>
      <c r="O303" s="4">
        <f t="array" ref="O303">IFERROR(INDEX(Unified_Matrix!$A:$ZZ,ROW(A300),MATCH("Req_Position",Unified_Matrix!$1:$1,0)),"")</f>
        <v/>
      </c>
      <c r="P303" s="4">
        <f t="array" ref="P303">IFERROR(INDEX(Unified_Matrix!$A:$ZZ,ROW(A300),MATCH("Req_OVR_Max",Unified_Matrix!$1:$1,0)),"")</f>
        <v/>
      </c>
      <c r="Q303" s="4">
        <f t="array" ref="Q303">IFERROR(INDEX(Unified_Matrix!$A:$ZZ,ROW(A300),MATCH("Req_Other",Unified_Matrix!$1:$1,0)),"")</f>
        <v/>
      </c>
    </row>
    <row r="304" hidden="1">
      <c r="J304" s="4">
        <f t="array" ref="J304">IFERROR(INDEX(Unified_Matrix!$A:$ZZ,ROW(A301),MATCH("Max "&amp;$J$9,Unified_Matrix!$1:$1,0)),"")</f>
        <v/>
      </c>
      <c r="K304" s="4">
        <f t="array" ref="K304">IFERROR(INDEX(Unified_Matrix!$A:$ZZ,ROW(A301),MATCH("Evolution_Name",Unified_Matrix!$1:$1,0)),"")</f>
        <v/>
      </c>
      <c r="L304" s="4">
        <f>IF(J304="","",IF(J304=0,"",IF(J304=$AB$28,1,IF(J304=$AB$29,2,IF(J304=$AB$30,3,"")))))</f>
        <v/>
      </c>
      <c r="M304" s="4">
        <f t="array" ref="M304">IFERROR(INDEX(Unified_Matrix!$A:$ZZ,ROW(A301),MATCH("+ OVR",Unified_Matrix!$1:$1,0)),"")</f>
        <v/>
      </c>
      <c r="N304" s="4">
        <f t="array" ref="N304">IFERROR(INDEX(Unified_Matrix!$A:$ZZ,ROW(A301),MATCH("Max OVR",Unified_Matrix!$1:$1,0)),"")</f>
        <v/>
      </c>
      <c r="O304" s="4">
        <f t="array" ref="O304">IFERROR(INDEX(Unified_Matrix!$A:$ZZ,ROW(A301),MATCH("Req_Position",Unified_Matrix!$1:$1,0)),"")</f>
        <v/>
      </c>
      <c r="P304" s="4">
        <f t="array" ref="P304">IFERROR(INDEX(Unified_Matrix!$A:$ZZ,ROW(A301),MATCH("Req_OVR_Max",Unified_Matrix!$1:$1,0)),"")</f>
        <v/>
      </c>
      <c r="Q304" s="4">
        <f t="array" ref="Q304">IFERROR(INDEX(Unified_Matrix!$A:$ZZ,ROW(A301),MATCH("Req_Other",Unified_Matrix!$1:$1,0)),"")</f>
        <v/>
      </c>
    </row>
    <row r="305" hidden="1">
      <c r="J305" s="4">
        <f t="array" ref="J305">IFERROR(INDEX(Unified_Matrix!$A:$ZZ,ROW(A302),MATCH("Max "&amp;$J$9,Unified_Matrix!$1:$1,0)),"")</f>
        <v/>
      </c>
      <c r="K305" s="4">
        <f t="array" ref="K305">IFERROR(INDEX(Unified_Matrix!$A:$ZZ,ROW(A302),MATCH("Evolution_Name",Unified_Matrix!$1:$1,0)),"")</f>
        <v/>
      </c>
      <c r="L305" s="4">
        <f>IF(J305="","",IF(J305=0,"",IF(J305=$AB$28,1,IF(J305=$AB$29,2,IF(J305=$AB$30,3,"")))))</f>
        <v/>
      </c>
      <c r="M305" s="4">
        <f t="array" ref="M305">IFERROR(INDEX(Unified_Matrix!$A:$ZZ,ROW(A302),MATCH("+ OVR",Unified_Matrix!$1:$1,0)),"")</f>
        <v/>
      </c>
      <c r="N305" s="4">
        <f t="array" ref="N305">IFERROR(INDEX(Unified_Matrix!$A:$ZZ,ROW(A302),MATCH("Max OVR",Unified_Matrix!$1:$1,0)),"")</f>
        <v/>
      </c>
      <c r="O305" s="4">
        <f t="array" ref="O305">IFERROR(INDEX(Unified_Matrix!$A:$ZZ,ROW(A302),MATCH("Req_Position",Unified_Matrix!$1:$1,0)),"")</f>
        <v/>
      </c>
      <c r="P305" s="4">
        <f t="array" ref="P305">IFERROR(INDEX(Unified_Matrix!$A:$ZZ,ROW(A302),MATCH("Req_OVR_Max",Unified_Matrix!$1:$1,0)),"")</f>
        <v/>
      </c>
      <c r="Q305" s="4">
        <f t="array" ref="Q305">IFERROR(INDEX(Unified_Matrix!$A:$ZZ,ROW(A302),MATCH("Req_Other",Unified_Matrix!$1:$1,0)),"")</f>
        <v/>
      </c>
    </row>
    <row r="306" hidden="1">
      <c r="J306" s="4">
        <f t="array" ref="J306">IFERROR(INDEX(Unified_Matrix!$A:$ZZ,ROW(A303),MATCH("Max "&amp;$J$9,Unified_Matrix!$1:$1,0)),"")</f>
        <v/>
      </c>
      <c r="K306" s="4">
        <f t="array" ref="K306">IFERROR(INDEX(Unified_Matrix!$A:$ZZ,ROW(A303),MATCH("Evolution_Name",Unified_Matrix!$1:$1,0)),"")</f>
        <v/>
      </c>
      <c r="L306" s="4">
        <f>IF(J306="","",IF(J306=0,"",IF(J306=$AB$28,1,IF(J306=$AB$29,2,IF(J306=$AB$30,3,"")))))</f>
        <v/>
      </c>
      <c r="M306" s="4">
        <f t="array" ref="M306">IFERROR(INDEX(Unified_Matrix!$A:$ZZ,ROW(A303),MATCH("+ OVR",Unified_Matrix!$1:$1,0)),"")</f>
        <v/>
      </c>
      <c r="N306" s="4">
        <f t="array" ref="N306">IFERROR(INDEX(Unified_Matrix!$A:$ZZ,ROW(A303),MATCH("Max OVR",Unified_Matrix!$1:$1,0)),"")</f>
        <v/>
      </c>
      <c r="O306" s="4">
        <f t="array" ref="O306">IFERROR(INDEX(Unified_Matrix!$A:$ZZ,ROW(A303),MATCH("Req_Position",Unified_Matrix!$1:$1,0)),"")</f>
        <v/>
      </c>
      <c r="P306" s="4">
        <f t="array" ref="P306">IFERROR(INDEX(Unified_Matrix!$A:$ZZ,ROW(A303),MATCH("Req_OVR_Max",Unified_Matrix!$1:$1,0)),"")</f>
        <v/>
      </c>
      <c r="Q306" s="4">
        <f t="array" ref="Q306">IFERROR(INDEX(Unified_Matrix!$A:$ZZ,ROW(A303),MATCH("Req_Other",Unified_Matrix!$1:$1,0)),"")</f>
        <v/>
      </c>
    </row>
    <row r="307" hidden="1">
      <c r="J307" s="4">
        <f t="array" ref="J307">IFERROR(INDEX(Unified_Matrix!$A:$ZZ,ROW(A304),MATCH("Max "&amp;$J$9,Unified_Matrix!$1:$1,0)),"")</f>
        <v/>
      </c>
      <c r="K307" s="4">
        <f t="array" ref="K307">IFERROR(INDEX(Unified_Matrix!$A:$ZZ,ROW(A304),MATCH("Evolution_Name",Unified_Matrix!$1:$1,0)),"")</f>
        <v/>
      </c>
      <c r="L307" s="4">
        <f>IF(J307="","",IF(J307=0,"",IF(J307=$AB$28,1,IF(J307=$AB$29,2,IF(J307=$AB$30,3,"")))))</f>
        <v/>
      </c>
      <c r="M307" s="4">
        <f t="array" ref="M307">IFERROR(INDEX(Unified_Matrix!$A:$ZZ,ROW(A304),MATCH("+ OVR",Unified_Matrix!$1:$1,0)),"")</f>
        <v/>
      </c>
      <c r="N307" s="4">
        <f t="array" ref="N307">IFERROR(INDEX(Unified_Matrix!$A:$ZZ,ROW(A304),MATCH("Max OVR",Unified_Matrix!$1:$1,0)),"")</f>
        <v/>
      </c>
      <c r="O307" s="4">
        <f t="array" ref="O307">IFERROR(INDEX(Unified_Matrix!$A:$ZZ,ROW(A304),MATCH("Req_Position",Unified_Matrix!$1:$1,0)),"")</f>
        <v/>
      </c>
      <c r="P307" s="4">
        <f t="array" ref="P307">IFERROR(INDEX(Unified_Matrix!$A:$ZZ,ROW(A304),MATCH("Req_OVR_Max",Unified_Matrix!$1:$1,0)),"")</f>
        <v/>
      </c>
      <c r="Q307" s="4">
        <f t="array" ref="Q307">IFERROR(INDEX(Unified_Matrix!$A:$ZZ,ROW(A304),MATCH("Req_Other",Unified_Matrix!$1:$1,0)),"")</f>
        <v/>
      </c>
    </row>
    <row r="308" hidden="1">
      <c r="J308" s="4">
        <f t="array" ref="J308">IFERROR(INDEX(Unified_Matrix!$A:$ZZ,ROW(A305),MATCH("Max "&amp;$J$9,Unified_Matrix!$1:$1,0)),"")</f>
        <v/>
      </c>
      <c r="K308" s="4">
        <f t="array" ref="K308">IFERROR(INDEX(Unified_Matrix!$A:$ZZ,ROW(A305),MATCH("Evolution_Name",Unified_Matrix!$1:$1,0)),"")</f>
        <v/>
      </c>
      <c r="L308" s="4">
        <f>IF(J308="","",IF(J308=0,"",IF(J308=$AB$28,1,IF(J308=$AB$29,2,IF(J308=$AB$30,3,"")))))</f>
        <v/>
      </c>
      <c r="M308" s="4">
        <f t="array" ref="M308">IFERROR(INDEX(Unified_Matrix!$A:$ZZ,ROW(A305),MATCH("+ OVR",Unified_Matrix!$1:$1,0)),"")</f>
        <v/>
      </c>
      <c r="N308" s="4">
        <f t="array" ref="N308">IFERROR(INDEX(Unified_Matrix!$A:$ZZ,ROW(A305),MATCH("Max OVR",Unified_Matrix!$1:$1,0)),"")</f>
        <v/>
      </c>
      <c r="O308" s="4">
        <f t="array" ref="O308">IFERROR(INDEX(Unified_Matrix!$A:$ZZ,ROW(A305),MATCH("Req_Position",Unified_Matrix!$1:$1,0)),"")</f>
        <v/>
      </c>
      <c r="P308" s="4">
        <f t="array" ref="P308">IFERROR(INDEX(Unified_Matrix!$A:$ZZ,ROW(A305),MATCH("Req_OVR_Max",Unified_Matrix!$1:$1,0)),"")</f>
        <v/>
      </c>
      <c r="Q308" s="4">
        <f t="array" ref="Q308">IFERROR(INDEX(Unified_Matrix!$A:$ZZ,ROW(A305),MATCH("Req_Other",Unified_Matrix!$1:$1,0)),"")</f>
        <v/>
      </c>
    </row>
    <row r="309" hidden="1">
      <c r="J309" s="4">
        <f t="array" ref="J309">IFERROR(INDEX(Unified_Matrix!$A:$ZZ,ROW(A306),MATCH("Max "&amp;$J$9,Unified_Matrix!$1:$1,0)),"")</f>
        <v/>
      </c>
      <c r="K309" s="4">
        <f t="array" ref="K309">IFERROR(INDEX(Unified_Matrix!$A:$ZZ,ROW(A306),MATCH("Evolution_Name",Unified_Matrix!$1:$1,0)),"")</f>
        <v/>
      </c>
      <c r="L309" s="4">
        <f>IF(J309="","",IF(J309=0,"",IF(J309=$AB$28,1,IF(J309=$AB$29,2,IF(J309=$AB$30,3,"")))))</f>
        <v/>
      </c>
      <c r="M309" s="4">
        <f t="array" ref="M309">IFERROR(INDEX(Unified_Matrix!$A:$ZZ,ROW(A306),MATCH("+ OVR",Unified_Matrix!$1:$1,0)),"")</f>
        <v/>
      </c>
      <c r="N309" s="4">
        <f t="array" ref="N309">IFERROR(INDEX(Unified_Matrix!$A:$ZZ,ROW(A306),MATCH("Max OVR",Unified_Matrix!$1:$1,0)),"")</f>
        <v/>
      </c>
      <c r="O309" s="4">
        <f t="array" ref="O309">IFERROR(INDEX(Unified_Matrix!$A:$ZZ,ROW(A306),MATCH("Req_Position",Unified_Matrix!$1:$1,0)),"")</f>
        <v/>
      </c>
      <c r="P309" s="4">
        <f t="array" ref="P309">IFERROR(INDEX(Unified_Matrix!$A:$ZZ,ROW(A306),MATCH("Req_OVR_Max",Unified_Matrix!$1:$1,0)),"")</f>
        <v/>
      </c>
      <c r="Q309" s="4">
        <f t="array" ref="Q309">IFERROR(INDEX(Unified_Matrix!$A:$ZZ,ROW(A306),MATCH("Req_Other",Unified_Matrix!$1:$1,0)),"")</f>
        <v/>
      </c>
    </row>
    <row r="310" hidden="1">
      <c r="J310" s="4">
        <f t="array" ref="J310">IFERROR(INDEX(Unified_Matrix!$A:$ZZ,ROW(A307),MATCH("Max "&amp;$J$9,Unified_Matrix!$1:$1,0)),"")</f>
        <v/>
      </c>
      <c r="K310" s="4">
        <f t="array" ref="K310">IFERROR(INDEX(Unified_Matrix!$A:$ZZ,ROW(A307),MATCH("Evolution_Name",Unified_Matrix!$1:$1,0)),"")</f>
        <v/>
      </c>
      <c r="L310" s="4">
        <f>IF(J310="","",IF(J310=0,"",IF(J310=$AB$28,1,IF(J310=$AB$29,2,IF(J310=$AB$30,3,"")))))</f>
        <v/>
      </c>
      <c r="M310" s="4">
        <f t="array" ref="M310">IFERROR(INDEX(Unified_Matrix!$A:$ZZ,ROW(A307),MATCH("+ OVR",Unified_Matrix!$1:$1,0)),"")</f>
        <v/>
      </c>
      <c r="N310" s="4">
        <f t="array" ref="N310">IFERROR(INDEX(Unified_Matrix!$A:$ZZ,ROW(A307),MATCH("Max OVR",Unified_Matrix!$1:$1,0)),"")</f>
        <v/>
      </c>
      <c r="O310" s="4">
        <f t="array" ref="O310">IFERROR(INDEX(Unified_Matrix!$A:$ZZ,ROW(A307),MATCH("Req_Position",Unified_Matrix!$1:$1,0)),"")</f>
        <v/>
      </c>
      <c r="P310" s="4">
        <f t="array" ref="P310">IFERROR(INDEX(Unified_Matrix!$A:$ZZ,ROW(A307),MATCH("Req_OVR_Max",Unified_Matrix!$1:$1,0)),"")</f>
        <v/>
      </c>
      <c r="Q310" s="4">
        <f t="array" ref="Q310">IFERROR(INDEX(Unified_Matrix!$A:$ZZ,ROW(A307),MATCH("Req_Other",Unified_Matrix!$1:$1,0)),"")</f>
        <v/>
      </c>
    </row>
    <row r="311" hidden="1">
      <c r="J311" s="4">
        <f t="array" ref="J311">IFERROR(INDEX(Unified_Matrix!$A:$ZZ,ROW(A308),MATCH("Max "&amp;$J$9,Unified_Matrix!$1:$1,0)),"")</f>
        <v/>
      </c>
      <c r="K311" s="4">
        <f t="array" ref="K311">IFERROR(INDEX(Unified_Matrix!$A:$ZZ,ROW(A308),MATCH("Evolution_Name",Unified_Matrix!$1:$1,0)),"")</f>
        <v/>
      </c>
      <c r="L311" s="4">
        <f>IF(J311="","",IF(J311=0,"",IF(J311=$AB$28,1,IF(J311=$AB$29,2,IF(J311=$AB$30,3,"")))))</f>
        <v/>
      </c>
      <c r="M311" s="4">
        <f t="array" ref="M311">IFERROR(INDEX(Unified_Matrix!$A:$ZZ,ROW(A308),MATCH("+ OVR",Unified_Matrix!$1:$1,0)),"")</f>
        <v/>
      </c>
      <c r="N311" s="4">
        <f t="array" ref="N311">IFERROR(INDEX(Unified_Matrix!$A:$ZZ,ROW(A308),MATCH("Max OVR",Unified_Matrix!$1:$1,0)),"")</f>
        <v/>
      </c>
      <c r="O311" s="4">
        <f t="array" ref="O311">IFERROR(INDEX(Unified_Matrix!$A:$ZZ,ROW(A308),MATCH("Req_Position",Unified_Matrix!$1:$1,0)),"")</f>
        <v/>
      </c>
      <c r="P311" s="4">
        <f t="array" ref="P311">IFERROR(INDEX(Unified_Matrix!$A:$ZZ,ROW(A308),MATCH("Req_OVR_Max",Unified_Matrix!$1:$1,0)),"")</f>
        <v/>
      </c>
      <c r="Q311" s="4">
        <f t="array" ref="Q311">IFERROR(INDEX(Unified_Matrix!$A:$ZZ,ROW(A308),MATCH("Req_Other",Unified_Matrix!$1:$1,0)),"")</f>
        <v/>
      </c>
    </row>
    <row r="312" hidden="1">
      <c r="J312" s="4">
        <f t="array" ref="J312">IFERROR(INDEX(Unified_Matrix!$A:$ZZ,ROW(A309),MATCH("Max "&amp;$J$9,Unified_Matrix!$1:$1,0)),"")</f>
        <v/>
      </c>
      <c r="K312" s="4">
        <f t="array" ref="K312">IFERROR(INDEX(Unified_Matrix!$A:$ZZ,ROW(A309),MATCH("Evolution_Name",Unified_Matrix!$1:$1,0)),"")</f>
        <v/>
      </c>
      <c r="L312" s="4">
        <f>IF(J312="","",IF(J312=0,"",IF(J312=$AB$28,1,IF(J312=$AB$29,2,IF(J312=$AB$30,3,"")))))</f>
        <v/>
      </c>
      <c r="M312" s="4">
        <f t="array" ref="M312">IFERROR(INDEX(Unified_Matrix!$A:$ZZ,ROW(A309),MATCH("+ OVR",Unified_Matrix!$1:$1,0)),"")</f>
        <v/>
      </c>
      <c r="N312" s="4">
        <f t="array" ref="N312">IFERROR(INDEX(Unified_Matrix!$A:$ZZ,ROW(A309),MATCH("Max OVR",Unified_Matrix!$1:$1,0)),"")</f>
        <v/>
      </c>
      <c r="O312" s="4">
        <f t="array" ref="O312">IFERROR(INDEX(Unified_Matrix!$A:$ZZ,ROW(A309),MATCH("Req_Position",Unified_Matrix!$1:$1,0)),"")</f>
        <v/>
      </c>
      <c r="P312" s="4">
        <f t="array" ref="P312">IFERROR(INDEX(Unified_Matrix!$A:$ZZ,ROW(A309),MATCH("Req_OVR_Max",Unified_Matrix!$1:$1,0)),"")</f>
        <v/>
      </c>
      <c r="Q312" s="4">
        <f t="array" ref="Q312">IFERROR(INDEX(Unified_Matrix!$A:$ZZ,ROW(A309),MATCH("Req_Other",Unified_Matrix!$1:$1,0)),"")</f>
        <v/>
      </c>
    </row>
    <row r="313" hidden="1">
      <c r="J313" s="4">
        <f t="array" ref="J313">IFERROR(INDEX(Unified_Matrix!$A:$ZZ,ROW(A310),MATCH("Max "&amp;$J$9,Unified_Matrix!$1:$1,0)),"")</f>
        <v/>
      </c>
      <c r="K313" s="4">
        <f t="array" ref="K313">IFERROR(INDEX(Unified_Matrix!$A:$ZZ,ROW(A310),MATCH("Evolution_Name",Unified_Matrix!$1:$1,0)),"")</f>
        <v/>
      </c>
      <c r="L313" s="4">
        <f>IF(J313="","",IF(J313=0,"",IF(J313=$AB$28,1,IF(J313=$AB$29,2,IF(J313=$AB$30,3,"")))))</f>
        <v/>
      </c>
      <c r="M313" s="4">
        <f t="array" ref="M313">IFERROR(INDEX(Unified_Matrix!$A:$ZZ,ROW(A310),MATCH("+ OVR",Unified_Matrix!$1:$1,0)),"")</f>
        <v/>
      </c>
      <c r="N313" s="4">
        <f t="array" ref="N313">IFERROR(INDEX(Unified_Matrix!$A:$ZZ,ROW(A310),MATCH("Max OVR",Unified_Matrix!$1:$1,0)),"")</f>
        <v/>
      </c>
      <c r="O313" s="4">
        <f t="array" ref="O313">IFERROR(INDEX(Unified_Matrix!$A:$ZZ,ROW(A310),MATCH("Req_Position",Unified_Matrix!$1:$1,0)),"")</f>
        <v/>
      </c>
      <c r="P313" s="4">
        <f t="array" ref="P313">IFERROR(INDEX(Unified_Matrix!$A:$ZZ,ROW(A310),MATCH("Req_OVR_Max",Unified_Matrix!$1:$1,0)),"")</f>
        <v/>
      </c>
      <c r="Q313" s="4">
        <f t="array" ref="Q313">IFERROR(INDEX(Unified_Matrix!$A:$ZZ,ROW(A310),MATCH("Req_Other",Unified_Matrix!$1:$1,0)),"")</f>
        <v/>
      </c>
    </row>
    <row r="314" hidden="1">
      <c r="J314" s="4">
        <f t="array" ref="J314">IFERROR(INDEX(Unified_Matrix!$A:$ZZ,ROW(A311),MATCH("Max "&amp;$J$9,Unified_Matrix!$1:$1,0)),"")</f>
        <v/>
      </c>
      <c r="K314" s="4">
        <f t="array" ref="K314">IFERROR(INDEX(Unified_Matrix!$A:$ZZ,ROW(A311),MATCH("Evolution_Name",Unified_Matrix!$1:$1,0)),"")</f>
        <v/>
      </c>
      <c r="L314" s="4">
        <f>IF(J314="","",IF(J314=0,"",IF(J314=$AB$28,1,IF(J314=$AB$29,2,IF(J314=$AB$30,3,"")))))</f>
        <v/>
      </c>
      <c r="M314" s="4">
        <f t="array" ref="M314">IFERROR(INDEX(Unified_Matrix!$A:$ZZ,ROW(A311),MATCH("+ OVR",Unified_Matrix!$1:$1,0)),"")</f>
        <v/>
      </c>
      <c r="N314" s="4">
        <f t="array" ref="N314">IFERROR(INDEX(Unified_Matrix!$A:$ZZ,ROW(A311),MATCH("Max OVR",Unified_Matrix!$1:$1,0)),"")</f>
        <v/>
      </c>
      <c r="O314" s="4">
        <f t="array" ref="O314">IFERROR(INDEX(Unified_Matrix!$A:$ZZ,ROW(A311),MATCH("Req_Position",Unified_Matrix!$1:$1,0)),"")</f>
        <v/>
      </c>
      <c r="P314" s="4">
        <f t="array" ref="P314">IFERROR(INDEX(Unified_Matrix!$A:$ZZ,ROW(A311),MATCH("Req_OVR_Max",Unified_Matrix!$1:$1,0)),"")</f>
        <v/>
      </c>
      <c r="Q314" s="4">
        <f t="array" ref="Q314">IFERROR(INDEX(Unified_Matrix!$A:$ZZ,ROW(A311),MATCH("Req_Other",Unified_Matrix!$1:$1,0)),"")</f>
        <v/>
      </c>
    </row>
    <row r="315" hidden="1">
      <c r="J315" s="4">
        <f t="array" ref="J315">IFERROR(INDEX(Unified_Matrix!$A:$ZZ,ROW(A312),MATCH("Max "&amp;$J$9,Unified_Matrix!$1:$1,0)),"")</f>
        <v/>
      </c>
      <c r="K315" s="4">
        <f t="array" ref="K315">IFERROR(INDEX(Unified_Matrix!$A:$ZZ,ROW(A312),MATCH("Evolution_Name",Unified_Matrix!$1:$1,0)),"")</f>
        <v/>
      </c>
      <c r="L315" s="4">
        <f>IF(J315="","",IF(J315=0,"",IF(J315=$AB$28,1,IF(J315=$AB$29,2,IF(J315=$AB$30,3,"")))))</f>
        <v/>
      </c>
      <c r="M315" s="4">
        <f t="array" ref="M315">IFERROR(INDEX(Unified_Matrix!$A:$ZZ,ROW(A312),MATCH("+ OVR",Unified_Matrix!$1:$1,0)),"")</f>
        <v/>
      </c>
      <c r="N315" s="4">
        <f t="array" ref="N315">IFERROR(INDEX(Unified_Matrix!$A:$ZZ,ROW(A312),MATCH("Max OVR",Unified_Matrix!$1:$1,0)),"")</f>
        <v/>
      </c>
      <c r="O315" s="4">
        <f t="array" ref="O315">IFERROR(INDEX(Unified_Matrix!$A:$ZZ,ROW(A312),MATCH("Req_Position",Unified_Matrix!$1:$1,0)),"")</f>
        <v/>
      </c>
      <c r="P315" s="4">
        <f t="array" ref="P315">IFERROR(INDEX(Unified_Matrix!$A:$ZZ,ROW(A312),MATCH("Req_OVR_Max",Unified_Matrix!$1:$1,0)),"")</f>
        <v/>
      </c>
      <c r="Q315" s="4">
        <f t="array" ref="Q315">IFERROR(INDEX(Unified_Matrix!$A:$ZZ,ROW(A312),MATCH("Req_Other",Unified_Matrix!$1:$1,0)),"")</f>
        <v/>
      </c>
    </row>
    <row r="316" hidden="1">
      <c r="J316" s="4">
        <f t="array" ref="J316">IFERROR(INDEX(Unified_Matrix!$A:$ZZ,ROW(A313),MATCH("Max "&amp;$J$9,Unified_Matrix!$1:$1,0)),"")</f>
        <v/>
      </c>
      <c r="K316" s="4">
        <f t="array" ref="K316">IFERROR(INDEX(Unified_Matrix!$A:$ZZ,ROW(A313),MATCH("Evolution_Name",Unified_Matrix!$1:$1,0)),"")</f>
        <v/>
      </c>
      <c r="L316" s="4">
        <f>IF(J316="","",IF(J316=0,"",IF(J316=$AB$28,1,IF(J316=$AB$29,2,IF(J316=$AB$30,3,"")))))</f>
        <v/>
      </c>
      <c r="M316" s="4">
        <f t="array" ref="M316">IFERROR(INDEX(Unified_Matrix!$A:$ZZ,ROW(A313),MATCH("+ OVR",Unified_Matrix!$1:$1,0)),"")</f>
        <v/>
      </c>
      <c r="N316" s="4">
        <f t="array" ref="N316">IFERROR(INDEX(Unified_Matrix!$A:$ZZ,ROW(A313),MATCH("Max OVR",Unified_Matrix!$1:$1,0)),"")</f>
        <v/>
      </c>
      <c r="O316" s="4">
        <f t="array" ref="O316">IFERROR(INDEX(Unified_Matrix!$A:$ZZ,ROW(A313),MATCH("Req_Position",Unified_Matrix!$1:$1,0)),"")</f>
        <v/>
      </c>
      <c r="P316" s="4">
        <f t="array" ref="P316">IFERROR(INDEX(Unified_Matrix!$A:$ZZ,ROW(A313),MATCH("Req_OVR_Max",Unified_Matrix!$1:$1,0)),"")</f>
        <v/>
      </c>
      <c r="Q316" s="4">
        <f t="array" ref="Q316">IFERROR(INDEX(Unified_Matrix!$A:$ZZ,ROW(A313),MATCH("Req_Other",Unified_Matrix!$1:$1,0)),"")</f>
        <v/>
      </c>
    </row>
    <row r="317" hidden="1">
      <c r="J317" s="4">
        <f t="array" ref="J317">IFERROR(INDEX(Unified_Matrix!$A:$ZZ,ROW(A314),MATCH("Max "&amp;$J$9,Unified_Matrix!$1:$1,0)),"")</f>
        <v/>
      </c>
      <c r="K317" s="4">
        <f t="array" ref="K317">IFERROR(INDEX(Unified_Matrix!$A:$ZZ,ROW(A314),MATCH("Evolution_Name",Unified_Matrix!$1:$1,0)),"")</f>
        <v/>
      </c>
      <c r="L317" s="4">
        <f>IF(J317="","",IF(J317=0,"",IF(J317=$AB$28,1,IF(J317=$AB$29,2,IF(J317=$AB$30,3,"")))))</f>
        <v/>
      </c>
      <c r="M317" s="4">
        <f t="array" ref="M317">IFERROR(INDEX(Unified_Matrix!$A:$ZZ,ROW(A314),MATCH("+ OVR",Unified_Matrix!$1:$1,0)),"")</f>
        <v/>
      </c>
      <c r="N317" s="4">
        <f t="array" ref="N317">IFERROR(INDEX(Unified_Matrix!$A:$ZZ,ROW(A314),MATCH("Max OVR",Unified_Matrix!$1:$1,0)),"")</f>
        <v/>
      </c>
      <c r="O317" s="4">
        <f t="array" ref="O317">IFERROR(INDEX(Unified_Matrix!$A:$ZZ,ROW(A314),MATCH("Req_Position",Unified_Matrix!$1:$1,0)),"")</f>
        <v/>
      </c>
      <c r="P317" s="4">
        <f t="array" ref="P317">IFERROR(INDEX(Unified_Matrix!$A:$ZZ,ROW(A314),MATCH("Req_OVR_Max",Unified_Matrix!$1:$1,0)),"")</f>
        <v/>
      </c>
      <c r="Q317" s="4">
        <f t="array" ref="Q317">IFERROR(INDEX(Unified_Matrix!$A:$ZZ,ROW(A314),MATCH("Req_Other",Unified_Matrix!$1:$1,0)),"")</f>
        <v/>
      </c>
    </row>
    <row r="318" hidden="1">
      <c r="J318" s="4">
        <f t="array" ref="J318">IFERROR(INDEX(Unified_Matrix!$A:$ZZ,ROW(A315),MATCH("Max "&amp;$J$9,Unified_Matrix!$1:$1,0)),"")</f>
        <v/>
      </c>
      <c r="K318" s="4">
        <f t="array" ref="K318">IFERROR(INDEX(Unified_Matrix!$A:$ZZ,ROW(A315),MATCH("Evolution_Name",Unified_Matrix!$1:$1,0)),"")</f>
        <v/>
      </c>
      <c r="L318" s="4">
        <f>IF(J318="","",IF(J318=0,"",IF(J318=$AB$28,1,IF(J318=$AB$29,2,IF(J318=$AB$30,3,"")))))</f>
        <v/>
      </c>
      <c r="M318" s="4">
        <f t="array" ref="M318">IFERROR(INDEX(Unified_Matrix!$A:$ZZ,ROW(A315),MATCH("+ OVR",Unified_Matrix!$1:$1,0)),"")</f>
        <v/>
      </c>
      <c r="N318" s="4">
        <f t="array" ref="N318">IFERROR(INDEX(Unified_Matrix!$A:$ZZ,ROW(A315),MATCH("Max OVR",Unified_Matrix!$1:$1,0)),"")</f>
        <v/>
      </c>
      <c r="O318" s="4">
        <f t="array" ref="O318">IFERROR(INDEX(Unified_Matrix!$A:$ZZ,ROW(A315),MATCH("Req_Position",Unified_Matrix!$1:$1,0)),"")</f>
        <v/>
      </c>
      <c r="P318" s="4">
        <f t="array" ref="P318">IFERROR(INDEX(Unified_Matrix!$A:$ZZ,ROW(A315),MATCH("Req_OVR_Max",Unified_Matrix!$1:$1,0)),"")</f>
        <v/>
      </c>
      <c r="Q318" s="4">
        <f t="array" ref="Q318">IFERROR(INDEX(Unified_Matrix!$A:$ZZ,ROW(A315),MATCH("Req_Other",Unified_Matrix!$1:$1,0)),"")</f>
        <v/>
      </c>
    </row>
    <row r="319" hidden="1">
      <c r="J319" s="4">
        <f t="array" ref="J319">IFERROR(INDEX(Unified_Matrix!$A:$ZZ,ROW(A316),MATCH("Max "&amp;$J$9,Unified_Matrix!$1:$1,0)),"")</f>
        <v/>
      </c>
      <c r="K319" s="4">
        <f t="array" ref="K319">IFERROR(INDEX(Unified_Matrix!$A:$ZZ,ROW(A316),MATCH("Evolution_Name",Unified_Matrix!$1:$1,0)),"")</f>
        <v/>
      </c>
      <c r="L319" s="4">
        <f>IF(J319="","",IF(J319=0,"",IF(J319=$AB$28,1,IF(J319=$AB$29,2,IF(J319=$AB$30,3,"")))))</f>
        <v/>
      </c>
      <c r="M319" s="4">
        <f t="array" ref="M319">IFERROR(INDEX(Unified_Matrix!$A:$ZZ,ROW(A316),MATCH("+ OVR",Unified_Matrix!$1:$1,0)),"")</f>
        <v/>
      </c>
      <c r="N319" s="4">
        <f t="array" ref="N319">IFERROR(INDEX(Unified_Matrix!$A:$ZZ,ROW(A316),MATCH("Max OVR",Unified_Matrix!$1:$1,0)),"")</f>
        <v/>
      </c>
      <c r="O319" s="4">
        <f t="array" ref="O319">IFERROR(INDEX(Unified_Matrix!$A:$ZZ,ROW(A316),MATCH("Req_Position",Unified_Matrix!$1:$1,0)),"")</f>
        <v/>
      </c>
      <c r="P319" s="4">
        <f t="array" ref="P319">IFERROR(INDEX(Unified_Matrix!$A:$ZZ,ROW(A316),MATCH("Req_OVR_Max",Unified_Matrix!$1:$1,0)),"")</f>
        <v/>
      </c>
      <c r="Q319" s="4">
        <f t="array" ref="Q319">IFERROR(INDEX(Unified_Matrix!$A:$ZZ,ROW(A316),MATCH("Req_Other",Unified_Matrix!$1:$1,0)),"")</f>
        <v/>
      </c>
    </row>
    <row r="320" hidden="1">
      <c r="J320" s="4">
        <f t="array" ref="J320">IFERROR(INDEX(Unified_Matrix!$A:$ZZ,ROW(A317),MATCH("Max "&amp;$J$9,Unified_Matrix!$1:$1,0)),"")</f>
        <v/>
      </c>
      <c r="K320" s="4">
        <f t="array" ref="K320">IFERROR(INDEX(Unified_Matrix!$A:$ZZ,ROW(A317),MATCH("Evolution_Name",Unified_Matrix!$1:$1,0)),"")</f>
        <v/>
      </c>
      <c r="L320" s="4">
        <f>IF(J320="","",IF(J320=0,"",IF(J320=$AB$28,1,IF(J320=$AB$29,2,IF(J320=$AB$30,3,"")))))</f>
        <v/>
      </c>
      <c r="M320" s="4">
        <f t="array" ref="M320">IFERROR(INDEX(Unified_Matrix!$A:$ZZ,ROW(A317),MATCH("+ OVR",Unified_Matrix!$1:$1,0)),"")</f>
        <v/>
      </c>
      <c r="N320" s="4">
        <f t="array" ref="N320">IFERROR(INDEX(Unified_Matrix!$A:$ZZ,ROW(A317),MATCH("Max OVR",Unified_Matrix!$1:$1,0)),"")</f>
        <v/>
      </c>
      <c r="O320" s="4">
        <f t="array" ref="O320">IFERROR(INDEX(Unified_Matrix!$A:$ZZ,ROW(A317),MATCH("Req_Position",Unified_Matrix!$1:$1,0)),"")</f>
        <v/>
      </c>
      <c r="P320" s="4">
        <f t="array" ref="P320">IFERROR(INDEX(Unified_Matrix!$A:$ZZ,ROW(A317),MATCH("Req_OVR_Max",Unified_Matrix!$1:$1,0)),"")</f>
        <v/>
      </c>
      <c r="Q320" s="4">
        <f t="array" ref="Q320">IFERROR(INDEX(Unified_Matrix!$A:$ZZ,ROW(A317),MATCH("Req_Other",Unified_Matrix!$1:$1,0)),"")</f>
        <v/>
      </c>
    </row>
    <row r="321" hidden="1">
      <c r="J321" s="4">
        <f t="array" ref="J321">IFERROR(INDEX(Unified_Matrix!$A:$ZZ,ROW(A318),MATCH("Max "&amp;$J$9,Unified_Matrix!$1:$1,0)),"")</f>
        <v/>
      </c>
      <c r="K321" s="4">
        <f t="array" ref="K321">IFERROR(INDEX(Unified_Matrix!$A:$ZZ,ROW(A318),MATCH("Evolution_Name",Unified_Matrix!$1:$1,0)),"")</f>
        <v/>
      </c>
      <c r="L321" s="4">
        <f>IF(J321="","",IF(J321=0,"",IF(J321=$AB$28,1,IF(J321=$AB$29,2,IF(J321=$AB$30,3,"")))))</f>
        <v/>
      </c>
      <c r="M321" s="4">
        <f t="array" ref="M321">IFERROR(INDEX(Unified_Matrix!$A:$ZZ,ROW(A318),MATCH("+ OVR",Unified_Matrix!$1:$1,0)),"")</f>
        <v/>
      </c>
      <c r="N321" s="4">
        <f t="array" ref="N321">IFERROR(INDEX(Unified_Matrix!$A:$ZZ,ROW(A318),MATCH("Max OVR",Unified_Matrix!$1:$1,0)),"")</f>
        <v/>
      </c>
      <c r="O321" s="4">
        <f t="array" ref="O321">IFERROR(INDEX(Unified_Matrix!$A:$ZZ,ROW(A318),MATCH("Req_Position",Unified_Matrix!$1:$1,0)),"")</f>
        <v/>
      </c>
      <c r="P321" s="4">
        <f t="array" ref="P321">IFERROR(INDEX(Unified_Matrix!$A:$ZZ,ROW(A318),MATCH("Req_OVR_Max",Unified_Matrix!$1:$1,0)),"")</f>
        <v/>
      </c>
      <c r="Q321" s="4">
        <f t="array" ref="Q321">IFERROR(INDEX(Unified_Matrix!$A:$ZZ,ROW(A318),MATCH("Req_Other",Unified_Matrix!$1:$1,0)),"")</f>
        <v/>
      </c>
    </row>
    <row r="322" hidden="1">
      <c r="J322" s="4">
        <f t="array" ref="J322">IFERROR(INDEX(Unified_Matrix!$A:$ZZ,ROW(A319),MATCH("Max "&amp;$J$9,Unified_Matrix!$1:$1,0)),"")</f>
        <v/>
      </c>
      <c r="K322" s="4">
        <f t="array" ref="K322">IFERROR(INDEX(Unified_Matrix!$A:$ZZ,ROW(A319),MATCH("Evolution_Name",Unified_Matrix!$1:$1,0)),"")</f>
        <v/>
      </c>
      <c r="L322" s="4">
        <f>IF(J322="","",IF(J322=0,"",IF(J322=$AB$28,1,IF(J322=$AB$29,2,IF(J322=$AB$30,3,"")))))</f>
        <v/>
      </c>
      <c r="M322" s="4">
        <f t="array" ref="M322">IFERROR(INDEX(Unified_Matrix!$A:$ZZ,ROW(A319),MATCH("+ OVR",Unified_Matrix!$1:$1,0)),"")</f>
        <v/>
      </c>
      <c r="N322" s="4">
        <f t="array" ref="N322">IFERROR(INDEX(Unified_Matrix!$A:$ZZ,ROW(A319),MATCH("Max OVR",Unified_Matrix!$1:$1,0)),"")</f>
        <v/>
      </c>
      <c r="O322" s="4">
        <f t="array" ref="O322">IFERROR(INDEX(Unified_Matrix!$A:$ZZ,ROW(A319),MATCH("Req_Position",Unified_Matrix!$1:$1,0)),"")</f>
        <v/>
      </c>
      <c r="P322" s="4">
        <f t="array" ref="P322">IFERROR(INDEX(Unified_Matrix!$A:$ZZ,ROW(A319),MATCH("Req_OVR_Max",Unified_Matrix!$1:$1,0)),"")</f>
        <v/>
      </c>
      <c r="Q322" s="4">
        <f t="array" ref="Q322">IFERROR(INDEX(Unified_Matrix!$A:$ZZ,ROW(A319),MATCH("Req_Other",Unified_Matrix!$1:$1,0)),"")</f>
        <v/>
      </c>
    </row>
    <row r="323" hidden="1">
      <c r="J323" s="4">
        <f t="array" ref="J323">IFERROR(INDEX(Unified_Matrix!$A:$ZZ,ROW(A320),MATCH("Max "&amp;$J$9,Unified_Matrix!$1:$1,0)),"")</f>
        <v/>
      </c>
      <c r="K323" s="4">
        <f t="array" ref="K323">IFERROR(INDEX(Unified_Matrix!$A:$ZZ,ROW(A320),MATCH("Evolution_Name",Unified_Matrix!$1:$1,0)),"")</f>
        <v/>
      </c>
      <c r="L323" s="4">
        <f>IF(J323="","",IF(J323=0,"",IF(J323=$AB$28,1,IF(J323=$AB$29,2,IF(J323=$AB$30,3,"")))))</f>
        <v/>
      </c>
      <c r="M323" s="4">
        <f t="array" ref="M323">IFERROR(INDEX(Unified_Matrix!$A:$ZZ,ROW(A320),MATCH("+ OVR",Unified_Matrix!$1:$1,0)),"")</f>
        <v/>
      </c>
      <c r="N323" s="4">
        <f t="array" ref="N323">IFERROR(INDEX(Unified_Matrix!$A:$ZZ,ROW(A320),MATCH("Max OVR",Unified_Matrix!$1:$1,0)),"")</f>
        <v/>
      </c>
      <c r="O323" s="4">
        <f t="array" ref="O323">IFERROR(INDEX(Unified_Matrix!$A:$ZZ,ROW(A320),MATCH("Req_Position",Unified_Matrix!$1:$1,0)),"")</f>
        <v/>
      </c>
      <c r="P323" s="4">
        <f t="array" ref="P323">IFERROR(INDEX(Unified_Matrix!$A:$ZZ,ROW(A320),MATCH("Req_OVR_Max",Unified_Matrix!$1:$1,0)),"")</f>
        <v/>
      </c>
      <c r="Q323" s="4">
        <f t="array" ref="Q323">IFERROR(INDEX(Unified_Matrix!$A:$ZZ,ROW(A320),MATCH("Req_Other",Unified_Matrix!$1:$1,0)),"")</f>
        <v/>
      </c>
    </row>
    <row r="324" hidden="1">
      <c r="J324" s="4">
        <f t="array" ref="J324">IFERROR(INDEX(Unified_Matrix!$A:$ZZ,ROW(A321),MATCH("Max "&amp;$J$9,Unified_Matrix!$1:$1,0)),"")</f>
        <v/>
      </c>
      <c r="K324" s="4">
        <f t="array" ref="K324">IFERROR(INDEX(Unified_Matrix!$A:$ZZ,ROW(A321),MATCH("Evolution_Name",Unified_Matrix!$1:$1,0)),"")</f>
        <v/>
      </c>
      <c r="L324" s="4">
        <f>IF(J324="","",IF(J324=0,"",IF(J324=$AB$28,1,IF(J324=$AB$29,2,IF(J324=$AB$30,3,"")))))</f>
        <v/>
      </c>
      <c r="M324" s="4">
        <f t="array" ref="M324">IFERROR(INDEX(Unified_Matrix!$A:$ZZ,ROW(A321),MATCH("+ OVR",Unified_Matrix!$1:$1,0)),"")</f>
        <v/>
      </c>
      <c r="N324" s="4">
        <f t="array" ref="N324">IFERROR(INDEX(Unified_Matrix!$A:$ZZ,ROW(A321),MATCH("Max OVR",Unified_Matrix!$1:$1,0)),"")</f>
        <v/>
      </c>
      <c r="O324" s="4">
        <f t="array" ref="O324">IFERROR(INDEX(Unified_Matrix!$A:$ZZ,ROW(A321),MATCH("Req_Position",Unified_Matrix!$1:$1,0)),"")</f>
        <v/>
      </c>
      <c r="P324" s="4">
        <f t="array" ref="P324">IFERROR(INDEX(Unified_Matrix!$A:$ZZ,ROW(A321),MATCH("Req_OVR_Max",Unified_Matrix!$1:$1,0)),"")</f>
        <v/>
      </c>
      <c r="Q324" s="4">
        <f t="array" ref="Q324">IFERROR(INDEX(Unified_Matrix!$A:$ZZ,ROW(A321),MATCH("Req_Other",Unified_Matrix!$1:$1,0)),"")</f>
        <v/>
      </c>
    </row>
    <row r="325" hidden="1">
      <c r="J325" s="4">
        <f t="array" ref="J325">IFERROR(INDEX(Unified_Matrix!$A:$ZZ,ROW(A322),MATCH("Max "&amp;$J$9,Unified_Matrix!$1:$1,0)),"")</f>
        <v/>
      </c>
      <c r="K325" s="4">
        <f t="array" ref="K325">IFERROR(INDEX(Unified_Matrix!$A:$ZZ,ROW(A322),MATCH("Evolution_Name",Unified_Matrix!$1:$1,0)),"")</f>
        <v/>
      </c>
      <c r="L325" s="4">
        <f>IF(J325="","",IF(J325=0,"",IF(J325=$AB$28,1,IF(J325=$AB$29,2,IF(J325=$AB$30,3,"")))))</f>
        <v/>
      </c>
      <c r="M325" s="4">
        <f t="array" ref="M325">IFERROR(INDEX(Unified_Matrix!$A:$ZZ,ROW(A322),MATCH("+ OVR",Unified_Matrix!$1:$1,0)),"")</f>
        <v/>
      </c>
      <c r="N325" s="4">
        <f t="array" ref="N325">IFERROR(INDEX(Unified_Matrix!$A:$ZZ,ROW(A322),MATCH("Max OVR",Unified_Matrix!$1:$1,0)),"")</f>
        <v/>
      </c>
      <c r="O325" s="4">
        <f t="array" ref="O325">IFERROR(INDEX(Unified_Matrix!$A:$ZZ,ROW(A322),MATCH("Req_Position",Unified_Matrix!$1:$1,0)),"")</f>
        <v/>
      </c>
      <c r="P325" s="4">
        <f t="array" ref="P325">IFERROR(INDEX(Unified_Matrix!$A:$ZZ,ROW(A322),MATCH("Req_OVR_Max",Unified_Matrix!$1:$1,0)),"")</f>
        <v/>
      </c>
      <c r="Q325" s="4">
        <f t="array" ref="Q325">IFERROR(INDEX(Unified_Matrix!$A:$ZZ,ROW(A322),MATCH("Req_Other",Unified_Matrix!$1:$1,0)),"")</f>
        <v/>
      </c>
    </row>
    <row r="326" hidden="1">
      <c r="J326" s="4">
        <f t="array" ref="J326">IFERROR(INDEX(Unified_Matrix!$A:$ZZ,ROW(A323),MATCH("Max "&amp;$J$9,Unified_Matrix!$1:$1,0)),"")</f>
        <v/>
      </c>
      <c r="K326" s="4">
        <f t="array" ref="K326">IFERROR(INDEX(Unified_Matrix!$A:$ZZ,ROW(A323),MATCH("Evolution_Name",Unified_Matrix!$1:$1,0)),"")</f>
        <v/>
      </c>
      <c r="L326" s="4">
        <f>IF(J326="","",IF(J326=0,"",IF(J326=$AB$28,1,IF(J326=$AB$29,2,IF(J326=$AB$30,3,"")))))</f>
        <v/>
      </c>
      <c r="M326" s="4">
        <f t="array" ref="M326">IFERROR(INDEX(Unified_Matrix!$A:$ZZ,ROW(A323),MATCH("+ OVR",Unified_Matrix!$1:$1,0)),"")</f>
        <v/>
      </c>
      <c r="N326" s="4">
        <f t="array" ref="N326">IFERROR(INDEX(Unified_Matrix!$A:$ZZ,ROW(A323),MATCH("Max OVR",Unified_Matrix!$1:$1,0)),"")</f>
        <v/>
      </c>
      <c r="O326" s="4">
        <f t="array" ref="O326">IFERROR(INDEX(Unified_Matrix!$A:$ZZ,ROW(A323),MATCH("Req_Position",Unified_Matrix!$1:$1,0)),"")</f>
        <v/>
      </c>
      <c r="P326" s="4">
        <f t="array" ref="P326">IFERROR(INDEX(Unified_Matrix!$A:$ZZ,ROW(A323),MATCH("Req_OVR_Max",Unified_Matrix!$1:$1,0)),"")</f>
        <v/>
      </c>
      <c r="Q326" s="4">
        <f t="array" ref="Q326">IFERROR(INDEX(Unified_Matrix!$A:$ZZ,ROW(A323),MATCH("Req_Other",Unified_Matrix!$1:$1,0)),"")</f>
        <v/>
      </c>
    </row>
    <row r="327" hidden="1">
      <c r="J327" s="4">
        <f t="array" ref="J327">IFERROR(INDEX(Unified_Matrix!$A:$ZZ,ROW(A324),MATCH("Max "&amp;$J$9,Unified_Matrix!$1:$1,0)),"")</f>
        <v/>
      </c>
      <c r="K327" s="4">
        <f t="array" ref="K327">IFERROR(INDEX(Unified_Matrix!$A:$ZZ,ROW(A324),MATCH("Evolution_Name",Unified_Matrix!$1:$1,0)),"")</f>
        <v/>
      </c>
      <c r="L327" s="4">
        <f>IF(J327="","",IF(J327=0,"",IF(J327=$AB$28,1,IF(J327=$AB$29,2,IF(J327=$AB$30,3,"")))))</f>
        <v/>
      </c>
      <c r="M327" s="4">
        <f t="array" ref="M327">IFERROR(INDEX(Unified_Matrix!$A:$ZZ,ROW(A324),MATCH("+ OVR",Unified_Matrix!$1:$1,0)),"")</f>
        <v/>
      </c>
      <c r="N327" s="4">
        <f t="array" ref="N327">IFERROR(INDEX(Unified_Matrix!$A:$ZZ,ROW(A324),MATCH("Max OVR",Unified_Matrix!$1:$1,0)),"")</f>
        <v/>
      </c>
      <c r="O327" s="4">
        <f t="array" ref="O327">IFERROR(INDEX(Unified_Matrix!$A:$ZZ,ROW(A324),MATCH("Req_Position",Unified_Matrix!$1:$1,0)),"")</f>
        <v/>
      </c>
      <c r="P327" s="4">
        <f t="array" ref="P327">IFERROR(INDEX(Unified_Matrix!$A:$ZZ,ROW(A324),MATCH("Req_OVR_Max",Unified_Matrix!$1:$1,0)),"")</f>
        <v/>
      </c>
      <c r="Q327" s="4">
        <f t="array" ref="Q327">IFERROR(INDEX(Unified_Matrix!$A:$ZZ,ROW(A324),MATCH("Req_Other",Unified_Matrix!$1:$1,0)),"")</f>
        <v/>
      </c>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6">
    <mergeCell ref="H11:H15"/>
    <mergeCell ref="H21:H25"/>
    <mergeCell ref="H4:H5"/>
    <mergeCell ref="H6:H7"/>
    <mergeCell ref="H16:H20"/>
    <mergeCell ref="H2:H3"/>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90"/>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Maestro Unbound - EA SPORTS FC 26</t>
        </is>
      </c>
      <c r="D2" t="inlineStr">
        <is>
          <t>https://www.fut.gg/evolutions/1995-maestro-unbound/</t>
        </is>
      </c>
      <c r="K2" t="inlineStr">
        <is>
          <t>World Tour Silver Stars</t>
        </is>
      </c>
      <c r="L2" t="inlineStr">
        <is>
          <t>World Tour Silver Stars</t>
        </is>
      </c>
      <c r="S2" t="inlineStr">
        <is>
          <t>7</t>
        </is>
      </c>
      <c r="T2" t="inlineStr">
        <is>
          <t>2</t>
        </is>
      </c>
      <c r="CW2" t="inlineStr">
        <is>
          <t>8 Level 1 Maradona 95 CAM PAC 90 SHO 91 PAS 91 DRI 96 DEF 40 PHY 77 ST L 5 ★ 3 Maradona 95 CAM PAC 90 SHO 91 PAS 91 DRI 96 DEF 40 PHY 77 ST L 5 ★ 3 UPGRADES 8</t>
        </is>
      </c>
      <c r="CX2" t="inlineStr">
        <is>
          <t>Excluded Rarity World Tour Silver Stars Max PS 7 Max PS+ 2 Details Submit by in 10 days Expiry in 17 days Coins Cost 35,000 Points Cost 250</t>
        </is>
      </c>
      <c r="CY2" t="inlineStr">
        <is>
          <t>Excluded Rarity World Tour Silver Stars Max PS 7 Max PS+ 2 Details Submit by in 10 days Expiry in 17 days Coins Cost 35,000 Points Cost 250</t>
        </is>
      </c>
      <c r="CZ2" t="inlineStr">
        <is>
          <t>Maestro Unbound NEW 35,000 250 2</t>
        </is>
      </c>
      <c r="DA2" t="inlineStr">
        <is>
          <t>Maestro Unbound NEW 35,000 250 2 Unlock the true playmaking abilities of a player by adding all passing PlayStyles. Pelé 96 CAM PAC 94 SHO 96 PAS 92 DRI 95 DEF 60 PHY 75 ST R 5 ★ 4 CAM 90.6 Pelé 96 CAM PAC 94 SHO 96 PAS 92 DRI 95 DEF 60 PHY 75 ST R 5 ★ 4 CAM 92.1 REQUIREMENTS Excluded Rarity World Tour Silver Stars Max PS 7 Max PS+ 2 UPGRADES 8 in 10 days in 17 days 25% 75%</t>
        </is>
      </c>
    </row>
    <row r="3">
      <c r="A3" t="inlineStr">
        <is>
          <t>Current</t>
        </is>
      </c>
      <c r="B3" t="inlineStr">
        <is>
          <t>Current Evolutions</t>
        </is>
      </c>
      <c r="C3" t="inlineStr">
        <is>
          <t>Cat Like Reflexes - EA SPORTS FC 26</t>
        </is>
      </c>
      <c r="D3" t="inlineStr">
        <is>
          <t>https://www.fut.gg/evolutions/1993-cat-like-reflexes/</t>
        </is>
      </c>
      <c r="G3" t="inlineStr">
        <is>
          <t>90</t>
        </is>
      </c>
      <c r="I3" t="inlineStr">
        <is>
          <t>GK</t>
        </is>
      </c>
      <c r="K3" t="inlineStr">
        <is>
          <t>World Tour Silver Stars</t>
        </is>
      </c>
      <c r="L3" t="inlineStr">
        <is>
          <t>World Tour Silver Stars</t>
        </is>
      </c>
      <c r="S3" t="inlineStr">
        <is>
          <t>10</t>
        </is>
      </c>
      <c r="T3" t="inlineStr">
        <is>
          <t>2</t>
        </is>
      </c>
      <c r="X3" t="n">
        <v>30</v>
      </c>
      <c r="Y3" t="n">
        <v>92</v>
      </c>
      <c r="AL3" t="n">
        <v>20</v>
      </c>
      <c r="AM3" t="n">
        <v>82</v>
      </c>
      <c r="AN3" t="n">
        <v>20</v>
      </c>
      <c r="AO3" t="n">
        <v>82</v>
      </c>
      <c r="BR3" t="n">
        <v>25</v>
      </c>
      <c r="BS3" t="n">
        <v>93</v>
      </c>
      <c r="CT3" t="n">
        <v>2</v>
      </c>
      <c r="CV3" t="inlineStr">
        <is>
          <t>GK Goalkeeper ++; GK Ball Playing Keeper ++; GK Sweeper Keeper ++</t>
        </is>
      </c>
      <c r="CW3" t="inlineStr">
        <is>
          <t>+15 OVR 92 +15 POS 92 +1 WF +10 Acceleration 82 +10 Sprint Speed 82 +25 Reactions 93 +15 Diving 90 +15 Handling 91 +15 Kicking 90 +15 Reflexes 94 GK Goalkeeper ++ GK Ball Playing Keeper ++ GK Sweeper Keeper ++ 2 8 Level 1 Nnadozie 90 GK DIV 92 HAN 87 KIC 86 REF 93 SPD 71 POS 91 R 2 ★ 5 Nnadozie 92 GK DIV 92 HAN 87 KIC 86 REF 93 SPD 71 POS 91 R 2 ★ 5 UPGRADES +15 OVR 92 +1 WF +10 Acceleration 82 +10 Sprint Speed 82 8</t>
        </is>
      </c>
      <c r="CX3" t="inlineStr">
        <is>
          <t>Excluded Rarity World Tour Silver Stars Overall Max. 90 Position GK Max PS 10 Max PS+ 2 Details Submit by in 9 days Expiry in 16 days Coins Cost Free Points Cost Free</t>
        </is>
      </c>
      <c r="CY3" t="inlineStr">
        <is>
          <t>Excluded Rarity World Tour Silver Stars Overall Max. 90 Position GK Max PS 10 Max PS+ 2 Details Submit by in 9 days Expiry in 16 days Coins Cost Free Points Cost Free</t>
        </is>
      </c>
      <c r="CZ3" t="inlineStr">
        <is>
          <t>Cat Like Reflexes</t>
        </is>
      </c>
      <c r="DA3" t="inlineStr">
        <is>
          <t>Cat Like Reflexes Elevate your goalkeeper with elite-level reactions boosts designed to turn split-second moments into match-winning saves. Casillas 90 GK DIV 90 HAN 88 KIC 84 REF 93 SPD 59 POS 88 L 1 ★ 3 GK 83.1 Casillas 92 GK DIV 90 HAN 91 KIC 90 REF 94 SPD 69 POS 92 L 1 ★ 4 GK 87.3 REQUIREMENTS Excluded Rarity World Tour Silver Stars Overall Max. 90 Position GK Max PS 10 Max PS+ 2 UPGRADES +15 OVR 92 +15 POS 92 +1 WF +10 Acceleration 82 +10 Sprint Speed 82 +25 Reactions 93 +15 Diving 90 +15 Handling 91 +15 Kicking 90 +15 Reflexes 94 GK Goalkeeper ++ GK Ball Playing Keeper ++ GK Sweeper Keeper ++ 2 8 Show less in 9 days in 16 days 90% 10%</t>
        </is>
      </c>
    </row>
    <row r="4">
      <c r="A4" t="inlineStr">
        <is>
          <t>Current</t>
        </is>
      </c>
      <c r="B4" t="inlineStr">
        <is>
          <t>Current Evolutions</t>
        </is>
      </c>
      <c r="C4" t="inlineStr">
        <is>
          <t>Le Président - EA SPORTS FC 26</t>
        </is>
      </c>
      <c r="D4" t="inlineStr">
        <is>
          <t>https://www.fut.gg/evolutions/1988-le-president/</t>
        </is>
      </c>
      <c r="G4" t="inlineStr">
        <is>
          <t>90</t>
        </is>
      </c>
      <c r="I4" t="inlineStr">
        <is>
          <t>CB</t>
        </is>
      </c>
      <c r="K4" t="inlineStr">
        <is>
          <t>World Tour Silver Stars</t>
        </is>
      </c>
      <c r="L4" t="inlineStr">
        <is>
          <t>World Tour Silver Stars</t>
        </is>
      </c>
      <c r="S4" t="inlineStr">
        <is>
          <t>10</t>
        </is>
      </c>
      <c r="T4" t="inlineStr">
        <is>
          <t>2</t>
        </is>
      </c>
      <c r="X4" t="n">
        <v>40</v>
      </c>
      <c r="Y4" t="n">
        <v>92</v>
      </c>
      <c r="AL4" t="n">
        <v>20</v>
      </c>
      <c r="AM4" t="n">
        <v>86</v>
      </c>
      <c r="AN4" t="n">
        <v>20</v>
      </c>
      <c r="AO4" t="n">
        <v>90</v>
      </c>
      <c r="AZ4" t="n">
        <v>25</v>
      </c>
      <c r="BA4" t="n">
        <v>94</v>
      </c>
      <c r="BH4" t="n">
        <v>60</v>
      </c>
      <c r="BI4" t="n">
        <v>90</v>
      </c>
      <c r="BJ4" t="n">
        <v>30</v>
      </c>
      <c r="BK4" t="n">
        <v>90</v>
      </c>
      <c r="BN4" t="n">
        <v>20</v>
      </c>
      <c r="BO4" t="n">
        <v>88</v>
      </c>
      <c r="BP4" t="n">
        <v>20</v>
      </c>
      <c r="BQ4" t="n">
        <v>87</v>
      </c>
      <c r="BR4" t="n">
        <v>60</v>
      </c>
      <c r="BS4" t="n">
        <v>92</v>
      </c>
      <c r="BT4" t="n">
        <v>30</v>
      </c>
      <c r="BU4" t="n">
        <v>92</v>
      </c>
      <c r="BV4" t="n">
        <v>20</v>
      </c>
      <c r="BW4" t="n">
        <v>87</v>
      </c>
      <c r="BX4" t="n">
        <v>60</v>
      </c>
      <c r="BY4" t="n">
        <v>92</v>
      </c>
      <c r="BZ4" t="n">
        <v>30</v>
      </c>
      <c r="CA4" t="n">
        <v>92</v>
      </c>
      <c r="CB4" t="n">
        <v>30</v>
      </c>
      <c r="CC4" t="n">
        <v>90</v>
      </c>
      <c r="CD4" t="n">
        <v>30</v>
      </c>
      <c r="CE4" t="n">
        <v>93</v>
      </c>
      <c r="CF4" t="n">
        <v>30</v>
      </c>
      <c r="CG4" t="n">
        <v>94</v>
      </c>
      <c r="CH4" t="n">
        <v>30</v>
      </c>
      <c r="CI4" t="n">
        <v>92</v>
      </c>
      <c r="CJ4" t="n">
        <v>25</v>
      </c>
      <c r="CK4" t="n">
        <v>88</v>
      </c>
      <c r="CL4" t="n">
        <v>25</v>
      </c>
      <c r="CM4" t="n">
        <v>90</v>
      </c>
      <c r="CN4" t="n">
        <v>25</v>
      </c>
      <c r="CO4" t="n">
        <v>91</v>
      </c>
      <c r="CP4" t="n">
        <v>50</v>
      </c>
      <c r="CQ4" t="n">
        <v>90</v>
      </c>
      <c r="CT4" t="n">
        <v>6</v>
      </c>
      <c r="CU4" t="n">
        <v>4</v>
      </c>
      <c r="CW4" t="inlineStr">
        <is>
          <t>+20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Level 1 Pacho 90 CB PAC 86 SHO 40 PAS 73 DRI 73 DEF 90 PHY 91 L 5 ★ 5 Pacho 92 CB PAC 86 SHO 40 PAS 73 DRI 74 DEF 90 PHY 91 L 5 ★ 5 UPGRADES +20 OVR 92 +3 WF 4 +30 Composure 92 +25 Aggression 90 +30 Short Pass 90 +30 Reactions 92</t>
        </is>
      </c>
      <c r="CX4" t="inlineStr">
        <is>
          <t>Excluded Rarity World Tour Silver Stars Overall Max. 90 Position CB Max PS 10 Max PS+ 2 Heading Accuracy Max. 94 Details Submit by in 8 days Expiry in 15 days Coins Cost 125,000 Points Cost 750</t>
        </is>
      </c>
      <c r="CY4" t="inlineStr">
        <is>
          <t>Excluded Rarity World Tour Silver Stars Overall Max. 90 Position CB Max PS 10 Max PS+ 2 Heading Accuracy Max. 94 Details Submit by in 8 days Expiry in 15 days Coins Cost 125,000 Points Cost 750</t>
        </is>
      </c>
      <c r="CZ4" t="inlineStr">
        <is>
          <t>Le Président 125,000 750</t>
        </is>
      </c>
      <c r="DA4" t="inlineStr">
        <is>
          <t>Le Président 125,000 750 Transform your CB with the defensive excellence that made Laurent Blanc one of the greatest. Cool, composed, and unbeatable. Laporte 90 CB PAC 85 SHO 60 PAS 87 DRI 84 DEF 91 PHY 90 L 5 ★ 5 CB 79.3 Laporte 92 CB PAC 88 SHO 61 PAS 87 DRI 89 DEF 93 PHY 92 L 5 ★ 5 CB 91.6 REQUIREMENTS Excluded Rarity World Tour Silver Stars Overall Max. 90 Position CB Max PS 10 Max PS+ 2 Heading Accuracy Max. 94 UPGRADES +20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in 8 days in 15 days 59% 41%</t>
        </is>
      </c>
    </row>
    <row r="5">
      <c r="A5" t="inlineStr">
        <is>
          <t>Current</t>
        </is>
      </c>
      <c r="B5" t="inlineStr">
        <is>
          <t>Current Evolutions</t>
        </is>
      </c>
      <c r="C5" t="inlineStr">
        <is>
          <t>Lucky Number Seven - EA SPORTS FC 26</t>
        </is>
      </c>
      <c r="D5" t="inlineStr">
        <is>
          <t>https://www.fut.gg/evolutions/1987-lucky-number-seven/</t>
        </is>
      </c>
      <c r="G5" t="inlineStr">
        <is>
          <t>88</t>
        </is>
      </c>
      <c r="K5" t="inlineStr">
        <is>
          <t>World Tour Silver Stars</t>
        </is>
      </c>
      <c r="L5" t="inlineStr">
        <is>
          <t>World Tour Silver Stars</t>
        </is>
      </c>
      <c r="X5" t="n">
        <v>2</v>
      </c>
      <c r="AT5" t="n">
        <v>14</v>
      </c>
      <c r="AU5" t="n">
        <v>95</v>
      </c>
      <c r="BB5" t="n">
        <v>14</v>
      </c>
      <c r="BC5" t="n">
        <v>92</v>
      </c>
      <c r="BD5" t="n">
        <v>14</v>
      </c>
      <c r="BE5" t="n">
        <v>93</v>
      </c>
      <c r="BP5" t="n">
        <v>14</v>
      </c>
      <c r="BQ5" t="n">
        <v>90</v>
      </c>
      <c r="BV5" t="n">
        <v>7</v>
      </c>
      <c r="BW5" t="n">
        <v>93</v>
      </c>
      <c r="CJ5" t="n">
        <v>7</v>
      </c>
      <c r="CK5" t="n">
        <v>92</v>
      </c>
      <c r="CN5" t="n">
        <v>7</v>
      </c>
      <c r="CO5" t="n">
        <v>92</v>
      </c>
      <c r="CW5" t="inlineStr">
        <is>
          <t>+1 OVR +7 Shot Power 95 +7 Vision 92 +7 Crossing 93 +7 Balance 90 +7 Dribbling 93 +7 Jumping 92 +7 Strength 92 Level 1 Moleiro 88 LM PAC 91 SHO 87 PAS 88 DRI 91 DEF 62 PHY 77 CAM LW R 4 ★ 4 Moleiro 89 LM PAC 91 SHO 88 PAS 89 DRI 91 DEF 62 PHY 77 CAM LW R 4 ★ 4 UPGRADES +1 OVR +7 Shot Power 95 +7 Vision 92 +7 Crossing 93 +7 Balance 90</t>
        </is>
      </c>
      <c r="CX5" t="inlineStr">
        <is>
          <t>Excluded Rarity World Tour Silver Stars Overall Max. 88 Details Submit by in 7 days Expiry in 14 days Coins Cost Free Points Cost Free</t>
        </is>
      </c>
      <c r="CY5" t="inlineStr">
        <is>
          <t>Excluded Rarity World Tour Silver Stars Overall Max. 88 Details Submit by in 7 days Expiry in 14 days Coins Cost Free Points Cost Free</t>
        </is>
      </c>
      <c r="CZ5" t="inlineStr">
        <is>
          <t>Lucky Number Seven 3</t>
        </is>
      </c>
      <c r="DA5" t="inlineStr">
        <is>
          <t>Lucky Number Seven 3 Hit your stride with Lucky Number Seven and give your eligible player boosts across key stats. Riise 88 LB PAC 88 SHO 83 PAS 86 DRI 85 DEF 86 PHY 88 LM L 4 ★ 4 LB 88.2 Riise 89 LB PAC 88 SHO 83 PAS 88 DRI 89 DEF 86 PHY 91 LM L 4 ★ 4 LB 89.5 REQUIREMENTS Excluded Rarity World Tour Silver Stars Overall Max. 88 UPGRADES +1 OVR +7 Shot Power 95 +7 Vision 92 +7 Crossing 93 +7 Balance 90 +7 Dribbling 93 +7 Jumping 92 +7 Strength 92 in 7 days in 14 days 26% 74%</t>
        </is>
      </c>
    </row>
    <row r="6">
      <c r="A6" t="inlineStr">
        <is>
          <t>Current</t>
        </is>
      </c>
      <c r="B6" t="inlineStr">
        <is>
          <t>Current Evolutions</t>
        </is>
      </c>
      <c r="C6" t="inlineStr">
        <is>
          <t>Fullback Takeover - EA SPORTS FC 26</t>
        </is>
      </c>
      <c r="D6" t="inlineStr">
        <is>
          <t>https://www.fut.gg/evolutions/1985-fullback-takeover/</t>
        </is>
      </c>
      <c r="G6" t="inlineStr">
        <is>
          <t>89</t>
        </is>
      </c>
      <c r="I6" t="inlineStr">
        <is>
          <t>RB</t>
        </is>
      </c>
      <c r="J6" t="inlineStr">
        <is>
          <t>CB</t>
        </is>
      </c>
      <c r="K6" t="inlineStr">
        <is>
          <t>World Tour Silver Stars Max Pos. 3</t>
        </is>
      </c>
      <c r="L6" t="inlineStr">
        <is>
          <t>World Tour Silver Stars Max Pos. 3</t>
        </is>
      </c>
      <c r="S6" t="inlineStr">
        <is>
          <t>10</t>
        </is>
      </c>
      <c r="T6" t="inlineStr">
        <is>
          <t>2</t>
        </is>
      </c>
      <c r="U6" t="inlineStr">
        <is>
          <t>3</t>
        </is>
      </c>
      <c r="X6" t="n">
        <v>30</v>
      </c>
      <c r="Y6" t="n">
        <v>90</v>
      </c>
      <c r="AD6" t="n">
        <v>15</v>
      </c>
      <c r="AE6" t="n">
        <v>87</v>
      </c>
      <c r="AL6" t="n">
        <v>20</v>
      </c>
      <c r="AM6" t="n">
        <v>89</v>
      </c>
      <c r="AN6" t="n">
        <v>20</v>
      </c>
      <c r="AO6" t="n">
        <v>92</v>
      </c>
      <c r="BN6" t="n">
        <v>10</v>
      </c>
      <c r="BO6" t="n">
        <v>88</v>
      </c>
      <c r="BP6" t="n">
        <v>10</v>
      </c>
      <c r="BQ6" t="n">
        <v>86</v>
      </c>
      <c r="BR6" t="n">
        <v>10</v>
      </c>
      <c r="BS6" t="n">
        <v>88</v>
      </c>
      <c r="BX6" t="n">
        <v>10</v>
      </c>
      <c r="BY6" t="n">
        <v>88</v>
      </c>
      <c r="BZ6" t="n">
        <v>40</v>
      </c>
      <c r="CA6" t="n">
        <v>91</v>
      </c>
      <c r="CB6" t="n">
        <v>20</v>
      </c>
      <c r="CC6" t="n">
        <v>83</v>
      </c>
      <c r="CD6" t="n">
        <v>20</v>
      </c>
      <c r="CE6" t="n">
        <v>91</v>
      </c>
      <c r="CF6" t="n">
        <v>20</v>
      </c>
      <c r="CG6" t="n">
        <v>90</v>
      </c>
      <c r="CH6" t="n">
        <v>20</v>
      </c>
      <c r="CI6" t="n">
        <v>93</v>
      </c>
      <c r="CJ6" t="n">
        <v>15</v>
      </c>
      <c r="CK6" t="n">
        <v>88</v>
      </c>
      <c r="CL6" t="n">
        <v>20</v>
      </c>
      <c r="CM6" t="n">
        <v>92</v>
      </c>
      <c r="CN6" t="n">
        <v>30</v>
      </c>
      <c r="CO6" t="n">
        <v>88</v>
      </c>
      <c r="CP6" t="n">
        <v>15</v>
      </c>
      <c r="CQ6" t="n">
        <v>86</v>
      </c>
      <c r="CT6" t="n">
        <v>4</v>
      </c>
      <c r="CU6" t="n">
        <v>4</v>
      </c>
      <c r="CW6" t="inlineStr">
        <is>
          <t>+15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Level 1 Wan-Bissaka 89 RB PAC 90 SHO 60 PAS 86 DRI 87 DEF 88 PHY 85 RM R 5 ★ 5 Wan-Bissaka 90 RB PAC 90 SHO 60 PAS 86 DRI 87 DEF 88 PHY 87 RM CB R 5 ★ 5 UPGRADES +15 OVR 90 CB +2 WF 4 +20 Interceptions 91 +15 Strength 88 3</t>
        </is>
      </c>
      <c r="CX6" t="inlineStr">
        <is>
          <t>Excluded Rarity World Tour Silver Stars Max Pos. 3 Overall Max. 89 Position RB Excluded Position CB Max PS 10 Max PS+ 2 Details Submit by in 6 days Expiry in 13 days Coins Cost 35,000 Points Cost 200</t>
        </is>
      </c>
      <c r="CY6" t="inlineStr">
        <is>
          <t>Excluded Rarity World Tour Silver Stars Max Pos. 3 Overall Max. 89 Position RB Excluded Position CB Max PS 10 Max PS+ 2 Details Submit by in 6 days Expiry in 13 days Coins Cost 35,000 Points Cost 200</t>
        </is>
      </c>
      <c r="CZ6" t="inlineStr">
        <is>
          <t>Fullback Takeover 35,000 200</t>
        </is>
      </c>
      <c r="DA6" t="inlineStr">
        <is>
          <t>Fullback Takeover 35,000 200 Speed at the back. Power in every duel. A certain alpine player once ruled the center with unexpected power. Shift the role, break the line, and rediscover that unstoppable edge. Kimmich 89 RB PAC 81 SHO 74 PAS 89 DRI 85 DEF 85 PHY 80 CDM CM R 3 ★ 4 RB 81.0 Kimmich 90 RB PAC 91 SHO 74 PAS 89 DRI 85 DEF 90 PHY 88 CB CDM CM R 3 ★ 4 RB 89.7 REQUIREMENTS Excluded Rarity World Tour Silver Stars Max Pos. 3 Overall Max. 89 Position RB Excluded Position CB Max PS 10 Max PS+ 2 UPGRADES +15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Show less in 6 days in 13 days 22% 78%</t>
        </is>
      </c>
    </row>
    <row r="7">
      <c r="A7" t="inlineStr">
        <is>
          <t>Current</t>
        </is>
      </c>
      <c r="B7" t="inlineStr">
        <is>
          <t>Current Evolutions</t>
        </is>
      </c>
      <c r="C7" t="inlineStr">
        <is>
          <t>Gear 5 - EA SPORTS FC 26</t>
        </is>
      </c>
      <c r="D7" t="inlineStr">
        <is>
          <t>https://www.fut.gg/evolutions/1984-gear-5/</t>
        </is>
      </c>
      <c r="G7" t="inlineStr">
        <is>
          <t>89</t>
        </is>
      </c>
      <c r="K7" t="inlineStr">
        <is>
          <t>World Tour Silver Stars</t>
        </is>
      </c>
      <c r="L7" t="inlineStr">
        <is>
          <t>World Tour Silver Stars</t>
        </is>
      </c>
      <c r="S7" t="inlineStr">
        <is>
          <t>10</t>
        </is>
      </c>
      <c r="T7" t="inlineStr">
        <is>
          <t>2</t>
        </is>
      </c>
      <c r="X7" t="n">
        <v>10</v>
      </c>
      <c r="Y7" t="n">
        <v>91</v>
      </c>
      <c r="AL7" t="n">
        <v>5</v>
      </c>
      <c r="AM7" t="n">
        <v>89</v>
      </c>
      <c r="AN7" t="n">
        <v>10</v>
      </c>
      <c r="AO7" t="n">
        <v>89</v>
      </c>
      <c r="AP7" t="n">
        <v>5</v>
      </c>
      <c r="AQ7" t="n">
        <v>91</v>
      </c>
      <c r="AR7" t="n">
        <v>5</v>
      </c>
      <c r="AS7" t="n">
        <v>89</v>
      </c>
      <c r="AT7" t="n">
        <v>5</v>
      </c>
      <c r="AU7" t="n">
        <v>88</v>
      </c>
      <c r="AV7" t="n">
        <v>5</v>
      </c>
      <c r="AW7" t="n">
        <v>87</v>
      </c>
      <c r="AX7" t="n">
        <v>5</v>
      </c>
      <c r="AY7" t="n">
        <v>86</v>
      </c>
      <c r="BB7" t="n">
        <v>10</v>
      </c>
      <c r="BC7" t="n">
        <v>91</v>
      </c>
      <c r="BD7" t="n">
        <v>10</v>
      </c>
      <c r="BE7" t="n">
        <v>86</v>
      </c>
      <c r="BH7" t="n">
        <v>5</v>
      </c>
      <c r="BI7" t="n">
        <v>90</v>
      </c>
      <c r="BJ7" t="n">
        <v>5</v>
      </c>
      <c r="BK7" t="n">
        <v>90</v>
      </c>
      <c r="BL7" t="n">
        <v>5</v>
      </c>
      <c r="BM7" t="n">
        <v>90</v>
      </c>
      <c r="BN7" t="n">
        <v>5</v>
      </c>
      <c r="BO7" t="n">
        <v>92</v>
      </c>
      <c r="BP7" t="n">
        <v>5</v>
      </c>
      <c r="BQ7" t="n">
        <v>92</v>
      </c>
      <c r="BR7" t="n">
        <v>5</v>
      </c>
      <c r="BS7" t="n">
        <v>90</v>
      </c>
      <c r="BT7" t="n">
        <v>5</v>
      </c>
      <c r="BU7" t="n">
        <v>91</v>
      </c>
      <c r="BV7" t="n">
        <v>5</v>
      </c>
      <c r="BW7" t="n">
        <v>92</v>
      </c>
      <c r="BX7" t="n">
        <v>5</v>
      </c>
      <c r="BY7" t="n">
        <v>87</v>
      </c>
      <c r="BZ7" t="n">
        <v>5</v>
      </c>
      <c r="CA7" t="n">
        <v>88</v>
      </c>
      <c r="CB7" t="n">
        <v>5</v>
      </c>
      <c r="CC7" t="n">
        <v>85</v>
      </c>
      <c r="CD7" t="n">
        <v>5</v>
      </c>
      <c r="CE7" t="n">
        <v>86</v>
      </c>
      <c r="CF7" t="n">
        <v>5</v>
      </c>
      <c r="CG7" t="n">
        <v>86</v>
      </c>
      <c r="CH7" t="n">
        <v>10</v>
      </c>
      <c r="CI7" t="n">
        <v>90</v>
      </c>
      <c r="CJ7" t="n">
        <v>5</v>
      </c>
      <c r="CK7" t="n">
        <v>90</v>
      </c>
      <c r="CL7" t="n">
        <v>5</v>
      </c>
      <c r="CM7" t="n">
        <v>90</v>
      </c>
      <c r="CN7" t="n">
        <v>5</v>
      </c>
      <c r="CO7" t="n">
        <v>86</v>
      </c>
      <c r="CP7" t="n">
        <v>5</v>
      </c>
      <c r="CQ7" t="n">
        <v>86</v>
      </c>
      <c r="CR7" t="n">
        <v>4</v>
      </c>
      <c r="CT7" t="n">
        <v>8</v>
      </c>
      <c r="CW7" t="inlineStr">
        <is>
          <t>+5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Level 1 Kerolin Nicoli 89 RM PAC 91 SHO 86 PAS 85 DRI 90 DEF 52 PHY 86 RW ST R 5 ★ 5 Kerolin Nicoli 91 RM PAC 91 SHO 86 PAS 86 DRI 90 DEF 52 PHY 86 RW ST R 5 ★ 5 UPGRADES +5 OVR 91 +4 WF +5 Sliding Tackle 90 +5 Vision 91 +5 Sprint Speed 89 +5 Crossing 86</t>
        </is>
      </c>
      <c r="CX7" t="inlineStr">
        <is>
          <t>Excluded Rarity World Tour Silver Stars Overall Max. 89 Max PS 10 Max PS+ 2 Details Submit by in 5 days Expiry in 12 days Coins Cost 75,000 Points Cost 400</t>
        </is>
      </c>
      <c r="CY7" t="inlineStr">
        <is>
          <t>Excluded Rarity World Tour Silver Stars Overall Max. 89 Max PS 10 Max PS+ 2 Details Submit by in 5 days Expiry in 12 days Coins Cost 75,000 Points Cost 400</t>
        </is>
      </c>
      <c r="CZ7" t="inlineStr">
        <is>
          <t>Gear 5 75,000 400</t>
        </is>
      </c>
      <c r="DA7" t="inlineStr">
        <is>
          <t>Gear 5 75,000 400 Hit the gear and let loose with +5 boosts across key stats. Bounce past rivals, stretch the game, and chase victory with a grin. Davies 89 LB PAC 95 SHO 80 PAS 84 DRI 87 DEF 82 PHY 84 LM L 4 ★ 3 LB 87.9 Davies 91 LB PAC 95 SHO 83 PAS 86 DRI 91 DEF 86 PHY 87 LM L 5 ★ 5 LB 91.2 REQUIREMENTS Excluded Rarity World Tour Silver Stars Overall Max. 89 Max PS 10 Max PS+ 2 UPGRADES +5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in 5 days in 12 days 8% 92%</t>
        </is>
      </c>
    </row>
    <row r="8">
      <c r="A8" t="inlineStr">
        <is>
          <t>Current</t>
        </is>
      </c>
      <c r="B8" t="inlineStr">
        <is>
          <t>Current Evolutions</t>
        </is>
      </c>
      <c r="C8" t="inlineStr">
        <is>
          <t>Steel Guard - EA SPORTS FC 26</t>
        </is>
      </c>
      <c r="D8" t="inlineStr">
        <is>
          <t>https://www.fut.gg/evolutions/1980-steel-guard/</t>
        </is>
      </c>
      <c r="G8" t="inlineStr">
        <is>
          <t>74</t>
        </is>
      </c>
      <c r="K8" t="inlineStr">
        <is>
          <t>World Tour Silver Stars</t>
        </is>
      </c>
      <c r="L8" t="inlineStr">
        <is>
          <t>World Tour Silver Stars</t>
        </is>
      </c>
      <c r="S8" t="inlineStr">
        <is>
          <t>10</t>
        </is>
      </c>
      <c r="T8" t="inlineStr">
        <is>
          <t>2</t>
        </is>
      </c>
      <c r="AL8" t="n">
        <v>1</v>
      </c>
      <c r="AM8" t="n">
        <v>80</v>
      </c>
      <c r="AN8" t="n">
        <v>1</v>
      </c>
      <c r="AO8" t="n">
        <v>80</v>
      </c>
      <c r="BB8" t="n">
        <v>2</v>
      </c>
      <c r="BC8" t="n">
        <v>72</v>
      </c>
      <c r="BH8" t="n">
        <v>4</v>
      </c>
      <c r="BI8" t="n">
        <v>78</v>
      </c>
      <c r="BZ8" t="n">
        <v>4</v>
      </c>
      <c r="CA8" t="n">
        <v>80</v>
      </c>
      <c r="CB8" t="n">
        <v>2</v>
      </c>
      <c r="CC8" t="n">
        <v>76</v>
      </c>
      <c r="CD8" t="n">
        <v>4</v>
      </c>
      <c r="CE8" t="n">
        <v>80</v>
      </c>
      <c r="CF8" t="n">
        <v>2</v>
      </c>
      <c r="CG8" t="n">
        <v>80</v>
      </c>
      <c r="CH8" t="n">
        <v>4</v>
      </c>
      <c r="CI8" t="n">
        <v>78</v>
      </c>
      <c r="CJ8" t="n">
        <v>2</v>
      </c>
      <c r="CK8" t="n">
        <v>75</v>
      </c>
      <c r="CL8" t="n">
        <v>1</v>
      </c>
      <c r="CM8" t="n">
        <v>78</v>
      </c>
      <c r="CN8" t="n">
        <v>1</v>
      </c>
      <c r="CO8" t="n">
        <v>78</v>
      </c>
      <c r="CP8" t="n">
        <v>1</v>
      </c>
      <c r="CQ8" t="n">
        <v>75</v>
      </c>
      <c r="CW8" t="inlineStr">
        <is>
          <t>+2 Sliding Tackle 78 +2 Short Pass 78 +2 Defensive Awareness 80 +2 Interceptions 80 +1 Jumping 75 +1 Sprint Speed 80 +2 Standing Tackle 80 +1 Acceleration 80 +1 Strength 78 +2 Vision 72 +1 Aggression 75 +1 Stamina 78 +2 Heading Acc. 76 2 8 Level 1 Jair Cunha 74 CB PAC 67 SHO 38 PAS 59 DRI 58 DEF 73 PHY 80 R 2 ★ 4 Jair Cunha 74 CB PAC 67 SHO 38 PAS 60 DRI 58 DEF 75 PHY 80 R 2 ★ 4 UPGRADES +2 Sliding Tackle 78 +2 Short Pass 78 +2 Defensive Awareness 80 +2 Interceptions 80 +1 Jumping 75 8</t>
        </is>
      </c>
      <c r="CX8" t="inlineStr">
        <is>
          <t>Excluded Rarity World Tour Silver Stars Overall Max. 74 Max PS 10 Max PS+ 2 Details Submit by in 4 days Expiry in 11 days Coins Cost Free Points Cost Free</t>
        </is>
      </c>
      <c r="CY8" t="inlineStr">
        <is>
          <t>Excluded Rarity World Tour Silver Stars Overall Max. 74 Max PS 10 Max PS+ 2 Details Submit by in 4 days Expiry in 11 days Coins Cost Free Points Cost Free</t>
        </is>
      </c>
      <c r="CZ8" t="inlineStr">
        <is>
          <t>Steel Guard 3</t>
        </is>
      </c>
      <c r="DA8" t="inlineStr">
        <is>
          <t>Steel Guard 3 Cold as steel and impossible to break, dominates every duel, reads the game perfectly, and shuts down attacks before they even become a threat. Zima 74 CB PAC 76 SHO 38 PAS 54 DRI 62 DEF 75 PHY 75 R 2 ★ 4 CB 65.6 Zima 74 CB PAC 77 SHO 38 PAS 55 DRI 62 DEF 77 PHY 75 R 2 ★ 4 CB 75.9 REQUIREMENTS Excluded Rarity World Tour Silver Stars Overall Max. 74 Max PS 10 Max PS+ 2 UPGRADES +2 Sliding Tackle 78 +2 Short Pass 78 +2 Defensive Awareness 80 +2 Interceptions 80 +1 Jumping 75 +1 Sprint Speed 80 +2 Standing Tackle 80 +1 Acceleration 80 +1 Strength 78 +2 Vision 72 +1 Aggression 75 +1 Stamina 78 +2 Heading Acc. 76 2 8 in 4 days in 11 days 7% 93%</t>
        </is>
      </c>
    </row>
    <row r="9">
      <c r="A9" t="inlineStr">
        <is>
          <t>Current</t>
        </is>
      </c>
      <c r="B9" t="inlineStr">
        <is>
          <t>Current Evolutions</t>
        </is>
      </c>
      <c r="C9" t="inlineStr">
        <is>
          <t>Lightning Wingback - EA SPORTS FC 26</t>
        </is>
      </c>
      <c r="D9" t="inlineStr">
        <is>
          <t>https://www.fut.gg/evolutions/1978-lightning-wingback/</t>
        </is>
      </c>
      <c r="G9" t="inlineStr">
        <is>
          <t>89</t>
        </is>
      </c>
      <c r="I9" t="inlineStr">
        <is>
          <t>LB</t>
        </is>
      </c>
      <c r="J9" t="inlineStr">
        <is>
          <t>CB</t>
        </is>
      </c>
      <c r="K9" t="inlineStr">
        <is>
          <t>World Tour Silver Stars</t>
        </is>
      </c>
      <c r="L9" t="inlineStr">
        <is>
          <t>World Tour Silver Stars</t>
        </is>
      </c>
      <c r="S9" t="inlineStr">
        <is>
          <t>10</t>
        </is>
      </c>
      <c r="T9" t="inlineStr">
        <is>
          <t>2</t>
        </is>
      </c>
      <c r="X9" t="n">
        <v>60</v>
      </c>
      <c r="Y9" t="n">
        <v>91</v>
      </c>
      <c r="AL9" t="n">
        <v>30</v>
      </c>
      <c r="AM9" t="n">
        <v>93</v>
      </c>
      <c r="AN9" t="n">
        <v>60</v>
      </c>
      <c r="AO9" t="n">
        <v>93</v>
      </c>
      <c r="AP9" t="n">
        <v>100</v>
      </c>
      <c r="AQ9" t="n">
        <v>90</v>
      </c>
      <c r="AT9" t="n">
        <v>50</v>
      </c>
      <c r="AU9" t="n">
        <v>94</v>
      </c>
      <c r="BD9" t="n">
        <v>30</v>
      </c>
      <c r="BE9" t="n">
        <v>94</v>
      </c>
      <c r="BH9" t="n">
        <v>30</v>
      </c>
      <c r="BI9" t="n">
        <v>92</v>
      </c>
      <c r="BJ9" t="n">
        <v>50</v>
      </c>
      <c r="BK9" t="n">
        <v>93</v>
      </c>
      <c r="BN9" t="n">
        <v>30</v>
      </c>
      <c r="BO9" t="n">
        <v>90</v>
      </c>
      <c r="BP9" t="n">
        <v>30</v>
      </c>
      <c r="BQ9" t="n">
        <v>90</v>
      </c>
      <c r="BR9" t="n">
        <v>30</v>
      </c>
      <c r="BS9" t="n">
        <v>93</v>
      </c>
      <c r="BT9" t="n">
        <v>30</v>
      </c>
      <c r="BU9" t="n">
        <v>90</v>
      </c>
      <c r="BV9" t="n">
        <v>30</v>
      </c>
      <c r="BW9" t="n">
        <v>89</v>
      </c>
      <c r="BX9" t="n">
        <v>30</v>
      </c>
      <c r="BY9" t="n">
        <v>89</v>
      </c>
      <c r="BZ9" t="n">
        <v>35</v>
      </c>
      <c r="CA9" t="n">
        <v>92</v>
      </c>
      <c r="CB9" t="n">
        <v>35</v>
      </c>
      <c r="CC9" t="n">
        <v>92</v>
      </c>
      <c r="CD9" t="n">
        <v>35</v>
      </c>
      <c r="CE9" t="n">
        <v>90</v>
      </c>
      <c r="CF9" t="n">
        <v>70</v>
      </c>
      <c r="CG9" t="n">
        <v>87</v>
      </c>
      <c r="CH9" t="n">
        <v>35</v>
      </c>
      <c r="CI9" t="n">
        <v>95</v>
      </c>
      <c r="CJ9" t="n">
        <v>20</v>
      </c>
      <c r="CK9" t="n">
        <v>90</v>
      </c>
      <c r="CL9" t="n">
        <v>20</v>
      </c>
      <c r="CM9" t="n">
        <v>94</v>
      </c>
      <c r="CN9" t="n">
        <v>25</v>
      </c>
      <c r="CO9" t="n">
        <v>91</v>
      </c>
      <c r="CP9" t="n">
        <v>50</v>
      </c>
      <c r="CQ9" t="n">
        <v>92</v>
      </c>
      <c r="CT9" t="n">
        <v>4</v>
      </c>
      <c r="CW9" t="inlineStr">
        <is>
          <t>+30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Level 1 Dorgu 89 LM PAC 94 SHO 82 PAS 86 DRI 89 DEF 86 PHY 88 LB LW L 3 ★ 4 Dorgu 91 LM PAC 94 SHO 82 PAS 86 DRI 89 DEF 86 PHY 90 LB LW L 3 ★ 4 UPGRADES +30 OVR 91 +35 Standing Tackle 87 +25 Aggression 92 +30 Sprint Speed 93 +50 Positioning 90 7</t>
        </is>
      </c>
      <c r="CX9" t="inlineStr">
        <is>
          <t>Excluded Rarity World Tour Silver Stars Overall Max. 89 Position LB Excluded Position CB Max PS 10 Max PS+ 2 Details Submit by in 3 days Expiry in 10 days Coins Cost 50,000 Points Cost 300</t>
        </is>
      </c>
      <c r="CY9" t="inlineStr">
        <is>
          <t>Excluded Rarity World Tour Silver Stars Overall Max. 89 Position LB Excluded Position CB Max PS 10 Max PS+ 2 Details Submit by in 3 days Expiry in 10 days Coins Cost 50,000 Points Cost 300</t>
        </is>
      </c>
      <c r="CZ9" t="inlineStr">
        <is>
          <t>Lightning Wingback 50,000 300</t>
        </is>
      </c>
      <c r="DA9" t="inlineStr">
        <is>
          <t>Lightning Wingback 50,000 300 Lightning-fast wingback to dominate the flank. Explosive pace, relentless overlaps, and pinpoint delivery. A constant threat in attack while tracking back with power and precision. Savona 83 RB PAC 84 SHO 57 PAS 75 DRI 76 DEF 83 PHY 83 LB RM R 2 ★ 3 RB 80.1 Savona 91 RB PAC 93 SHO 64 PAS 81 DRI 90 DEF 90 PHY 92 LB RM R 2 ★ 5 RB 94.8 REQUIREMENTS Excluded Rarity World Tour Silver Stars Overall Max. 89 Position LB Excluded Position CB Max PS 10 Max PS+ 2 UPGRADES +30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in 3 days in 10 days 91% 9%</t>
        </is>
      </c>
    </row>
    <row r="10">
      <c r="A10" t="inlineStr">
        <is>
          <t>Current</t>
        </is>
      </c>
      <c r="B10" t="inlineStr">
        <is>
          <t>Current Evolutions</t>
        </is>
      </c>
      <c r="C10" t="inlineStr">
        <is>
          <t>Curve Your Enthusiasm - EA SPORTS FC 26</t>
        </is>
      </c>
      <c r="D10" t="inlineStr">
        <is>
          <t>https://www.fut.gg/evolutions/1976-curve-your-enthusiasm/</t>
        </is>
      </c>
      <c r="G10" t="inlineStr">
        <is>
          <t>88</t>
        </is>
      </c>
      <c r="K10" t="inlineStr">
        <is>
          <t>World Tour Silver Stars</t>
        </is>
      </c>
      <c r="L10" t="inlineStr">
        <is>
          <t>World Tour Silver Stars</t>
        </is>
      </c>
      <c r="S10" t="inlineStr">
        <is>
          <t>10</t>
        </is>
      </c>
      <c r="AP10" t="n">
        <v>6</v>
      </c>
      <c r="AQ10" t="n">
        <v>90</v>
      </c>
      <c r="AR10" t="n">
        <v>10</v>
      </c>
      <c r="AS10" t="n">
        <v>92</v>
      </c>
      <c r="AT10" t="n">
        <v>3</v>
      </c>
      <c r="AU10" t="n">
        <v>90</v>
      </c>
      <c r="AV10" t="n">
        <v>5</v>
      </c>
      <c r="AW10" t="n">
        <v>92</v>
      </c>
      <c r="BL10" t="n">
        <v>8</v>
      </c>
      <c r="BM10" t="n">
        <v>95</v>
      </c>
      <c r="CW10" t="inlineStr">
        <is>
          <t>+3 Positioning 90 +5 Finishing 92 +5 Long Shots 92 +3 Shot Power 90 +8 Curve 95 8 Level 1 Bobb 88 RW PAC 93 SHO 87 PAS 88 DRI 93 DEF 48 PHY 69 RM LW L 5 ★ 4 Bobb 88 RW PAC 93 SHO 89 PAS 88 DRI 93 DEF 48 PHY 69 RM LW L 5 ★ 4 UPGRADES +3 Positioning 90 +5 Finishing 92 8</t>
        </is>
      </c>
      <c r="CX10" t="inlineStr">
        <is>
          <t>Excluded Rarity World Tour Silver Stars Overall Max. 88 Max PS 10 Details Submit by in 2 days Expiry in 9 days Coins Cost Free Points Cost Free</t>
        </is>
      </c>
      <c r="CY10" t="inlineStr">
        <is>
          <t>Excluded Rarity World Tour Silver Stars Overall Max. 88 Max PS 10 Details Submit by in 2 days Expiry in 9 days Coins Cost Free Points Cost Free</t>
        </is>
      </c>
      <c r="CZ10" t="inlineStr">
        <is>
          <t>Curve Your Enthusiasm 5</t>
        </is>
      </c>
      <c r="DA10" t="inlineStr">
        <is>
          <t>Curve Your Enthusiasm 5 Bend the game to your will and create moments of magic by transforming a player into a ball-bending specialist. Bobb 88 RW PAC 93 SHO 87 PAS 88 DRI 93 DEF 48 PHY 69 RM LW L 5 ★ 4 RM 88.2 Bobb 88 RW PAC 93 SHO 90 PAS 88 DRI 93 DEF 48 PHY 69 RM LW L 5 ★ 4 RM 89.8 REQUIREMENTS Excluded Rarity World Tour Silver Stars Overall Max. 88 Max PS 10 UPGRADES +3 Positioning 90 +5 Finishing 92 +5 Long Shots 92 +3 Shot Power 90 +8 Curve 95 8 in 2 days in 9 days 31% 69%</t>
        </is>
      </c>
    </row>
    <row r="11">
      <c r="A11" t="inlineStr">
        <is>
          <t>Current</t>
        </is>
      </c>
      <c r="B11" t="inlineStr">
        <is>
          <t>Current Evolutions</t>
        </is>
      </c>
      <c r="C11" t="inlineStr">
        <is>
          <t>Cut In, Say Less - EA SPORTS FC 26</t>
        </is>
      </c>
      <c r="D11" t="inlineStr">
        <is>
          <t>https://www.fut.gg/evolutions/1967-cut-in-say-less/</t>
        </is>
      </c>
      <c r="G11" t="inlineStr">
        <is>
          <t>90</t>
        </is>
      </c>
      <c r="I11" t="inlineStr">
        <is>
          <t>RM, RW</t>
        </is>
      </c>
      <c r="K11" t="inlineStr">
        <is>
          <t>World Tour Silver Stars</t>
        </is>
      </c>
      <c r="L11" t="inlineStr">
        <is>
          <t>World Tour Silver Stars</t>
        </is>
      </c>
      <c r="S11" t="inlineStr">
        <is>
          <t>10</t>
        </is>
      </c>
      <c r="T11" t="inlineStr">
        <is>
          <t>2</t>
        </is>
      </c>
      <c r="X11" t="n">
        <v>34</v>
      </c>
      <c r="Y11" t="n">
        <v>92</v>
      </c>
      <c r="AL11" t="n">
        <v>34</v>
      </c>
      <c r="AM11" t="n">
        <v>93</v>
      </c>
      <c r="AN11" t="n">
        <v>34</v>
      </c>
      <c r="AO11" t="n">
        <v>91</v>
      </c>
      <c r="AR11" t="n">
        <v>17</v>
      </c>
      <c r="AS11" t="n">
        <v>92</v>
      </c>
      <c r="AT11" t="n">
        <v>17</v>
      </c>
      <c r="AU11" t="n">
        <v>91</v>
      </c>
      <c r="AV11" t="n">
        <v>17</v>
      </c>
      <c r="AW11" t="n">
        <v>90</v>
      </c>
      <c r="AX11" t="n">
        <v>17</v>
      </c>
      <c r="AY11" t="n">
        <v>86</v>
      </c>
      <c r="BB11" t="n">
        <v>34</v>
      </c>
      <c r="BC11" t="n">
        <v>93</v>
      </c>
      <c r="BD11" t="n">
        <v>34</v>
      </c>
      <c r="BE11" t="n">
        <v>90</v>
      </c>
      <c r="BH11" t="n">
        <v>17</v>
      </c>
      <c r="BI11" t="n">
        <v>92</v>
      </c>
      <c r="BJ11" t="n">
        <v>17</v>
      </c>
      <c r="BK11" t="n">
        <v>91</v>
      </c>
      <c r="BL11" t="n">
        <v>17</v>
      </c>
      <c r="BM11" t="n">
        <v>94</v>
      </c>
      <c r="BN11" t="n">
        <v>17</v>
      </c>
      <c r="BO11" t="n">
        <v>94</v>
      </c>
      <c r="BP11" t="n">
        <v>17</v>
      </c>
      <c r="BQ11" t="n">
        <v>92</v>
      </c>
      <c r="BR11" t="n">
        <v>17</v>
      </c>
      <c r="BS11" t="n">
        <v>91</v>
      </c>
      <c r="BT11" t="n">
        <v>17</v>
      </c>
      <c r="BU11" t="n">
        <v>91</v>
      </c>
      <c r="BV11" t="n">
        <v>17</v>
      </c>
      <c r="BW11" t="n">
        <v>92</v>
      </c>
      <c r="BX11" t="n">
        <v>17</v>
      </c>
      <c r="BY11" t="n">
        <v>91</v>
      </c>
      <c r="CR11" t="n">
        <v>4</v>
      </c>
      <c r="CS11" t="n">
        <v>5</v>
      </c>
      <c r="CW11" t="inlineStr">
        <is>
          <t>+17 OVR 92 +4 SM 5 +17 Acceleration 93 +17 Sprint Speed 91 +17 Vision 93 +17 Crossing 90 +17 Fk Accuracy 89 +17 Short Pass 92 +17 Long Pass 91 +17 Agility 94 +17 Balance 92 +17 Reactions 91 +17 Ball Control 91 +17 Dribbling 92 +17 Composure 91 +17 Curve 94 +17 Finishing 92 +17 Shot Power 91 +17 Long Shots 90 +17 Volleys 86 3 7 Level 1 Gnabry 90 CAM PAC 92 SHO 90 PAS 90 DRI 90 DEF 51 PHY 73 RM LM ST LW R 4 ★ 5 Gnabry 92 CAM PAC 92 SHO 90 PAS 91 DRI 90 DEF 51 PHY 73 RM LM ST LW R 4 ★ 5 UPGRADES +17 OVR 92 +17 Acceleration 93 +17 Sprint Speed 91 +17 Vision 93 +17 Crossing 90 +17 Fk Accuracy 89 3</t>
        </is>
      </c>
      <c r="CX11" t="inlineStr">
        <is>
          <t>Excluded Rarity World Tour Silver Stars Overall Max. 90 Position RM, RW Max PS 10 Max PS+ 2 Details Submit by in 13 hours Expiry in 8 days Coins Cost 100,000 Points Cost 500</t>
        </is>
      </c>
      <c r="CY11" t="inlineStr">
        <is>
          <t>Excluded Rarity World Tour Silver Stars Overall Max. 90 Position RM, RW Max PS 10 Max PS+ 2 Details Submit by in 13 hours Expiry in 8 days Coins Cost 100,000 Points Cost 500</t>
        </is>
      </c>
      <c r="CZ11" t="inlineStr">
        <is>
          <t>Cut In, Say Less 100,000 500</t>
        </is>
      </c>
      <c r="DA11" t="inlineStr">
        <is>
          <t>Cut In, Say Less 100,000 500 Elevate your favourite qualified player with enhanced pace, dribbling, shooting, and passing, allowing them to cut inside, get past defenders, and deliver in decisive moments! Debinha 89 RW PAC 87 SHO 82 PAS 87 DRI 92 DEF 48 PHY 78 RM CM CAM R 5 ★ 5 RM 86.5 Debinha 92 RW PAC 92 SHO 90 PAS 92 DRI 93 DEF 48 PHY 78 RM CM CAM R 5 ★ 5 RM 93.3 REQUIREMENTS Excluded Rarity World Tour Silver Stars Overall Max. 90 Position RM, RW Max PS 10 Max PS+ 2 UPGRADES +17 OVR 92 +4 SM 5 +17 Acceleration 93 +17 Sprint Speed 91 +17 Vision 93 +17 Crossing 90 +17 Fk Accuracy 89 +17 Short Pass 92 +17 Long Pass 91 +17 Agility 94 +17 Balance 92 +17 Reactions 91 +17 Ball Control 91 +17 Dribbling 92 +17 Composure 91 +17 Curve 94 +17 Finishing 92 +17 Shot Power 91 +17 Long Shots 90 +17 Volleys 86 3 7 in 13 hours in 8 days 64% 36%</t>
        </is>
      </c>
    </row>
    <row r="12">
      <c r="A12" t="inlineStr">
        <is>
          <t>Current</t>
        </is>
      </c>
      <c r="B12" t="inlineStr">
        <is>
          <t>Current Evolutions</t>
        </is>
      </c>
      <c r="C12" t="inlineStr">
        <is>
          <t>Star in Motion - EA SPORTS FC 26</t>
        </is>
      </c>
      <c r="D12" t="inlineStr">
        <is>
          <t>https://www.fut.gg/evolutions/1280-star-in-motion/</t>
        </is>
      </c>
      <c r="G12" t="inlineStr">
        <is>
          <t>85</t>
        </is>
      </c>
      <c r="I12" t="inlineStr">
        <is>
          <t>CAM</t>
        </is>
      </c>
      <c r="K12" t="inlineStr">
        <is>
          <t>World Tour Silver Stars</t>
        </is>
      </c>
      <c r="L12" t="inlineStr">
        <is>
          <t>World Tour Silver Stars</t>
        </is>
      </c>
      <c r="M12" t="inlineStr">
        <is>
          <t>85</t>
        </is>
      </c>
      <c r="S12" t="inlineStr">
        <is>
          <t>10</t>
        </is>
      </c>
      <c r="T12" t="inlineStr">
        <is>
          <t>1</t>
        </is>
      </c>
      <c r="X12" t="n">
        <v>20</v>
      </c>
      <c r="Y12" t="n">
        <v>86</v>
      </c>
      <c r="Z12" t="n">
        <v>35</v>
      </c>
      <c r="AA12" t="n">
        <v>80</v>
      </c>
      <c r="AB12" t="n">
        <v>15</v>
      </c>
      <c r="AC12" t="n">
        <v>82</v>
      </c>
      <c r="AD12" t="n">
        <v>10</v>
      </c>
      <c r="AE12" t="n">
        <v>82</v>
      </c>
      <c r="AF12" t="n">
        <v>15</v>
      </c>
      <c r="AG12" t="n">
        <v>88</v>
      </c>
      <c r="AH12" t="n">
        <v>5</v>
      </c>
      <c r="AI12" t="n">
        <v>60</v>
      </c>
      <c r="CJ12" t="n">
        <v>15</v>
      </c>
      <c r="CK12" t="n">
        <v>80</v>
      </c>
      <c r="CL12" t="n">
        <v>20</v>
      </c>
      <c r="CM12" t="n">
        <v>80</v>
      </c>
      <c r="CN12" t="n">
        <v>15</v>
      </c>
      <c r="CO12" t="n">
        <v>70</v>
      </c>
      <c r="CP12" t="n">
        <v>15</v>
      </c>
      <c r="CQ12" t="n">
        <v>65</v>
      </c>
      <c r="CR12" t="n">
        <v>6</v>
      </c>
      <c r="CS12" t="n">
        <v>6</v>
      </c>
      <c r="CV12" t="inlineStr">
        <is>
          <t>CAM Shadow Striker ++; CAM Half Winger +</t>
        </is>
      </c>
      <c r="CW12"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12" t="inlineStr">
        <is>
          <t>Excluded Rarity World Tour Silver Stars Overall Max. 85 Position CAM Max PS 10 Max PS+ 1 Pace Max. 85 Details Submit by in 5 months Expiry in 5 months Coins Cost Free Points Cost Free</t>
        </is>
      </c>
      <c r="CY12" t="inlineStr">
        <is>
          <t>Excluded Rarity World Tour Silver Stars Overall Max. 85 Position CAM Max PS 10 Max PS+ 1 Pace Max. 85 Details Submit by in 5 months Expiry in 5 months Coins Cost Free Points Cost Free</t>
        </is>
      </c>
      <c r="CZ12" t="inlineStr">
        <is>
          <t>Star in Motion</t>
        </is>
      </c>
      <c r="DA12"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90% 10%</t>
        </is>
      </c>
    </row>
    <row r="13">
      <c r="A13" t="inlineStr">
        <is>
          <t>Current</t>
        </is>
      </c>
      <c r="B13" t="inlineStr">
        <is>
          <t>Current Evolutions</t>
        </is>
      </c>
      <c r="C13" t="inlineStr">
        <is>
          <t>Intro to Training Camp EVOs I - EA SPORTS FC 26</t>
        </is>
      </c>
      <c r="D13" t="inlineStr">
        <is>
          <t>https://www.fut.gg/evolutions/1213-intro-to-training-camp-evos-i/</t>
        </is>
      </c>
      <c r="G13" t="inlineStr">
        <is>
          <t>82</t>
        </is>
      </c>
      <c r="I13" t="inlineStr">
        <is>
          <t>GK Details Submit by in 5 months Expiry in 5 months Coins Cost Free Points Cost Free</t>
        </is>
      </c>
      <c r="K13" t="inlineStr">
        <is>
          <t>World Tour Silver Stars</t>
        </is>
      </c>
      <c r="L13" t="inlineStr">
        <is>
          <t>World Tour Silver Stars</t>
        </is>
      </c>
      <c r="CV13" t="inlineStr">
        <is>
          <t>GK Sweeper Keeper +</t>
        </is>
      </c>
      <c r="CW13"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Misa 82 GK DIV 84 HAN 77 KIC 77 REF 80 SPD 61 POS 84 L 1 ★ 3 Misa 82 GK DIV 84 HAN 77 KIC 77 REF 80 SPD 61 POS 84 L 1 ★ 3 UPGRADES GK Sweeper Keeper +</t>
        </is>
      </c>
      <c r="CX13" t="inlineStr">
        <is>
          <t>Excluded Rarity World Tour Silver Stars Overall Max. 82 Position GK Details Submit by in 5 months Expiry in 5 months Coins Cost Free Points Cost Free</t>
        </is>
      </c>
      <c r="CY13" t="inlineStr">
        <is>
          <t>Excluded Rarity World Tour Silver Stars Overall Max. 82 Position GK Details Submit by in 5 months Expiry in 5 months Coins Cost Free Points Cost Free</t>
        </is>
      </c>
      <c r="CZ13" t="inlineStr">
        <is>
          <t>Intro to Training Camp EVOs I</t>
        </is>
      </c>
      <c r="DA13"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4">
      <c r="A14" t="inlineStr">
        <is>
          <t>Current</t>
        </is>
      </c>
      <c r="B14" t="inlineStr">
        <is>
          <t>Current Evolutions</t>
        </is>
      </c>
      <c r="C14" t="inlineStr">
        <is>
          <t>Intro to Training Camp EVOs II - EA SPORTS FC 26</t>
        </is>
      </c>
      <c r="D14" t="inlineStr">
        <is>
          <t>https://www.fut.gg/evolutions/1212-intro-to-training-camp-evos-ii/</t>
        </is>
      </c>
      <c r="G14" t="inlineStr">
        <is>
          <t>82</t>
        </is>
      </c>
      <c r="K14" t="inlineStr">
        <is>
          <t>World Tour Silver Stars</t>
        </is>
      </c>
      <c r="L14" t="inlineStr">
        <is>
          <t>World Tour Silver Stars</t>
        </is>
      </c>
      <c r="S14" t="inlineStr">
        <is>
          <t>3</t>
        </is>
      </c>
      <c r="CW14" t="inlineStr">
        <is>
          <t>. OVERVIEW ELIGIBLE PLAYERS EVOLVED PLAYERS TRENDING EVOLVED PLAYERS Community Verdict Solid Evo 76% of GG users upvoted this Evolution. Vote Now! 76% 24%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Lukébakio 82 RM PAC 87 SHO 81 PAS 76 DRI 83 DEF 31 PHY 64 RW ST L 4 ★ 3 Lukébakio 82 RM PAC 87 SHO 81 PAS 76 DRI 83 DEF 31 PHY 64 RW ST L 4 ★ 3 UPGRADES 4</t>
        </is>
      </c>
      <c r="CX14" t="inlineStr">
        <is>
          <t>Excluded Rarity World Tour Silver Stars Overall Max. 82 Max PS 3 Details Submit by in 5 months Expiry in 5 months Coins Cost Free Points Cost Free</t>
        </is>
      </c>
      <c r="CY14" t="inlineStr">
        <is>
          <t>Excluded Rarity World Tour Silver Stars Overall Max. 82 Max PS 3 Details Submit by in 5 months Expiry in 5 months Coins Cost Free Points Cost Free</t>
        </is>
      </c>
      <c r="CZ14" t="inlineStr">
        <is>
          <t>Intro to Training Camp EVOs II</t>
        </is>
      </c>
      <c r="DA14"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76% 24%</t>
        </is>
      </c>
    </row>
    <row r="15">
      <c r="A15" t="inlineStr">
        <is>
          <t>Current</t>
        </is>
      </c>
      <c r="B15" t="inlineStr">
        <is>
          <t>Current Evolutions</t>
        </is>
      </c>
      <c r="C15" t="inlineStr">
        <is>
          <t>Intro to Evolutions - EA SPORTS FC 26</t>
        </is>
      </c>
      <c r="D15" t="inlineStr">
        <is>
          <t>https://www.fut.gg/evolutions/1211-intro-to-evolutions/</t>
        </is>
      </c>
      <c r="G15" t="inlineStr">
        <is>
          <t>81</t>
        </is>
      </c>
      <c r="K15" t="inlineStr">
        <is>
          <t>World Tour Silver Stars</t>
        </is>
      </c>
      <c r="L15" t="inlineStr">
        <is>
          <t>World Tour Silver Stars</t>
        </is>
      </c>
      <c r="X15" t="n">
        <v>2</v>
      </c>
      <c r="Y15" t="n">
        <v>82</v>
      </c>
      <c r="Z15" t="n">
        <v>2</v>
      </c>
      <c r="AA15" t="n">
        <v>83</v>
      </c>
      <c r="AB15" t="n">
        <v>2</v>
      </c>
      <c r="AC15" t="n">
        <v>83</v>
      </c>
      <c r="CW15" t="inlineStr">
        <is>
          <t>+1 OVR 82 +1 PAC 83 +1 SHO 83 Level 1 Bergvall 81 CM PAC 79 SHO 70 PAS 81 DRI 82 DEF 78 PHY 79 CDM CAM R 3 ★ 3 Bergvall 82 CM PAC 80 SHO 71 PAS 81 DRI 82 DEF 78 PHY 79 CDM CAM R 3 ★ 3 UPGRADES +1 OVR 82 +1 PAC 83 +1 SHO 83</t>
        </is>
      </c>
      <c r="CX15" t="inlineStr">
        <is>
          <t>Excluded Rarity World Tour Silver Stars Overall Max. 81 Details Submit by in 5 months Expiry in 5 months Coins Cost Free Points Cost Free</t>
        </is>
      </c>
      <c r="CY15" t="inlineStr">
        <is>
          <t>Excluded Rarity World Tour Silver Stars Overall Max. 81 Details Submit by in 5 months Expiry in 5 months Coins Cost Free Points Cost Free</t>
        </is>
      </c>
      <c r="CZ15" t="inlineStr">
        <is>
          <t>Intro to Evolutions 2</t>
        </is>
      </c>
      <c r="DA15"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80% 20%</t>
        </is>
      </c>
    </row>
    <row r="16">
      <c r="A16" t="inlineStr">
        <is>
          <t>Reward</t>
        </is>
      </c>
      <c r="B16" t="inlineStr">
        <is>
          <t>Objective</t>
        </is>
      </c>
      <c r="C16" t="inlineStr">
        <is>
          <t>Tiki Taka - EA SPORTS FC 26</t>
        </is>
      </c>
      <c r="D16" t="inlineStr">
        <is>
          <t>https://www.fut.gg/evolutions/1994-tiki-taka/</t>
        </is>
      </c>
      <c r="G16" t="inlineStr">
        <is>
          <t>89</t>
        </is>
      </c>
      <c r="K16" t="inlineStr">
        <is>
          <t>World Tour Silver Stars</t>
        </is>
      </c>
      <c r="L16" t="inlineStr">
        <is>
          <t>World Tour Silver Stars</t>
        </is>
      </c>
      <c r="S16" t="inlineStr">
        <is>
          <t>6</t>
        </is>
      </c>
      <c r="CW16" t="inlineStr">
        <is>
          <t>7 Level 1 Kerolin Nicoli 89 RM PAC 91 SHO 86 PAS 85 DRI 90 DEF 52 PHY 86 RW ST R 5 ★ 5 Kerolin Nicoli 89 RM PAC 91 SHO 86 PAS 85 DRI 90 DEF 52 PHY 86 RW ST R 5 ★ 5 UPGRADES 7</t>
        </is>
      </c>
      <c r="CX16" t="inlineStr">
        <is>
          <t>Excluded Rarity World Tour Silver Stars Overall Max. 89 Max PS 6 Details Submit by in 6 days Expiry in 6 days Coins Cost Free Points Cost Free</t>
        </is>
      </c>
      <c r="CY16" t="inlineStr">
        <is>
          <t>Excluded Rarity World Tour Silver Stars Overall Max. 89 Max PS 6 Details Submit by in 6 days Expiry in 6 days Coins Cost Free Points Cost Free</t>
        </is>
      </c>
      <c r="CZ16" t="inlineStr">
        <is>
          <t>Tiki Taka</t>
        </is>
      </c>
      <c r="DA16" t="inlineStr">
        <is>
          <t>Tiki Taka Unlocked by completing the Score 5 task in the French TOTS Flash Rush objective Rijkaard 89 CDM PAC 84 SHO 80 PAS 85 DRI 86 DEF 89 PHY 88 CB CM R 4 ★ 4 CDM 87.2 Rijkaard 89 CDM PAC 84 SHO 80 PAS 85 DRI 86 DEF 89 PHY 88 CB CM R 4 ★ 4 CDM 88.5 REQUIREMENTS Excluded Rarity World Tour Silver Stars Overall Max. 89 Max PS 6 UPGRADES 7 in 6 days in 6 days 5% 95%</t>
        </is>
      </c>
    </row>
    <row r="17">
      <c r="A17" t="inlineStr">
        <is>
          <t>Reward</t>
        </is>
      </c>
      <c r="B17" t="inlineStr">
        <is>
          <t>Objective</t>
        </is>
      </c>
      <c r="C17" t="inlineStr">
        <is>
          <t>Rapid+ - EA SPORTS FC 26</t>
        </is>
      </c>
      <c r="D17" t="inlineStr">
        <is>
          <t>https://www.fut.gg/evolutions/1992-rapid/</t>
        </is>
      </c>
      <c r="G17" t="inlineStr">
        <is>
          <t>89</t>
        </is>
      </c>
      <c r="K17" t="inlineStr">
        <is>
          <t>World Tour Silver Stars</t>
        </is>
      </c>
      <c r="L17" t="inlineStr">
        <is>
          <t>World Tour Silver Stars</t>
        </is>
      </c>
      <c r="T17" t="inlineStr">
        <is>
          <t>2</t>
        </is>
      </c>
      <c r="CW17" t="inlineStr">
        <is>
          <t>3 Level 1 Bahoya 89 LM PAC 98 SHO 84 PAS 86 DRI 89 DEF 63 PHY 75 CAM ST LW R 5 ★ 5 Bahoya 89 LM PAC 98 SHO 84 PAS 86 DRI 89 DEF 63 PHY 75 CAM ST LW R 5 ★ 5 UPGRADES 3</t>
        </is>
      </c>
      <c r="CX17" t="inlineStr">
        <is>
          <t>Excluded Rarity World Tour Silver Stars Overall Max. 89 Max PS+ 2 Details Submit by in 9 days Expiry in 9 days Coins Cost Free Points Cost Free</t>
        </is>
      </c>
      <c r="CY17" t="inlineStr">
        <is>
          <t>Excluded Rarity World Tour Silver Stars Overall Max. 89 Max PS+ 2 Details Submit by in 9 days Expiry in 9 days Coins Cost Free Points Cost Free</t>
        </is>
      </c>
      <c r="CZ17" t="inlineStr">
        <is>
          <t>Rapid+</t>
        </is>
      </c>
      <c r="DA17" t="inlineStr">
        <is>
          <t>Rapid+ Unlocked by completing the Assist in 10 task in the Ligue 1 TOTS Exhibition objective Yılmaz 89 LM PAC 97 SHO 86 PAS 85 DRI 89 DEF 81 PHY 95 RM LW R 5 ★ 5 LM 84.0 Yılmaz 89 LM PAC 97 SHO 86 PAS 85 DRI 89 DEF 81 PHY 95 RM LW R 5 ★ 5 LM 85.8 REQUIREMENTS Excluded Rarity World Tour Silver Stars Overall Max. 89 Max PS+ 2 UPGRADES 3 in 9 days in 9 days 92% 8%</t>
        </is>
      </c>
    </row>
    <row r="18">
      <c r="A18" t="inlineStr">
        <is>
          <t>Reward</t>
        </is>
      </c>
      <c r="B18" t="inlineStr">
        <is>
          <t>Objective</t>
        </is>
      </c>
      <c r="C18" t="inlineStr">
        <is>
          <t>First Touch+ - EA SPORTS FC 26</t>
        </is>
      </c>
      <c r="D18" t="inlineStr">
        <is>
          <t>https://www.fut.gg/evolutions/1991-first-touch/</t>
        </is>
      </c>
      <c r="G18" t="inlineStr">
        <is>
          <t>89</t>
        </is>
      </c>
      <c r="K18" t="inlineStr">
        <is>
          <t>World Tour Silver Stars</t>
        </is>
      </c>
      <c r="L18" t="inlineStr">
        <is>
          <t>World Tour Silver Stars</t>
        </is>
      </c>
      <c r="T18" t="inlineStr">
        <is>
          <t>2</t>
        </is>
      </c>
      <c r="CW18" t="inlineStr">
        <is>
          <t>3 Level 1 Bahoya 89 LM PAC 98 SHO 84 PAS 86 DRI 89 DEF 63 PHY 75 CAM ST LW R 5 ★ 5 Bahoya 89 LM PAC 98 SHO 84 PAS 86 DRI 89 DEF 63 PHY 75 CAM ST LW R 5 ★ 5 UPGRADES 3</t>
        </is>
      </c>
      <c r="CX18" t="inlineStr">
        <is>
          <t>Excluded Rarity World Tour Silver Stars Overall Max. 89 Max PS+ 2 Details Submit by in 9 days Expiry in 9 days Coins Cost Free Points Cost Free</t>
        </is>
      </c>
      <c r="CY18" t="inlineStr">
        <is>
          <t>Excluded Rarity World Tour Silver Stars Overall Max. 89 Max PS+ 2 Details Submit by in 9 days Expiry in 9 days Coins Cost Free Points Cost Free</t>
        </is>
      </c>
      <c r="CZ18" t="inlineStr">
        <is>
          <t>First Touch+</t>
        </is>
      </c>
      <c r="DA18" t="inlineStr">
        <is>
          <t>First Touch+ Unlocked by completing the Score in 10 task in the Ligue 1 TOTS Exhibition objective Nanasi 89 LM PAC 89 SHO 87 PAS 89 DRI 91 DEF 45 PHY 80 CM CAM R 5 ★ 4 CAM 89.6 Nanasi 89 LM PAC 89 SHO 87 PAS 89 DRI 91 DEF 45 PHY 80 CM CAM R 5 ★ 4 CAM 90.3 REQUIREMENTS Excluded Rarity World Tour Silver Stars Overall Max. 89 Max PS+ 2 UPGRADES 3 in 9 days in 9 days 62% 38%</t>
        </is>
      </c>
    </row>
    <row r="19">
      <c r="A19" t="inlineStr">
        <is>
          <t>Reward</t>
        </is>
      </c>
      <c r="B19" t="inlineStr">
        <is>
          <t>Objective</t>
        </is>
      </c>
      <c r="C19" t="inlineStr">
        <is>
          <t>Tiki Taka and Low Driven Shot - EA SPORTS FC 26</t>
        </is>
      </c>
      <c r="D19" t="inlineStr">
        <is>
          <t>https://www.fut.gg/evolutions/1990-tiki-taka-and-low-driven-shot/</t>
        </is>
      </c>
      <c r="G19" t="inlineStr">
        <is>
          <t>89</t>
        </is>
      </c>
      <c r="K19" t="inlineStr">
        <is>
          <t>World Tour Silver Stars</t>
        </is>
      </c>
      <c r="L19" t="inlineStr">
        <is>
          <t>World Tour Silver Stars</t>
        </is>
      </c>
      <c r="S19" t="inlineStr">
        <is>
          <t>6</t>
        </is>
      </c>
      <c r="CW19" t="inlineStr">
        <is>
          <t>7 Level 1 Ndoye 89 LM PAC 96 SHO 87 PAS 87 DRI 90 DEF 72 PHY 81 RM LW R 4 ★ 4 Ndoye 89 LM PAC 96 SHO 87 PAS 87 DRI 90 DEF 72 PHY 81 RM LW R 4 ★ 4 UPGRADES 7</t>
        </is>
      </c>
      <c r="CX19" t="inlineStr">
        <is>
          <t>Excluded Rarity World Tour Silver Stars Overall Max. 89 Max PS 6 Details Submit by in 6 days Expiry in 6 days Coins Cost Free Points Cost Free</t>
        </is>
      </c>
      <c r="CY19" t="inlineStr">
        <is>
          <t>Excluded Rarity World Tour Silver Stars Overall Max. 89 Max PS 6 Details Submit by in 6 days Expiry in 6 days Coins Cost Free Points Cost Free</t>
        </is>
      </c>
      <c r="CZ19" t="inlineStr">
        <is>
          <t>Tiki Taka and Low Driven Shot</t>
        </is>
      </c>
      <c r="DA19" t="inlineStr">
        <is>
          <t>Tiki Taka and Low Driven Shot Unlocked by completing the Score in 5 task in the TOTS: Champions Objective objective Luna 89 LM PAC 89 SHO 87 PAS 90 DRI 90 DEF 60 PHY 85 CAM LW R 4 ★ 5 CAM 86.2 Luna 89 LM PAC 89 SHO 87 PAS 90 DRI 90 DEF 60 PHY 85 CAM LW R 4 ★ 5 CAM 88.0 REQUIREMENTS Excluded Rarity World Tour Silver Stars Overall Max. 89 Max PS 6 UPGRADES 7 in 6 days in 6 days 9% 91%</t>
        </is>
      </c>
    </row>
    <row r="20">
      <c r="A20" t="inlineStr">
        <is>
          <t>Reward</t>
        </is>
      </c>
      <c r="B20" t="inlineStr">
        <is>
          <t>Objective</t>
        </is>
      </c>
      <c r="C20" t="inlineStr">
        <is>
          <t>Intercept and Pinged Pass - EA SPORTS FC 26</t>
        </is>
      </c>
      <c r="D20" t="inlineStr">
        <is>
          <t>https://www.fut.gg/evolutions/1989-intercept-and-pinged-pass/</t>
        </is>
      </c>
      <c r="G20" t="inlineStr">
        <is>
          <t>89</t>
        </is>
      </c>
      <c r="K20" t="inlineStr">
        <is>
          <t>World Tour Silver Stars</t>
        </is>
      </c>
      <c r="L20" t="inlineStr">
        <is>
          <t>World Tour Silver Stars</t>
        </is>
      </c>
      <c r="S20" t="inlineStr">
        <is>
          <t>6</t>
        </is>
      </c>
      <c r="CW20" t="inlineStr">
        <is>
          <t>7 Level 1 Prinz 89 ST PAC 91 SHO 90 PAS 80 DRI 88 DEF 53 PHY 91 R 4 ★ 4 Prinz 89 ST PAC 91 SHO 90 PAS 80 DRI 88 DEF 53 PHY 91 R 4 ★ 4 UPGRADES 7</t>
        </is>
      </c>
      <c r="CX20" t="inlineStr">
        <is>
          <t>Excluded Rarity World Tour Silver Stars Overall Max. 89 Max PS 6 Details Submit by in 6 days Expiry in 6 days Coins Cost Free Points Cost Free</t>
        </is>
      </c>
      <c r="CY20" t="inlineStr">
        <is>
          <t>Excluded Rarity World Tour Silver Stars Overall Max. 89 Max PS 6 Details Submit by in 6 days Expiry in 6 days Coins Cost Free Points Cost Free</t>
        </is>
      </c>
      <c r="CZ20" t="inlineStr">
        <is>
          <t>Intercept and Pinged Pass</t>
        </is>
      </c>
      <c r="DA20" t="inlineStr">
        <is>
          <t>Intercept and Pinged Pass Unlocked by completing the Win 4 task in the TOTS: Champions Objective objective ter Stegen 89 GK DIV 87 HAN 87 KIC 91 REF 89 SPD 53 POS 87 R 1 ★ 4 GK 85.9 ter Stegen 89 GK DIV 87 HAN 87 KIC 91 REF 89 SPD 53 POS 87 R 1 ★ 4 GK 87.4 REQUIREMENTS Excluded Rarity World Tour Silver Stars Overall Max. 89 Max PS 6 UPGRADES 7 in 6 days in 6 days 8% 92%</t>
        </is>
      </c>
    </row>
    <row r="21">
      <c r="A21" t="inlineStr">
        <is>
          <t>Reward</t>
        </is>
      </c>
      <c r="B21" t="inlineStr">
        <is>
          <t>Objective</t>
        </is>
      </c>
      <c r="C21" t="inlineStr">
        <is>
          <t>Jockey+ &amp; Bruiser+ - EA SPORTS FC 26</t>
        </is>
      </c>
      <c r="D21" t="inlineStr">
        <is>
          <t>https://www.fut.gg/evolutions/1986-jockey-bruiser/</t>
        </is>
      </c>
      <c r="G21" t="inlineStr">
        <is>
          <t>89</t>
        </is>
      </c>
      <c r="K21" t="inlineStr">
        <is>
          <t>World Tour Silver Stars</t>
        </is>
      </c>
      <c r="L21" t="inlineStr">
        <is>
          <t>World Tour Silver Stars</t>
        </is>
      </c>
      <c r="T21" t="inlineStr">
        <is>
          <t>1</t>
        </is>
      </c>
      <c r="CW21" t="inlineStr">
        <is>
          <t>2 Level 1 Eto'o 89 ST PAC 92 SHO 90 PAS 79 DRI 87 DEF 45 PHY 80 R 4 ★ 4 Eto'o 89 ST PAC 92 SHO 90 PAS 79 DRI 87 DEF 45 PHY 80 R 4 ★ 4 UPGRADES 2</t>
        </is>
      </c>
      <c r="CX21" t="inlineStr">
        <is>
          <t>Excluded Rarity World Tour Silver Stars Overall Max. 89 Max PS+ 1 Details Submit by in 29 days Expiry in 29 days Coins Cost Free Points Cost Free</t>
        </is>
      </c>
      <c r="CY21" t="inlineStr">
        <is>
          <t>Excluded Rarity World Tour Silver Stars Overall Max. 89 Max PS+ 1 Details Submit by in 29 days Expiry in 29 days Coins Cost Free Points Cost Free</t>
        </is>
      </c>
      <c r="CZ21" t="inlineStr">
        <is>
          <t>Jockey+ &amp; Bruiser+</t>
        </is>
      </c>
      <c r="DA21"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29 days in 29 days 12% 88%</t>
        </is>
      </c>
    </row>
    <row r="22">
      <c r="A22" t="inlineStr">
        <is>
          <t>Reward</t>
        </is>
      </c>
      <c r="B22" t="inlineStr">
        <is>
          <t>Objective</t>
        </is>
      </c>
      <c r="C22" t="inlineStr">
        <is>
          <t>Versatile Defender - EA SPORTS FC 26</t>
        </is>
      </c>
      <c r="D22" t="inlineStr">
        <is>
          <t>https://www.fut.gg/evolutions/1983-versatile-defender/</t>
        </is>
      </c>
      <c r="G22" t="inlineStr">
        <is>
          <t>89</t>
        </is>
      </c>
      <c r="I22" t="inlineStr">
        <is>
          <t>CB, LB, RB</t>
        </is>
      </c>
      <c r="K22" t="inlineStr">
        <is>
          <t>World Tour Silver Stars Min Pos. 2</t>
        </is>
      </c>
      <c r="L22" t="inlineStr">
        <is>
          <t>World Tour Silver Stars Min Pos. 2</t>
        </is>
      </c>
      <c r="S22" t="inlineStr">
        <is>
          <t>10</t>
        </is>
      </c>
      <c r="T22" t="inlineStr">
        <is>
          <t>2</t>
        </is>
      </c>
      <c r="X22" t="n">
        <v>8</v>
      </c>
      <c r="Y22" t="n">
        <v>90</v>
      </c>
      <c r="AL22" t="n">
        <v>12</v>
      </c>
      <c r="AM22" t="n">
        <v>90</v>
      </c>
      <c r="AN22" t="n">
        <v>12</v>
      </c>
      <c r="AO22" t="n">
        <v>90</v>
      </c>
      <c r="AV22" t="n">
        <v>6</v>
      </c>
      <c r="AW22" t="n">
        <v>86</v>
      </c>
      <c r="BB22" t="n">
        <v>8</v>
      </c>
      <c r="BC22" t="n">
        <v>88</v>
      </c>
      <c r="BD22" t="n">
        <v>6</v>
      </c>
      <c r="BE22" t="n">
        <v>88</v>
      </c>
      <c r="BH22" t="n">
        <v>8</v>
      </c>
      <c r="BI22" t="n">
        <v>90</v>
      </c>
      <c r="BN22" t="n">
        <v>12</v>
      </c>
      <c r="BO22" t="n">
        <v>86</v>
      </c>
      <c r="BP22" t="n">
        <v>16</v>
      </c>
      <c r="BQ22" t="n">
        <v>90</v>
      </c>
      <c r="BR22" t="n">
        <v>6</v>
      </c>
      <c r="BS22" t="n">
        <v>88</v>
      </c>
      <c r="BX22" t="n">
        <v>8</v>
      </c>
      <c r="BY22" t="n">
        <v>90</v>
      </c>
      <c r="BZ22" t="n">
        <v>8</v>
      </c>
      <c r="CA22" t="n">
        <v>92</v>
      </c>
      <c r="CB22" t="n">
        <v>5</v>
      </c>
      <c r="CC22" t="n">
        <v>88</v>
      </c>
      <c r="CD22" t="n">
        <v>8</v>
      </c>
      <c r="CE22" t="n">
        <v>91</v>
      </c>
      <c r="CH22" t="n">
        <v>6</v>
      </c>
      <c r="CI22" t="n">
        <v>90</v>
      </c>
      <c r="CJ22" t="n">
        <v>5</v>
      </c>
      <c r="CK22" t="n">
        <v>89</v>
      </c>
      <c r="CL22" t="n">
        <v>5</v>
      </c>
      <c r="CM22" t="n">
        <v>89</v>
      </c>
      <c r="CN22" t="n">
        <v>8</v>
      </c>
      <c r="CO22" t="n">
        <v>90</v>
      </c>
      <c r="CP22" t="n">
        <v>8</v>
      </c>
      <c r="CQ22" t="n">
        <v>90</v>
      </c>
      <c r="CT22" t="n">
        <v>4</v>
      </c>
      <c r="CW22" t="inlineStr">
        <is>
          <t>+6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Level 1 Araujo 89 RB PAC 92 SHO 50 PAS 86 DRI 87 DEF 87 PHY 89 RM R 4 ★ 4 Araujo 90 RB PAC 92 SHO 50 PAS 86 DRI 87 DEF 87 PHY 89 RM R 4 ★ 4 UPGRADES +2 OVR 90 +6 Acceleration 90 +6 Sprint Speed 90 +6 Agility 86 +8 Balance 90 3</t>
        </is>
      </c>
      <c r="CX22" t="inlineStr">
        <is>
          <t>Excluded Rarity World Tour Silver Stars Min Pos. 2 Overall Max. 89 Position CB, LB, RB Max PS 10 Max PS+ 2 Details Submit by in 5 days Expiry in 5 days Coins Cost Free Points Cost Free</t>
        </is>
      </c>
      <c r="CY22" t="inlineStr">
        <is>
          <t>Excluded Rarity World Tour Silver Stars Min Pos. 2 Overall Max. 89 Position CB, LB, RB Max PS 10 Max PS+ 2 Details Submit by in 5 days Expiry in 5 days Coins Cost Free Points Cost Free</t>
        </is>
      </c>
      <c r="CZ22" t="inlineStr">
        <is>
          <t>Versatile Defender</t>
        </is>
      </c>
      <c r="DA22" t="inlineStr">
        <is>
          <t>Versatile Defender Unlocked by completing the Darwin Cup objective Walker 89 RB PAC 90 SHO 81 PAS 85 DRI 85 DEF 88 PHY 88 RM R 4 ★ 4 RB 84.9 Walker 90 RB PAC 91 SHO 81 PAS 88 DRI 87 DEF 91 PHY 91 RM R 4 ★ 5 RB 92.2 REQUIREMENTS Excluded Rarity World Tour Silver Stars Min Pos. 2 Overall Max. 89 Position CB, LB, RB Max PS 10 Max PS+ 2 UPGRADES +6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in 5 days in 5 days 81% 19%</t>
        </is>
      </c>
    </row>
    <row r="23">
      <c r="A23" t="inlineStr">
        <is>
          <t>Reward</t>
        </is>
      </c>
      <c r="B23" t="inlineStr">
        <is>
          <t>Objective</t>
        </is>
      </c>
      <c r="C23" t="inlineStr">
        <is>
          <t>Technical+ and Finesse Shot - EA SPORTS FC 26</t>
        </is>
      </c>
      <c r="D23" t="inlineStr">
        <is>
          <t>https://www.fut.gg/evolutions/1982-technical-and-finesse-shot/</t>
        </is>
      </c>
      <c r="G23" t="inlineStr">
        <is>
          <t>89</t>
        </is>
      </c>
      <c r="K23" t="inlineStr">
        <is>
          <t>World Tour Silver Stars</t>
        </is>
      </c>
      <c r="L23" t="inlineStr">
        <is>
          <t>World Tour Silver Stars</t>
        </is>
      </c>
      <c r="S23" t="inlineStr">
        <is>
          <t>10</t>
        </is>
      </c>
      <c r="T23" t="inlineStr">
        <is>
          <t>2</t>
        </is>
      </c>
      <c r="CW23" t="inlineStr">
        <is>
          <t>3 7 Level 1 James 89 ST PAC 91 SHO 86 PAS 82 DRI 91 DEF 44 PHY 86 CAM R 4 ★ 5 James 89 ST PAC 91 SHO 86 PAS 82 DRI 91 DEF 44 PHY 86 CAM R 4 ★ 5 UPGRADES 3 7</t>
        </is>
      </c>
      <c r="CX23" t="inlineStr">
        <is>
          <t>Excluded Rarity World Tour Silver Stars Overall Max. 89 Max PS 10 Max PS+ 2 Details Submit by in 5 days Expiry in 5 days Coins Cost Free Points Cost Free</t>
        </is>
      </c>
      <c r="CY23" t="inlineStr">
        <is>
          <t>Excluded Rarity World Tour Silver Stars Overall Max. 89 Max PS 10 Max PS+ 2 Details Submit by in 5 days Expiry in 5 days Coins Cost Free Points Cost Free</t>
        </is>
      </c>
      <c r="CZ23" t="inlineStr">
        <is>
          <t>Technical+ and Finesse Shot</t>
        </is>
      </c>
      <c r="DA23" t="inlineStr">
        <is>
          <t>Technical+ and Finesse Shot Unlocked by completing the Win Tournament task in the Darwin Cup objective Becker 89 ST PAC 96 SHO 88 PAS 84 DRI 89 DEF 51 PHY 85 RM LM CAM R 4 ★ 5 ST 88.9 Becker 89 ST PAC 96 SHO 88 PAS 84 DRI 89 DEF 51 PHY 85 RM LM CAM R 4 ★ 5 ST 89.7 REQUIREMENTS Excluded Rarity World Tour Silver Stars Overall Max. 89 Max PS 10 Max PS+ 2 UPGRADES 3 7 in 5 days in 5 days 66% 34%</t>
        </is>
      </c>
    </row>
    <row r="24">
      <c r="A24" t="inlineStr">
        <is>
          <t>Reward</t>
        </is>
      </c>
      <c r="B24" t="inlineStr">
        <is>
          <t>Objective</t>
        </is>
      </c>
      <c r="C24" t="inlineStr">
        <is>
          <t>Anticipate+ and Intercept - EA SPORTS FC 26</t>
        </is>
      </c>
      <c r="D24" t="inlineStr">
        <is>
          <t>https://www.fut.gg/evolutions/1981-anticipate-and-intercept/</t>
        </is>
      </c>
      <c r="G24" t="inlineStr">
        <is>
          <t>89</t>
        </is>
      </c>
      <c r="K24" t="inlineStr">
        <is>
          <t>World Tour Silver Stars</t>
        </is>
      </c>
      <c r="L24" t="inlineStr">
        <is>
          <t>World Tour Silver Stars</t>
        </is>
      </c>
      <c r="S24" t="inlineStr">
        <is>
          <t>10</t>
        </is>
      </c>
      <c r="T24" t="inlineStr">
        <is>
          <t>2</t>
        </is>
      </c>
      <c r="CW24" t="inlineStr">
        <is>
          <t>2 8 Level 1 Matsukubo 89 CAM PAC 88 SHO 90 PAS 89 DRI 91 DEF 70 PHY 78 CM ST R 3 ★ 4 Matsukubo 89 CAM PAC 88 SHO 90 PAS 89 DRI 91 DEF 70 PHY 78 CM ST R 3 ★ 4 UPGRADES 2 8</t>
        </is>
      </c>
      <c r="CX24" t="inlineStr">
        <is>
          <t>Excluded Rarity World Tour Silver Stars Overall Max. 89 Max PS 10 Max PS+ 2 Details Submit by in 5 days Expiry in 5 days Coins Cost Free Points Cost Free</t>
        </is>
      </c>
      <c r="CY24" t="inlineStr">
        <is>
          <t>Excluded Rarity World Tour Silver Stars Overall Max. 89 Max PS 10 Max PS+ 2 Details Submit by in 5 days Expiry in 5 days Coins Cost Free Points Cost Free</t>
        </is>
      </c>
      <c r="CZ24" t="inlineStr">
        <is>
          <t>Anticipate+ and Intercept</t>
        </is>
      </c>
      <c r="DA24" t="inlineStr">
        <is>
          <t>Anticipate+ and Intercept Unlocked by completing the Win Quarter-Finals task in the Darwin Cup objective Walker 89 RB PAC 90 SHO 81 PAS 85 DRI 85 DEF 88 PHY 88 RM R 4 ★ 4 RB 84.9 Walker 89 RB PAC 90 SHO 81 PAS 85 DRI 85 DEF 88 PHY 88 RM R 4 ★ 4 RB 88.3 REQUIREMENTS Excluded Rarity World Tour Silver Stars Overall Max. 89 Max PS 10 Max PS+ 2 UPGRADES 2 8 in 5 days in 5 days 33% 67%</t>
        </is>
      </c>
    </row>
    <row r="25">
      <c r="A25" t="inlineStr">
        <is>
          <t>Reward</t>
        </is>
      </c>
      <c r="B25" t="inlineStr">
        <is>
          <t>SBC</t>
        </is>
      </c>
      <c r="C25" t="inlineStr">
        <is>
          <t>Tiki Taka+ - EA SPORTS FC 26</t>
        </is>
      </c>
      <c r="D25" t="inlineStr">
        <is>
          <t>https://www.fut.gg/evolutions/1979-tiki-taka/</t>
        </is>
      </c>
      <c r="G25" t="inlineStr">
        <is>
          <t>89</t>
        </is>
      </c>
      <c r="K25" t="inlineStr">
        <is>
          <t>World Tour Silver Stars</t>
        </is>
      </c>
      <c r="L25" t="inlineStr">
        <is>
          <t>World Tour Silver Stars</t>
        </is>
      </c>
      <c r="T25" t="inlineStr">
        <is>
          <t>2</t>
        </is>
      </c>
      <c r="CW25" t="inlineStr">
        <is>
          <t>3 Level 1 Kerolin Nicoli 89 RM PAC 91 SHO 86 PAS 85 DRI 90 DEF 52 PHY 86 RW ST R 5 ★ 5 Kerolin Nicoli 89 RM PAC 91 SHO 86 PAS 85 DRI 90 DEF 52 PHY 86 RW ST R 5 ★ 5 UPGRADES 3</t>
        </is>
      </c>
      <c r="CX25" t="inlineStr">
        <is>
          <t>Excluded Rarity World Tour Silver Stars Overall Max. 89 Max PS+ 2 Details Submit by in 10 days Expiry in 10 days Coins Cost Free Points Cost Free</t>
        </is>
      </c>
      <c r="CY25" t="inlineStr">
        <is>
          <t>Excluded Rarity World Tour Silver Stars Overall Max. 89 Max PS+ 2 Details Submit by in 10 days Expiry in 10 days Coins Cost Free Points Cost Free</t>
        </is>
      </c>
      <c r="CZ25" t="inlineStr">
        <is>
          <t>Tiki Taka+</t>
        </is>
      </c>
      <c r="DA25" t="inlineStr">
        <is>
          <t>Tiki Taka+ Unlocked by completing the May The 3rd Be With You EVO SBC Adopo 88 CM PAC 86 SHO 86 PAS 88 DRI 88 DEF 87 PHY 90 CDM R 4 ★ 4 CM 89.1 Adopo 88 CM PAC 86 SHO 86 PAS 88 DRI 88 DEF 87 PHY 90 CDM R 4 ★ 4 CM 90.4 REQUIREMENTS Excluded Rarity World Tour Silver Stars Overall Max. 89 Max PS+ 2 UPGRADES 3 in 10 days in 10 days 84% 16%</t>
        </is>
      </c>
    </row>
    <row r="26">
      <c r="A26" t="inlineStr">
        <is>
          <t>Reward</t>
        </is>
      </c>
      <c r="B26" t="inlineStr">
        <is>
          <t>Objective</t>
        </is>
      </c>
      <c r="C26" t="inlineStr">
        <is>
          <t>Turbo Strength - EA SPORTS FC 26</t>
        </is>
      </c>
      <c r="D26" t="inlineStr">
        <is>
          <t>https://www.fut.gg/evolutions/1975-turbo-strength/</t>
        </is>
      </c>
      <c r="G26" t="inlineStr">
        <is>
          <t>89</t>
        </is>
      </c>
      <c r="K26" t="inlineStr">
        <is>
          <t>World Tour Silver Stars</t>
        </is>
      </c>
      <c r="L26" t="inlineStr">
        <is>
          <t>World Tour Silver Stars</t>
        </is>
      </c>
      <c r="X26" t="n">
        <v>2</v>
      </c>
      <c r="Z26" t="n">
        <v>8</v>
      </c>
      <c r="AA26" t="n">
        <v>91</v>
      </c>
      <c r="AJ26" t="n">
        <v>6</v>
      </c>
      <c r="AK26" t="n">
        <v>92</v>
      </c>
      <c r="CW26" t="inlineStr">
        <is>
          <t>+1 OVR +4 PAC 91 +3 PHY 92 Level 1 Bahoya 89 LM PAC 98 SHO 84 PAS 86 DRI 89 DEF 63 PHY 75 CAM ST LW R 5 ★ 5 Bahoya 90 LM PAC 98 SHO 84 PAS 86 DRI 89 DEF 63 PHY 78 CAM ST LW R 5 ★ 5 UPGRADES +1 OVR +4 PAC 91 +3 PHY 92</t>
        </is>
      </c>
      <c r="CX26" t="inlineStr">
        <is>
          <t>Excluded Rarity World Tour Silver Stars Overall Max. 89 Details Submit by in 2 days Expiry in 2 days Coins Cost Free Points Cost Free</t>
        </is>
      </c>
      <c r="CY26" t="inlineStr">
        <is>
          <t>Excluded Rarity World Tour Silver Stars Overall Max. 89 Details Submit by in 2 days Expiry in 2 days Coins Cost Free Points Cost Free</t>
        </is>
      </c>
      <c r="CZ26" t="inlineStr">
        <is>
          <t>Turbo Strength</t>
        </is>
      </c>
      <c r="DA26" t="inlineStr">
        <is>
          <t>Turbo Strength Unlocked by completing the Turbo Strength task in the Evolution Revolution objective Schlotterbeck 89 CB PAC 86 SHO 41 PAS 79 DRI 74 DEF 91 PHY 88 L 3 ★ 5 CB 89.3 Schlotterbeck 90 CB PAC 90 SHO 41 PAS 79 DRI 74 DEF 91 PHY 91 L 3 ★ 5 CB 91.0 REQUIREMENTS Excluded Rarity World Tour Silver Stars Overall Max. 89 UPGRADES +1 OVR +4 PAC 91 +3 PHY 92 in 2 days in 2 days 87% 13%</t>
        </is>
      </c>
    </row>
    <row r="27">
      <c r="A27" t="inlineStr">
        <is>
          <t>Reward</t>
        </is>
      </c>
      <c r="B27" t="inlineStr">
        <is>
          <t>Objective</t>
        </is>
      </c>
      <c r="C27" t="inlineStr">
        <is>
          <t>Pass IQ - EA SPORTS FC 26</t>
        </is>
      </c>
      <c r="D27" t="inlineStr">
        <is>
          <t>https://www.fut.gg/evolutions/1974-pass-iq/</t>
        </is>
      </c>
      <c r="G27" t="inlineStr">
        <is>
          <t>89</t>
        </is>
      </c>
      <c r="K27" t="inlineStr">
        <is>
          <t>World Tour Silver Stars</t>
        </is>
      </c>
      <c r="L27" t="inlineStr">
        <is>
          <t>World Tour Silver Stars</t>
        </is>
      </c>
      <c r="BB27" t="n">
        <v>6</v>
      </c>
      <c r="BC27" t="n">
        <v>93</v>
      </c>
      <c r="BH27" t="n">
        <v>6</v>
      </c>
      <c r="BI27" t="n">
        <v>93</v>
      </c>
      <c r="CW27" t="inlineStr">
        <is>
          <t>+3 Vision 93 +3 Short Pass 93 Level 1 Bahoya 89 LM PAC 98 SHO 84 PAS 86 DRI 89 DEF 63 PHY 75 CAM ST LW R 5 ★ 5 Bahoya 89 LM PAC 98 SHO 84 PAS 87 DRI 89 DEF 63 PHY 75 CAM ST LW R 5 ★ 5 UPGRADES +3 Vision 93 +3 Short Pass 93</t>
        </is>
      </c>
      <c r="CX27" t="inlineStr">
        <is>
          <t>Excluded Rarity World Tour Silver Stars Overall Max. 89 Details Submit by in 2 days Expiry in 2 days Coins Cost Free Points Cost Free</t>
        </is>
      </c>
      <c r="CY27" t="inlineStr">
        <is>
          <t>Excluded Rarity World Tour Silver Stars Overall Max. 89 Details Submit by in 2 days Expiry in 2 days Coins Cost Free Points Cost Free</t>
        </is>
      </c>
      <c r="CZ27" t="inlineStr">
        <is>
          <t>Pass IQ 5</t>
        </is>
      </c>
      <c r="DA27" t="inlineStr">
        <is>
          <t>Pass IQ 5 Unlocked by completing the Pass IQ task in the Evolution Revolution objective Hjulmand 88 CDM PAC 84 SHO 84 PAS 86 DRI 84 DEF 88 PHY 88 CM R 4 ★ 4 CM 89.8 Hjulmand 88 CDM PAC 84 SHO 84 PAS 88 DRI 84 DEF 88 PHY 88 CM R 4 ★ 4 CM 90.1 REQUIREMENTS Excluded Rarity World Tour Silver Stars Overall Max. 89 UPGRADES +3 Vision 93 +3 Short Pass 93 in 2 days in 2 days 88% 13%</t>
        </is>
      </c>
    </row>
    <row r="28">
      <c r="A28" t="inlineStr">
        <is>
          <t>Reward</t>
        </is>
      </c>
      <c r="B28" t="inlineStr">
        <is>
          <t>Objective</t>
        </is>
      </c>
      <c r="C28" t="inlineStr">
        <is>
          <t>From Distance - EA SPORTS FC 26</t>
        </is>
      </c>
      <c r="D28" t="inlineStr">
        <is>
          <t>https://www.fut.gg/evolutions/1973-from-distance/</t>
        </is>
      </c>
      <c r="G28" t="inlineStr">
        <is>
          <t>89</t>
        </is>
      </c>
      <c r="K28" t="inlineStr">
        <is>
          <t>World Tour Silver Stars</t>
        </is>
      </c>
      <c r="L28" t="inlineStr">
        <is>
          <t>World Tour Silver Stars</t>
        </is>
      </c>
      <c r="S28" t="inlineStr">
        <is>
          <t>10</t>
        </is>
      </c>
      <c r="AT28" t="n">
        <v>16</v>
      </c>
      <c r="AU28" t="n">
        <v>93</v>
      </c>
      <c r="AV28" t="n">
        <v>16</v>
      </c>
      <c r="AW28" t="n">
        <v>93</v>
      </c>
      <c r="CW28" t="inlineStr">
        <is>
          <t>+8 Shot Power 93 +8 Long Shots 93 8 Level 1 Francisco Conceição 89 RM PAC 93 SHO 86 PAS 87 DRI 91 DEF 45 PHY 70 CAM RW L 4 ★ 3 Francisco Conceição 89 RM PAC 93 SHO 88 PAS 87 DRI 91 DEF 45 PHY 70 CAM RW L 4 ★ 3 UPGRADES +8 Shot Power 93 +8 Long Shots 93 8</t>
        </is>
      </c>
      <c r="CX28" t="inlineStr">
        <is>
          <t>Excluded Rarity World Tour Silver Stars Overall Max. 89 Max PS 10 Details Submit by in 2 days Expiry in 2 days Coins Cost Free Points Cost Free</t>
        </is>
      </c>
      <c r="CY28" t="inlineStr">
        <is>
          <t>Excluded Rarity World Tour Silver Stars Overall Max. 89 Max PS 10 Details Submit by in 2 days Expiry in 2 days Coins Cost Free Points Cost Free</t>
        </is>
      </c>
      <c r="CZ28" t="inlineStr">
        <is>
          <t>From Distance</t>
        </is>
      </c>
      <c r="DA28" t="inlineStr">
        <is>
          <t>From Distance Unlocked by completing the From Distance task in the Evolution Revolution objective Carlos Espí 88 ST PAC 91 SHO 86 PAS 80 DRI 88 DEF 58 PHY 94 R 4 ★ 4 ST 89.3 Carlos Espí 88 ST PAC 91 SHO 89 PAS 80 DRI 88 DEF 58 PHY 94 R 4 ★ 4 ST 89.9 REQUIREMENTS Excluded Rarity World Tour Silver Stars Overall Max. 89 Max PS 10 UPGRADES +8 Shot Power 93 +8 Long Shots 93 8 in 2 days in 2 days 85% 15%</t>
        </is>
      </c>
    </row>
    <row r="29">
      <c r="A29" t="inlineStr">
        <is>
          <t>Reward</t>
        </is>
      </c>
      <c r="B29" t="inlineStr">
        <is>
          <t>Objective</t>
        </is>
      </c>
      <c r="C29" t="inlineStr">
        <is>
          <t>Intercept &amp; Aerial Fortress - EA SPORTS FC 26</t>
        </is>
      </c>
      <c r="D29" t="inlineStr">
        <is>
          <t>https://www.fut.gg/evolutions/1972-intercept-aerial-fortress/</t>
        </is>
      </c>
      <c r="G29" t="inlineStr">
        <is>
          <t>89</t>
        </is>
      </c>
      <c r="K29" t="inlineStr">
        <is>
          <t>World Tour Silver Stars</t>
        </is>
      </c>
      <c r="L29" t="inlineStr">
        <is>
          <t>World Tour Silver Stars</t>
        </is>
      </c>
      <c r="S29" t="inlineStr">
        <is>
          <t>7</t>
        </is>
      </c>
      <c r="CW29" t="inlineStr">
        <is>
          <t>8 Level 1 Bahoya 89 LM PAC 98 SHO 84 PAS 86 DRI 89 DEF 63 PHY 75 CAM ST LW R 5 ★ 5 Bahoya 89 LM PAC 98 SHO 84 PAS 86 DRI 89 DEF 63 PHY 75 CAM ST LW R 5 ★ 5 UPGRADES 8</t>
        </is>
      </c>
      <c r="CX29" t="inlineStr">
        <is>
          <t>Excluded Rarity World Tour Silver Stars Overall Max. 89 Max PS 7 Details Submit by in 2 days Expiry in 2 days Coins Cost Free Points Cost Free</t>
        </is>
      </c>
      <c r="CY29" t="inlineStr">
        <is>
          <t>Excluded Rarity World Tour Silver Stars Overall Max. 89 Max PS 7 Details Submit by in 2 days Expiry in 2 days Coins Cost Free Points Cost Free</t>
        </is>
      </c>
      <c r="CZ29" t="inlineStr">
        <is>
          <t>Intercept &amp; Aerial Fortress</t>
        </is>
      </c>
      <c r="DA29" t="inlineStr">
        <is>
          <t>Intercept &amp; Aerial Fortress Unlocked by completing the Defensive Instinct task in the Evolution Revolution objective António Silva 87 CB PAC 89 SHO 46 PAS 75 DRI 78 DEF 87 PHY 89 R 3 ★ 3 CB 86.6 António Silva 87 CB PAC 89 SHO 46 PAS 75 DRI 78 DEF 87 PHY 89 R 3 ★ 3 CB 89.3 REQUIREMENTS Excluded Rarity World Tour Silver Stars Overall Max. 89 Max PS 7 UPGRADES 8 in 2 days in 2 days 33% 67%</t>
        </is>
      </c>
    </row>
    <row r="30">
      <c r="A30" t="inlineStr">
        <is>
          <t>Reward</t>
        </is>
      </c>
      <c r="B30" t="inlineStr">
        <is>
          <t>Objective</t>
        </is>
      </c>
      <c r="C30" t="inlineStr">
        <is>
          <t>Speed to Finish - EA SPORTS FC 26</t>
        </is>
      </c>
      <c r="D30" t="inlineStr">
        <is>
          <t>https://www.fut.gg/evolutions/1971-speed-to-finish/</t>
        </is>
      </c>
      <c r="G30" t="inlineStr">
        <is>
          <t>89</t>
        </is>
      </c>
      <c r="K30" t="inlineStr">
        <is>
          <t>World Tour Silver Stars</t>
        </is>
      </c>
      <c r="L30" t="inlineStr">
        <is>
          <t>World Tour Silver Stars</t>
        </is>
      </c>
      <c r="S30" t="inlineStr">
        <is>
          <t>7</t>
        </is>
      </c>
      <c r="CW30" t="inlineStr">
        <is>
          <t>8 Level 1 Eto'o 89 ST PAC 92 SHO 90 PAS 79 DRI 87 DEF 45 PHY 80 R 4 ★ 4 Eto'o 89 ST PAC 92 SHO 90 PAS 79 DRI 87 DEF 45 PHY 80 R 4 ★ 4 UPGRADES 8</t>
        </is>
      </c>
      <c r="CX30" t="inlineStr">
        <is>
          <t>Excluded Rarity World Tour Silver Stars Overall Max. 89 Max PS 7 Details Submit by in 8 days Expiry in 8 days Coins Cost Free Points Cost Free</t>
        </is>
      </c>
      <c r="CY30" t="inlineStr">
        <is>
          <t>Excluded Rarity World Tour Silver Stars Overall Max. 89 Max PS 7 Details Submit by in 8 days Expiry in 8 days Coins Cost Free Points Cost Free</t>
        </is>
      </c>
      <c r="CZ30" t="inlineStr">
        <is>
          <t>Speed to Finish</t>
        </is>
      </c>
      <c r="DA30" t="inlineStr">
        <is>
          <t>Speed to Finish Unlocked by completing the Score in 5 task in the TOTS: Champions Objective objective Mayulu 89 CM PAC 88 SHO 88 PAS 90 DRI 92 DEF 80 PHY 82 L 3 ★ 5 CM 88.3 Mayulu 89 CM PAC 88 SHO 88 PAS 90 DRI 92 DEF 80 PHY 82 L 3 ★ 5 CM 89.5 REQUIREMENTS Excluded Rarity World Tour Silver Stars Overall Max. 89 Max PS 7 UPGRADES 8 in 8 days in 8 days 62% 38%</t>
        </is>
      </c>
    </row>
    <row r="31">
      <c r="A31" t="inlineStr">
        <is>
          <t>Reward</t>
        </is>
      </c>
      <c r="B31" t="inlineStr">
        <is>
          <t>Objective</t>
        </is>
      </c>
      <c r="C31" t="inlineStr">
        <is>
          <t>Creative Playmaker - EA SPORTS FC 26</t>
        </is>
      </c>
      <c r="D31" t="inlineStr">
        <is>
          <t>https://www.fut.gg/evolutions/1970-creative-playmaker/</t>
        </is>
      </c>
      <c r="G31" t="inlineStr">
        <is>
          <t>89</t>
        </is>
      </c>
      <c r="K31" t="inlineStr">
        <is>
          <t>World Tour Silver Stars</t>
        </is>
      </c>
      <c r="L31" t="inlineStr">
        <is>
          <t>World Tour Silver Stars</t>
        </is>
      </c>
      <c r="S31" t="inlineStr">
        <is>
          <t>7</t>
        </is>
      </c>
      <c r="CW31" t="inlineStr">
        <is>
          <t>8 Level 1 Uzun 89 CAM PAC 88 SHO 90 PAS 88 DRI 92 DEF 40 PHY 83 CM ST R 4 ★ 4 Uzun 89 CAM PAC 88 SHO 90 PAS 88 DRI 92 DEF 40 PHY 83 CM ST R 4 ★ 4 UPGRADES 8</t>
        </is>
      </c>
      <c r="CX31" t="inlineStr">
        <is>
          <t>Excluded Rarity World Tour Silver Stars Overall Max. 89 Max PS 7 Details Submit by in 8 days Expiry in 8 days Coins Cost Free Points Cost Free</t>
        </is>
      </c>
      <c r="CY31" t="inlineStr">
        <is>
          <t>Excluded Rarity World Tour Silver Stars Overall Max. 89 Max PS 7 Details Submit by in 8 days Expiry in 8 days Coins Cost Free Points Cost Free</t>
        </is>
      </c>
      <c r="CZ31" t="inlineStr">
        <is>
          <t>Creative Playmaker</t>
        </is>
      </c>
      <c r="DA31" t="inlineStr">
        <is>
          <t>Creative Playmaker Unlocked by completing the Win 5 task in the TOTS: Champions Objective objective Becker 89 ST PAC 96 SHO 88 PAS 84 DRI 89 DEF 51 PHY 85 RM LM CAM R 4 ★ 5 ST 88.9 Becker 89 ST PAC 96 SHO 88 PAS 84 DRI 89 DEF 51 PHY 85 RM LM CAM R 4 ★ 5 ST 90.0 REQUIREMENTS Excluded Rarity World Tour Silver Stars Overall Max. 89 Max PS 7 UPGRADES 8 in 8 days in 8 days 33% 67%</t>
        </is>
      </c>
    </row>
    <row r="32">
      <c r="A32" t="inlineStr">
        <is>
          <t>Reward</t>
        </is>
      </c>
      <c r="B32" t="inlineStr">
        <is>
          <t>Objective</t>
        </is>
      </c>
      <c r="C32" t="inlineStr">
        <is>
          <t>Long Ball Pass+ &amp; Pinged Pass - EA SPORTS FC 26</t>
        </is>
      </c>
      <c r="D32" t="inlineStr">
        <is>
          <t>https://www.fut.gg/evolutions/1969-long-ball-pass-pinged-pass/</t>
        </is>
      </c>
      <c r="G32" t="inlineStr">
        <is>
          <t>89</t>
        </is>
      </c>
      <c r="K32" t="inlineStr">
        <is>
          <t>World Tour Silver Stars</t>
        </is>
      </c>
      <c r="L32" t="inlineStr">
        <is>
          <t>World Tour Silver Stars</t>
        </is>
      </c>
      <c r="S32" t="inlineStr">
        <is>
          <t>10</t>
        </is>
      </c>
      <c r="T32" t="inlineStr">
        <is>
          <t>2</t>
        </is>
      </c>
      <c r="CW32" t="inlineStr">
        <is>
          <t>2 8 Level 1 Matsukubo 89 CAM PAC 88 SHO 90 PAS 89 DRI 91 DEF 70 PHY 78 CM ST R 3 ★ 4 Matsukubo 89 CAM PAC 88 SHO 90 PAS 89 DRI 91 DEF 70 PHY 78 CM ST R 3 ★ 4 UPGRADES 2 8</t>
        </is>
      </c>
      <c r="CX32" t="inlineStr">
        <is>
          <t>Excluded Rarity World Tour Silver Stars Overall Max. 89 Max PS 10 Max PS+ 2 Details Submit by in 2 days Expiry in 2 days Coins Cost Free Points Cost Free</t>
        </is>
      </c>
      <c r="CY32" t="inlineStr">
        <is>
          <t>Excluded Rarity World Tour Silver Stars Overall Max. 89 Max PS 10 Max PS+ 2 Details Submit by in 2 days Expiry in 2 days Coins Cost Free Points Cost Free</t>
        </is>
      </c>
      <c r="CZ32" t="inlineStr">
        <is>
          <t>Long Ball Pass+ &amp; Pinged Pass</t>
        </is>
      </c>
      <c r="DA32" t="inlineStr">
        <is>
          <t>Long Ball Pass+ &amp; Pinged Pass Unlocked by completing the Assist in 10 task in the Bundesliga TOTS Exhibition objective Bobb 88 RW PAC 93 SHO 87 PAS 88 DRI 93 DEF 48 PHY 69 RM LW L 5 ★ 4 RM 88.2 Bobb 88 RW PAC 93 SHO 87 PAS 88 DRI 93 DEF 48 PHY 69 RM LW L 5 ★ 4 RM 89.4 REQUIREMENTS Excluded Rarity World Tour Silver Stars Overall Max. 89 Max PS 10 Max PS+ 2 UPGRADES 2 8 in 2 days in 2 days 10% 90%</t>
        </is>
      </c>
    </row>
    <row r="33">
      <c r="A33" t="inlineStr">
        <is>
          <t>Reward</t>
        </is>
      </c>
      <c r="B33" t="inlineStr">
        <is>
          <t>Objective</t>
        </is>
      </c>
      <c r="C33" t="inlineStr">
        <is>
          <t>Finesse Shot+ - EA SPORTS FC 26</t>
        </is>
      </c>
      <c r="D33" t="inlineStr">
        <is>
          <t>https://www.fut.gg/evolutions/1968-finesse-shot/</t>
        </is>
      </c>
      <c r="G33" t="inlineStr">
        <is>
          <t>89</t>
        </is>
      </c>
      <c r="K33" t="inlineStr">
        <is>
          <t>World Tour Silver Stars</t>
        </is>
      </c>
      <c r="L33" t="inlineStr">
        <is>
          <t>World Tour Silver Stars</t>
        </is>
      </c>
      <c r="T33" t="inlineStr">
        <is>
          <t>1</t>
        </is>
      </c>
      <c r="CW33" t="inlineStr">
        <is>
          <t>2 Level 1 De Ketelaere 89 CAM PAC 88 SHO 89 PAS 89 DRI 90 DEF 64 PHY 78 CM ST L 5 ★ 5 De Ketelaere 89 CAM PAC 88 SHO 89 PAS 89 DRI 90 DEF 64 PHY 78 CM ST L 5 ★ 5 UPGRADES 2</t>
        </is>
      </c>
      <c r="CX33" t="inlineStr">
        <is>
          <t>Excluded Rarity World Tour Silver Stars Overall Max. 89 Max PS+ 1 Details Submit by in 2 days Expiry in 2 days Coins Cost Free Points Cost Free</t>
        </is>
      </c>
      <c r="CY33" t="inlineStr">
        <is>
          <t>Excluded Rarity World Tour Silver Stars Overall Max. 89 Max PS+ 1 Details Submit by in 2 days Expiry in 2 days Coins Cost Free Points Cost Free</t>
        </is>
      </c>
      <c r="CZ33" t="inlineStr">
        <is>
          <t>Finesse Shot+</t>
        </is>
      </c>
      <c r="DA33" t="inlineStr">
        <is>
          <t>Finesse Shot+ Unlocked by completing the Score in 10 task in the Bundesliga TOTS Exhibition objective Debinha 89 RW PAC 87 SHO 82 PAS 87 DRI 92 DEF 48 PHY 78 RM CM CAM R 5 ★ 5 RM 86.5 Debinha 89 RW PAC 87 SHO 82 PAS 87 DRI 92 DEF 48 PHY 78 RM CM CAM R 5 ★ 5 RM 88.5 REQUIREMENTS Excluded Rarity World Tour Silver Stars Overall Max. 89 Max PS+ 1 UPGRADES 2 in 2 days in 2 days 69% 31%</t>
        </is>
      </c>
    </row>
    <row r="34">
      <c r="A34" t="inlineStr">
        <is>
          <t>Reward</t>
        </is>
      </c>
      <c r="B34" t="inlineStr">
        <is>
          <t>Reward</t>
        </is>
      </c>
      <c r="C34" t="inlineStr">
        <is>
          <t>Welsh Wonder Strike [Store] - EA SPORTS FC 26</t>
        </is>
      </c>
      <c r="D34" t="inlineStr">
        <is>
          <t>https://www.fut.gg/evolutions/1960-welsh-wonder-strike-store/</t>
        </is>
      </c>
      <c r="G34" t="inlineStr">
        <is>
          <t>87</t>
        </is>
      </c>
      <c r="K34" t="inlineStr">
        <is>
          <t>World Tour Silver Stars</t>
        </is>
      </c>
      <c r="L34" t="inlineStr">
        <is>
          <t>World Tour Silver Stars</t>
        </is>
      </c>
      <c r="S34" t="inlineStr">
        <is>
          <t>10</t>
        </is>
      </c>
      <c r="T34" t="inlineStr">
        <is>
          <t>2</t>
        </is>
      </c>
      <c r="X34" t="n">
        <v>30</v>
      </c>
      <c r="Y34" t="n">
        <v>89</v>
      </c>
      <c r="AL34" t="n">
        <v>50</v>
      </c>
      <c r="AM34" t="n">
        <v>90</v>
      </c>
      <c r="AN34" t="n">
        <v>25</v>
      </c>
      <c r="AO34" t="n">
        <v>93</v>
      </c>
      <c r="AP34" t="n">
        <v>20</v>
      </c>
      <c r="AQ34" t="n">
        <v>89</v>
      </c>
      <c r="AR34" t="n">
        <v>20</v>
      </c>
      <c r="AS34" t="n">
        <v>90</v>
      </c>
      <c r="AT34" t="n">
        <v>40</v>
      </c>
      <c r="AU34" t="n">
        <v>90</v>
      </c>
      <c r="AV34" t="n">
        <v>20</v>
      </c>
      <c r="AW34" t="n">
        <v>90</v>
      </c>
      <c r="AX34" t="n">
        <v>20</v>
      </c>
      <c r="AY34" t="n">
        <v>93</v>
      </c>
      <c r="AZ34" t="n">
        <v>20</v>
      </c>
      <c r="BA34" t="n">
        <v>87</v>
      </c>
      <c r="BB34" t="n">
        <v>20</v>
      </c>
      <c r="BC34" t="n">
        <v>87</v>
      </c>
      <c r="BD34" t="n">
        <v>10</v>
      </c>
      <c r="BE34" t="n">
        <v>86</v>
      </c>
      <c r="BH34" t="n">
        <v>15</v>
      </c>
      <c r="BI34" t="n">
        <v>88</v>
      </c>
      <c r="BJ34" t="n">
        <v>10</v>
      </c>
      <c r="BK34" t="n">
        <v>87</v>
      </c>
      <c r="BL34" t="n">
        <v>15</v>
      </c>
      <c r="BM34" t="n">
        <v>89</v>
      </c>
      <c r="BN34" t="n">
        <v>25</v>
      </c>
      <c r="BO34" t="n">
        <v>88</v>
      </c>
      <c r="BP34" t="n">
        <v>25</v>
      </c>
      <c r="BQ34" t="n">
        <v>87</v>
      </c>
      <c r="BR34" t="n">
        <v>25</v>
      </c>
      <c r="BS34" t="n">
        <v>90</v>
      </c>
      <c r="BT34" t="n">
        <v>25</v>
      </c>
      <c r="BU34" t="n">
        <v>89</v>
      </c>
      <c r="BV34" t="n">
        <v>25</v>
      </c>
      <c r="BW34" t="n">
        <v>90</v>
      </c>
      <c r="BX34" t="n">
        <v>50</v>
      </c>
      <c r="BY34" t="n">
        <v>88</v>
      </c>
      <c r="CB34" t="n">
        <v>20</v>
      </c>
      <c r="CC34" t="n">
        <v>87</v>
      </c>
      <c r="CJ34" t="n">
        <v>30</v>
      </c>
      <c r="CK34" t="n">
        <v>92</v>
      </c>
      <c r="CW34" t="inlineStr">
        <is>
          <t>+15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Level 1 Undav 87 ST PAC 86 SHO 89 PAS 81 DRI 87 DEF 40 PHY 84 CAM R 3 ★ 5 Undav 89 ST PAC 88 SHO 89 PAS 81 DRI 87 DEF 40 PHY 84 CAM R 3 ★ 5 UPGRADES +15 OVR 89 +25 Acceleration 90 +20 Shot Power 90 +10 Vision 87 +25 Composure 88 8</t>
        </is>
      </c>
      <c r="CX34" t="inlineStr">
        <is>
          <t>Excluded Rarity World Tour Silver Stars Overall Max. 87 Max PS 10 Max PS+ 2 Details Submit by in 3 days Expiry in 3 days Coins Cost Free Points Cost Free</t>
        </is>
      </c>
      <c r="CY34" t="inlineStr">
        <is>
          <t>Excluded Rarity World Tour Silver Stars Overall Max. 87 Max PS 10 Max PS+ 2 Details Submit by in 3 days Expiry in 3 days Coins Cost Free Points Cost Free</t>
        </is>
      </c>
      <c r="CZ34" t="inlineStr">
        <is>
          <t>Welsh Wonder Strike [Store]</t>
        </is>
      </c>
      <c r="DA34" t="inlineStr">
        <is>
          <t>Welsh Wonder Strike [Store] Unlocked by purchasing the Captains' Armband EVO pack. Lukaku 85 CAM PAC 84 SHO 86 PAS 80 DRI 81 DEF 42 PHY 85 ST L 4 ★ 4 ST 80.4 Lukaku 89 CAM PAC 92 SHO 90 PAS 86 DRI 89 DEF 42 PHY 85 ST L 4 ★ 4 ST 90.1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3 days in 3 days 18% 82%</t>
        </is>
      </c>
    </row>
    <row r="35">
      <c r="A35" t="inlineStr">
        <is>
          <t>Reward</t>
        </is>
      </c>
      <c r="B35" t="inlineStr">
        <is>
          <t>Reward</t>
        </is>
      </c>
      <c r="C35" t="inlineStr">
        <is>
          <t>Il Capitano [Store] - EA SPORTS FC 26</t>
        </is>
      </c>
      <c r="D35" t="inlineStr">
        <is>
          <t>https://www.fut.gg/evolutions/1961-il-capitano-store/</t>
        </is>
      </c>
      <c r="G35" t="inlineStr">
        <is>
          <t>89</t>
        </is>
      </c>
      <c r="I35" t="inlineStr">
        <is>
          <t>CB</t>
        </is>
      </c>
      <c r="J35" t="inlineStr">
        <is>
          <t>CM</t>
        </is>
      </c>
      <c r="K35" t="inlineStr">
        <is>
          <t>World Tour Silver Stars</t>
        </is>
      </c>
      <c r="L35" t="inlineStr">
        <is>
          <t>World Tour Silver Stars</t>
        </is>
      </c>
      <c r="M35" t="inlineStr">
        <is>
          <t>90</t>
        </is>
      </c>
      <c r="S35" t="inlineStr">
        <is>
          <t>10</t>
        </is>
      </c>
      <c r="T35" t="inlineStr">
        <is>
          <t>2</t>
        </is>
      </c>
      <c r="X35" t="n">
        <v>60</v>
      </c>
      <c r="Y35" t="n">
        <v>91</v>
      </c>
      <c r="AL35" t="n">
        <v>60</v>
      </c>
      <c r="AM35" t="n">
        <v>87</v>
      </c>
      <c r="AN35" t="n">
        <v>30</v>
      </c>
      <c r="AO35" t="n">
        <v>88</v>
      </c>
      <c r="BB35" t="n">
        <v>30</v>
      </c>
      <c r="BC35" t="n">
        <v>70</v>
      </c>
      <c r="BH35" t="n">
        <v>60</v>
      </c>
      <c r="BI35" t="n">
        <v>90</v>
      </c>
      <c r="BJ35" t="n">
        <v>30</v>
      </c>
      <c r="BK35" t="n">
        <v>85</v>
      </c>
      <c r="BN35" t="n">
        <v>30</v>
      </c>
      <c r="BO35" t="n">
        <v>73</v>
      </c>
      <c r="BP35" t="n">
        <v>30</v>
      </c>
      <c r="BQ35" t="n">
        <v>80</v>
      </c>
      <c r="BR35" t="n">
        <v>30</v>
      </c>
      <c r="BS35" t="n">
        <v>95</v>
      </c>
      <c r="BT35" t="n">
        <v>30</v>
      </c>
      <c r="BU35" t="n">
        <v>75</v>
      </c>
      <c r="BV35" t="n">
        <v>30</v>
      </c>
      <c r="BW35" t="n">
        <v>75</v>
      </c>
      <c r="BX35" t="n">
        <v>30</v>
      </c>
      <c r="BY35" t="n">
        <v>91</v>
      </c>
      <c r="BZ35" t="n">
        <v>30</v>
      </c>
      <c r="CA35" t="n">
        <v>93</v>
      </c>
      <c r="CB35" t="n">
        <v>60</v>
      </c>
      <c r="CC35" t="n">
        <v>92</v>
      </c>
      <c r="CD35" t="n">
        <v>60</v>
      </c>
      <c r="CE35" t="n">
        <v>95</v>
      </c>
      <c r="CF35" t="n">
        <v>30</v>
      </c>
      <c r="CG35" t="n">
        <v>92</v>
      </c>
      <c r="CH35" t="n">
        <v>30</v>
      </c>
      <c r="CI35" t="n">
        <v>92</v>
      </c>
      <c r="CJ35" t="n">
        <v>30</v>
      </c>
      <c r="CK35" t="n">
        <v>90</v>
      </c>
      <c r="CL35" t="n">
        <v>30</v>
      </c>
      <c r="CM35" t="n">
        <v>90</v>
      </c>
      <c r="CN35" t="n">
        <v>30</v>
      </c>
      <c r="CO35" t="n">
        <v>92</v>
      </c>
      <c r="CP35" t="n">
        <v>30</v>
      </c>
      <c r="CQ35" t="n">
        <v>85</v>
      </c>
      <c r="CV35" t="inlineStr">
        <is>
          <t>CB Defender ++; CB Stopper ++; CB Wideback ++</t>
        </is>
      </c>
      <c r="CW35" t="inlineStr">
        <is>
          <t>+30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Level 1 Gonçalo Inácio 89 CB PAC 83 SHO 43 PAS 80 DRI 81 DEF 89 PHY 89 L 3 ★ 4 Gonçalo Inácio 91 CB PAC 84 SHO 43 PAS 80 DRI 81 DEF 91 PHY 89 L 3 ★ 4 UPGRADES +30 OVR 91 +30 Acceleration 87 +30 Short Pass 90 +30 Heading Acc. 92 +30 Defensive Awareness 95 2</t>
        </is>
      </c>
      <c r="CX35" t="inlineStr">
        <is>
          <t>Excluded Rarity World Tour Silver Stars Overall Max. 89 Position CB Excluded Position CM Max PS 10 Max PS+ 2 Pace Max. 90 Details Submit by in 3 days Expiry in 3 days Coins Cost Free Points Cost Free</t>
        </is>
      </c>
      <c r="CY35" t="inlineStr">
        <is>
          <t>Excluded Rarity World Tour Silver Stars Overall Max. 89 Position CB Excluded Position CM Max PS 10 Max PS+ 2 Pace Max. 90 Details Submit by in 3 days Expiry in 3 days Coins Cost Free Points Cost Free</t>
        </is>
      </c>
      <c r="CZ35" t="inlineStr">
        <is>
          <t>Il Capitano [Store]</t>
        </is>
      </c>
      <c r="DA35" t="inlineStr">
        <is>
          <t>Il Capitano [Store] Unlocked by purchasing the Captains' Armband EVO pack. Lawrence 70 CB PAC 60 SHO 26 PAS 49 DRI 46 DEF 70 PHY 73 R 2 ★ 2 CB 62.3 Lawrence 91 CB PAC 88 SHO 26 PAS 68 DRI 72 DEF 93 PHY 90 R 2 ★ 2 CB 92.6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3 days in 3 days 19% 81%</t>
        </is>
      </c>
    </row>
    <row r="36">
      <c r="A36" t="inlineStr">
        <is>
          <t>Reward</t>
        </is>
      </c>
      <c r="B36" t="inlineStr">
        <is>
          <t>Objective</t>
        </is>
      </c>
      <c r="C36" t="inlineStr">
        <is>
          <t>Intercept+ &amp; Quick Step+ - EA SPORTS FC 26</t>
        </is>
      </c>
      <c r="D36" t="inlineStr">
        <is>
          <t>https://www.fut.gg/evolutions/1952-intercept-quick-step/</t>
        </is>
      </c>
      <c r="G36" t="inlineStr">
        <is>
          <t>89</t>
        </is>
      </c>
      <c r="K36" t="inlineStr">
        <is>
          <t>World Tour Silver Stars</t>
        </is>
      </c>
      <c r="L36" t="inlineStr">
        <is>
          <t>World Tour Silver Stars</t>
        </is>
      </c>
      <c r="T36" t="inlineStr">
        <is>
          <t>1</t>
        </is>
      </c>
      <c r="CW36" t="inlineStr">
        <is>
          <t>2 Level 1 Hancko 89 CB PAC 87 SHO 72 PAS 81 DRI 85 DEF 90 PHY 89 LB LM L 5 ★ 5 Hancko 89 CB PAC 87 SHO 72 PAS 81 DRI 85 DEF 90 PHY 89 LB LM L 5 ★ 5 UPGRADES 2</t>
        </is>
      </c>
      <c r="CX36" t="inlineStr">
        <is>
          <t>Excluded Rarity World Tour Silver Stars Overall Max. 89 Max PS+ 1 Details Submit by in 29 days Expiry in 29 days Coins Cost Free Points Cost Free</t>
        </is>
      </c>
      <c r="CY36" t="inlineStr">
        <is>
          <t>Excluded Rarity World Tour Silver Stars Overall Max. 89 Max PS+ 1 Details Submit by in 29 days Expiry in 29 days Coins Cost Free Points Cost Free</t>
        </is>
      </c>
      <c r="CZ36" t="inlineStr">
        <is>
          <t>Intercept+ &amp; Quick Step+</t>
        </is>
      </c>
      <c r="DA36"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29 days in 29 days 75% 25%</t>
        </is>
      </c>
    </row>
    <row r="37">
      <c r="A37" t="inlineStr">
        <is>
          <t>Reward</t>
        </is>
      </c>
      <c r="B37" t="inlineStr">
        <is>
          <t>Objective</t>
        </is>
      </c>
      <c r="C37" t="inlineStr">
        <is>
          <t>WTSS Defender Boost - EA SPORTS FC 26</t>
        </is>
      </c>
      <c r="D37" t="inlineStr">
        <is>
          <t>https://www.fut.gg/evolutions/1950-wtss-defender-boost/</t>
        </is>
      </c>
      <c r="G37" t="inlineStr">
        <is>
          <t>74</t>
        </is>
      </c>
      <c r="K37" t="inlineStr">
        <is>
          <t>World Tour Silver Stars</t>
        </is>
      </c>
      <c r="T37" t="inlineStr">
        <is>
          <t>1</t>
        </is>
      </c>
      <c r="X37" t="n">
        <v>10</v>
      </c>
      <c r="Y37" t="n">
        <v>74</v>
      </c>
      <c r="BP37" t="n">
        <v>2</v>
      </c>
      <c r="BR37" t="n">
        <v>2</v>
      </c>
      <c r="BX37" t="n">
        <v>6</v>
      </c>
      <c r="BZ37" t="n">
        <v>4</v>
      </c>
      <c r="CB37" t="n">
        <v>2</v>
      </c>
      <c r="CD37" t="n">
        <v>3</v>
      </c>
      <c r="CF37" t="n">
        <v>2</v>
      </c>
      <c r="CH37" t="n">
        <v>4</v>
      </c>
      <c r="CJ37" t="n">
        <v>4</v>
      </c>
      <c r="CL37" t="n">
        <v>3</v>
      </c>
      <c r="CN37" t="n">
        <v>2</v>
      </c>
      <c r="CP37" t="n">
        <v>2</v>
      </c>
      <c r="CQ37" t="n">
        <v>3</v>
      </c>
      <c r="CW37" t="inlineStr">
        <is>
          <t>+5 OVR 74 +3 Composure +2 Interceptions +2 Sliding Tackle +2 Jumping +2 Balance +2 Heading Acc. +2 Standing Tackle +3 Stamina +2 Reactions +3 Defensive Awareness +2 Strength +2 Aggression 3 Level 1 Fernando Torres 74 ST PAC 83 SHO 75 PAS 72 DRI 78 DEF 42 PHY 62 R 4 ★ 4 Fernando Torres 74 ST PAC 83 SHO 75 PAS 72 DRI 78 DEF 42 PHY 62 R 4 ★ 4 UPGRADES +5 OVR 74 +3 Composure +2 Interceptions +2 Sliding Tackle +2 Jumping</t>
        </is>
      </c>
      <c r="CX37" t="inlineStr">
        <is>
          <t>Rarity World Tour Silver Stars Overall Max. 74 Max PS+ 1 Details Submit by in 29 days Expiry in 29 days Coins Cost Free Points Cost Free</t>
        </is>
      </c>
      <c r="CY37" t="inlineStr">
        <is>
          <t>Rarity World Tour Silver Stars Overall Max. 74 Max PS+ 1 Details Submit by in 29 days Expiry in 29 days Coins Cost Free Points Cost Free</t>
        </is>
      </c>
      <c r="CZ37" t="inlineStr">
        <is>
          <t>WTSS Defender Boost</t>
        </is>
      </c>
      <c r="DA37"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29 days in 29 days 74% 26%</t>
        </is>
      </c>
    </row>
    <row r="38">
      <c r="A38" t="inlineStr">
        <is>
          <t>Reward</t>
        </is>
      </c>
      <c r="B38" t="inlineStr">
        <is>
          <t>Objective</t>
        </is>
      </c>
      <c r="C38" t="inlineStr">
        <is>
          <t>WTSS Attacker Boost - EA SPORTS FC 26</t>
        </is>
      </c>
      <c r="D38" t="inlineStr">
        <is>
          <t>https://www.fut.gg/evolutions/1949-wtss-attacker-boost/</t>
        </is>
      </c>
      <c r="G38" t="inlineStr">
        <is>
          <t>74</t>
        </is>
      </c>
      <c r="K38" t="inlineStr">
        <is>
          <t>World Tour Silver Stars</t>
        </is>
      </c>
      <c r="T38" t="inlineStr">
        <is>
          <t>1</t>
        </is>
      </c>
      <c r="X38" t="n">
        <v>10</v>
      </c>
      <c r="Y38" t="n">
        <v>74</v>
      </c>
      <c r="AL38" t="n">
        <v>2</v>
      </c>
      <c r="AN38" t="n">
        <v>2</v>
      </c>
      <c r="AP38" t="n">
        <v>4</v>
      </c>
      <c r="AR38" t="n">
        <v>3</v>
      </c>
      <c r="AT38" t="n">
        <v>2</v>
      </c>
      <c r="AV38" t="n">
        <v>2</v>
      </c>
      <c r="AX38" t="n">
        <v>4</v>
      </c>
      <c r="AZ38" t="n">
        <v>4</v>
      </c>
      <c r="BP38" t="n">
        <v>4</v>
      </c>
      <c r="BX38" t="n">
        <v>3</v>
      </c>
      <c r="CL38" t="n">
        <v>3</v>
      </c>
      <c r="CM38" t="n">
        <v>3</v>
      </c>
      <c r="CW38" t="inlineStr">
        <is>
          <t>+5 OVR 74 +2 Positioning +2 Volleys +2 Penalties +2 Balance +2 Acceleration +3 Finishing +2 Long Shots +3 Composure +2 Sprint Speed +2 Shot Power +3 Stamina 3 Level 1 Matthäus 74 CM PAC 72 SHO 76 PAS 85 DRI 71 DEF 77 PHY 72 CB CDM R 3 ★ 4 Matthäus 74 CM PAC 72 SHO 76 PAS 85 DRI 71 DEF 77 PHY 72 CB CDM R 3 ★ 4 UPGRADES +5 OVR 74 +2 Positioning +2 Volleys +2 Penalties +2 Balance</t>
        </is>
      </c>
      <c r="CX38" t="inlineStr">
        <is>
          <t>Rarity World Tour Silver Stars Overall Max. 74 Max PS+ 1 Details Submit by in 29 days Expiry in 29 days Coins Cost Free Points Cost Free</t>
        </is>
      </c>
      <c r="CY38" t="inlineStr">
        <is>
          <t>Rarity World Tour Silver Stars Overall Max. 74 Max PS+ 1 Details Submit by in 29 days Expiry in 29 days Coins Cost Free Points Cost Free</t>
        </is>
      </c>
      <c r="CZ38" t="inlineStr">
        <is>
          <t>WTSS Attacker Boost</t>
        </is>
      </c>
      <c r="DA38"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29 days in 29 days 78% 22%</t>
        </is>
      </c>
    </row>
    <row r="39">
      <c r="A39" t="inlineStr">
        <is>
          <t>Reward</t>
        </is>
      </c>
      <c r="B39" t="inlineStr">
        <is>
          <t>Standard Season Pass</t>
        </is>
      </c>
      <c r="C39" t="inlineStr">
        <is>
          <t>WTSS Journey 3 - Midfielder [SP 21] - EA SPORTS FC 26</t>
        </is>
      </c>
      <c r="D39" t="inlineStr">
        <is>
          <t>https://www.fut.gg/evolutions/1936-wtss-journey-3-midfielder-sp-21/</t>
        </is>
      </c>
      <c r="G39" t="inlineStr">
        <is>
          <t>90</t>
        </is>
      </c>
      <c r="H39" t="inlineStr">
        <is>
          <t>90</t>
        </is>
      </c>
      <c r="I39" t="inlineStr">
        <is>
          <t>CAM, CM, CDM</t>
        </is>
      </c>
      <c r="K39" t="inlineStr">
        <is>
          <t>World Tour Silver Stars</t>
        </is>
      </c>
      <c r="S39" t="inlineStr">
        <is>
          <t>10</t>
        </is>
      </c>
      <c r="T39" t="inlineStr">
        <is>
          <t>2</t>
        </is>
      </c>
      <c r="X39" t="n">
        <v>4</v>
      </c>
      <c r="Y39" t="n">
        <v>92</v>
      </c>
      <c r="AD39" t="n">
        <v>4</v>
      </c>
      <c r="AE39" t="n">
        <v>93</v>
      </c>
      <c r="AL39" t="n">
        <v>5</v>
      </c>
      <c r="AM39" t="n">
        <v>90</v>
      </c>
      <c r="AN39" t="n">
        <v>5</v>
      </c>
      <c r="AO39" t="n">
        <v>90</v>
      </c>
      <c r="AP39" t="n">
        <v>5</v>
      </c>
      <c r="AQ39" t="n">
        <v>90</v>
      </c>
      <c r="AR39" t="n">
        <v>10</v>
      </c>
      <c r="AS39" t="n">
        <v>90</v>
      </c>
      <c r="AT39" t="n">
        <v>5</v>
      </c>
      <c r="AU39" t="n">
        <v>91</v>
      </c>
      <c r="AV39" t="n">
        <v>5</v>
      </c>
      <c r="AW39" t="n">
        <v>91</v>
      </c>
      <c r="AX39" t="n">
        <v>5</v>
      </c>
      <c r="AY39" t="n">
        <v>88</v>
      </c>
      <c r="AZ39" t="n">
        <v>5</v>
      </c>
      <c r="BA39" t="n">
        <v>88</v>
      </c>
      <c r="BN39" t="n">
        <v>10</v>
      </c>
      <c r="BO39" t="n">
        <v>92</v>
      </c>
      <c r="BP39" t="n">
        <v>10</v>
      </c>
      <c r="BQ39" t="n">
        <v>92</v>
      </c>
      <c r="BR39" t="n">
        <v>20</v>
      </c>
      <c r="BS39" t="n">
        <v>91</v>
      </c>
      <c r="BT39" t="n">
        <v>10</v>
      </c>
      <c r="BU39" t="n">
        <v>92</v>
      </c>
      <c r="BV39" t="n">
        <v>10</v>
      </c>
      <c r="BW39" t="n">
        <v>93</v>
      </c>
      <c r="BX39" t="n">
        <v>10</v>
      </c>
      <c r="BY39" t="n">
        <v>90</v>
      </c>
      <c r="CT39" t="n">
        <v>4</v>
      </c>
      <c r="CU39" t="n">
        <v>5</v>
      </c>
      <c r="CW39" t="inlineStr">
        <is>
          <t>+2 OVR 92 +2 PAS 93 +4 WF 5 +5 Finishing 90 +10 Reactions 91 +5 Acceleration 90 +5 Shot Power 91 +10 Balance 92 +10 Ball Control 92 +5 Sprint Speed 90 +5 Long Shots 91 +5 Penalties 88 +10 Dribbling 93 +5 Positioning 90 +5 Volleys 88 +10 Agility 92 +10 Composure 90 3 8 Level 1 Vieira 90 CM PAC 88 SHO 88 PAS 91 DRI 87 DEF 89 PHY 89 CDM R 4 ★ 4 CM 87.7 Vieira 92 CM PAC 88 SHO 89 PAS 93 DRI 87 DEF 89 PHY 89 CDM R 4 ★ 4 CM 87.7 UPGRADES +2 OVR 92 +2 PAS 93 +5 Finishing 90 +10 Reactions 91 3</t>
        </is>
      </c>
      <c r="CX39" t="inlineStr">
        <is>
          <t>Rarity World Tour Silver Stars Overall Min. 90 Overall Max. 90 Position CAM, CM, CDM Max PS 10 Max PS+ 2 Details Submit by in 1 month Expiry in 1 month Coins Cost Free Points Cost Free</t>
        </is>
      </c>
      <c r="CY39" t="inlineStr">
        <is>
          <t>Rarity World Tour Silver Stars Overall Min. 90 Overall Max. 90 Position CAM, CM, CDM Max PS 10 Max PS+ 2 Details Submit by in 1 month Expiry in 1 month Coins Cost Free Points Cost Free</t>
        </is>
      </c>
      <c r="CZ39" t="inlineStr">
        <is>
          <t>WTSS Journey 3 - Midfielder [SP 21]</t>
        </is>
      </c>
      <c r="DA39"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 month in 1 month 84% 16%</t>
        </is>
      </c>
    </row>
    <row r="40">
      <c r="A40" t="inlineStr">
        <is>
          <t>Reward</t>
        </is>
      </c>
      <c r="B40" t="inlineStr">
        <is>
          <t>Premium Season Pass</t>
        </is>
      </c>
      <c r="C40" t="inlineStr">
        <is>
          <t>Bruiser+ [SP+ 28] - EA SPORTS FC 26</t>
        </is>
      </c>
      <c r="D40" t="inlineStr">
        <is>
          <t>https://www.fut.gg/evolutions/1935-bruiser-sp-28/</t>
        </is>
      </c>
      <c r="G40" t="inlineStr">
        <is>
          <t>91</t>
        </is>
      </c>
      <c r="K40" t="inlineStr">
        <is>
          <t>World Tour Silver Stars</t>
        </is>
      </c>
      <c r="L40" t="inlineStr">
        <is>
          <t>World Tour Silver Stars</t>
        </is>
      </c>
      <c r="T40" t="inlineStr">
        <is>
          <t>2</t>
        </is>
      </c>
      <c r="CW40" t="inlineStr">
        <is>
          <t>3 Level 1 Lamine Yamal 91 RW PAC 87 SHO 83 PAS 88 DRI 92 DEF 25 PHY 55 RM L 5 ★ 3 Lamine Yamal 91 RW PAC 87 SHO 83 PAS 88 DRI 92 DEF 25 PHY 55 RM L 5 ★ 3 UPGRADES 3</t>
        </is>
      </c>
      <c r="CX40" t="inlineStr">
        <is>
          <t>Excluded Rarity World Tour Silver Stars Overall Max. 91 Max PS+ 2 Details Submit by in 1 month Expiry in 1 month Coins Cost Free Points Cost Free</t>
        </is>
      </c>
      <c r="CY40" t="inlineStr">
        <is>
          <t>Excluded Rarity World Tour Silver Stars Overall Max. 91 Max PS+ 2 Details Submit by in 1 month Expiry in 1 month Coins Cost Free Points Cost Free</t>
        </is>
      </c>
      <c r="CZ40" t="inlineStr">
        <is>
          <t>Bruiser+ [SP+ 28]</t>
        </is>
      </c>
      <c r="DA40"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 month in 1 month 91% 9%</t>
        </is>
      </c>
    </row>
    <row r="41">
      <c r="A41" t="inlineStr">
        <is>
          <t>Reward</t>
        </is>
      </c>
      <c r="B41" t="inlineStr">
        <is>
          <t>Standard Season Pass</t>
        </is>
      </c>
      <c r="C41" t="inlineStr">
        <is>
          <t>Incisive Pass+ [SP 27] - EA SPORTS FC 26</t>
        </is>
      </c>
      <c r="D41" t="inlineStr">
        <is>
          <t>https://www.fut.gg/evolutions/1934-incisive-pass-sp-27/</t>
        </is>
      </c>
      <c r="G41" t="inlineStr">
        <is>
          <t>90</t>
        </is>
      </c>
      <c r="K41" t="inlineStr">
        <is>
          <t>World Tour Silver Stars</t>
        </is>
      </c>
      <c r="L41" t="inlineStr">
        <is>
          <t>World Tour Silver Stars</t>
        </is>
      </c>
      <c r="T41" t="inlineStr">
        <is>
          <t>2</t>
        </is>
      </c>
      <c r="CW41" t="inlineStr">
        <is>
          <t>3 Level 1 van de Ven 90 CB PAC 94 SHO 52 PAS 71 DRI 81 DEF 88 PHY 88 L 3 ★ 3 van de Ven 90 CB PAC 94 SHO 52 PAS 71 DRI 81 DEF 88 PHY 88 L 3 ★ 3 UPGRADES 3</t>
        </is>
      </c>
      <c r="CX41" t="inlineStr">
        <is>
          <t>Excluded Rarity World Tour Silver Stars Overall Max. 90 Max PS+ 2 Details Submit by in 1 month Expiry in 1 month Coins Cost Free Points Cost Free</t>
        </is>
      </c>
      <c r="CY41" t="inlineStr">
        <is>
          <t>Excluded Rarity World Tour Silver Stars Overall Max. 90 Max PS+ 2 Details Submit by in 1 month Expiry in 1 month Coins Cost Free Points Cost Free</t>
        </is>
      </c>
      <c r="CZ41" t="inlineStr">
        <is>
          <t>Incisive Pass+ [SP 27]</t>
        </is>
      </c>
      <c r="DA41"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 month in 1 month 85% 15%</t>
        </is>
      </c>
    </row>
    <row r="42">
      <c r="A42" t="inlineStr">
        <is>
          <t>Reward</t>
        </is>
      </c>
      <c r="B42" t="inlineStr">
        <is>
          <t>Standard Season Pass</t>
        </is>
      </c>
      <c r="C42" t="inlineStr">
        <is>
          <t>Defender Round Out [SP 1] - EA SPORTS FC 26</t>
        </is>
      </c>
      <c r="D42" t="inlineStr">
        <is>
          <t>https://www.fut.gg/evolutions/1933-defender-round-out-sp-1/</t>
        </is>
      </c>
      <c r="G42" t="inlineStr">
        <is>
          <t>89</t>
        </is>
      </c>
      <c r="K42" t="inlineStr">
        <is>
          <t>World Tour Silver Stars</t>
        </is>
      </c>
      <c r="L42" t="inlineStr">
        <is>
          <t>World Tour Silver Stars</t>
        </is>
      </c>
      <c r="S42" t="inlineStr">
        <is>
          <t>10</t>
        </is>
      </c>
      <c r="X42" t="n">
        <v>2</v>
      </c>
      <c r="AL42" t="n">
        <v>10</v>
      </c>
      <c r="AM42" t="n">
        <v>91</v>
      </c>
      <c r="AN42" t="n">
        <v>10</v>
      </c>
      <c r="AO42" t="n">
        <v>92</v>
      </c>
      <c r="BR42" t="n">
        <v>5</v>
      </c>
      <c r="BS42" t="n">
        <v>93</v>
      </c>
      <c r="BX42" t="n">
        <v>5</v>
      </c>
      <c r="BY42" t="n">
        <v>93</v>
      </c>
      <c r="BZ42" t="n">
        <v>2</v>
      </c>
      <c r="CA42" t="n">
        <v>93</v>
      </c>
      <c r="CB42" t="n">
        <v>2</v>
      </c>
      <c r="CC42" t="n">
        <v>94</v>
      </c>
      <c r="CD42" t="n">
        <v>2</v>
      </c>
      <c r="CE42" t="n">
        <v>93</v>
      </c>
      <c r="CF42" t="n">
        <v>5</v>
      </c>
      <c r="CG42" t="n">
        <v>91</v>
      </c>
      <c r="CH42" t="n">
        <v>5</v>
      </c>
      <c r="CI42" t="n">
        <v>92</v>
      </c>
      <c r="CJ42" t="n">
        <v>2</v>
      </c>
      <c r="CK42" t="n">
        <v>93</v>
      </c>
      <c r="CL42" t="n">
        <v>2</v>
      </c>
      <c r="CM42" t="n">
        <v>92</v>
      </c>
      <c r="CN42" t="n">
        <v>2</v>
      </c>
      <c r="CO42" t="n">
        <v>93</v>
      </c>
      <c r="CP42" t="n">
        <v>5</v>
      </c>
      <c r="CQ42" t="n">
        <v>92</v>
      </c>
      <c r="CW42" t="inlineStr">
        <is>
          <t>+1 OVR +5 Acceleration 91 +5 Sprint Speed 92 +1 Interceptions 93 +1 Heading Acc. 94 +1 Defensive Awareness 93 +5 Reactions 93 +5 Composure 93 +5 Standing Tackle 91 +5 Sliding Tackle 92 +2 Jumping 93 +2 Stamina 92 +2 Strength 93 +5 Aggression 92 8 Level 1 Bahoya 89 LM PAC 98 SHO 84 PAS 86 DRI 89 DEF 63 PHY 75 CAM ST LW R 5 ★ 5 Bahoya 90 LM PAC 98 SHO 84 PAS 86 DRI 89 DEF 64 PHY 75 CAM ST LW R 5 ★ 5 UPGRADES +1 OVR +5 Acceleration 91 +5 Sprint Speed 92 +1 Interceptions 93 +1 Heading Acc. 94 +1 Defensive Awareness 93</t>
        </is>
      </c>
      <c r="CX42" t="inlineStr">
        <is>
          <t>Excluded Rarity World Tour Silver Stars Overall Max. 89 Max PS 10 Details Submit by in 1 month Expiry in 1 month Coins Cost Free Points Cost Free</t>
        </is>
      </c>
      <c r="CY42" t="inlineStr">
        <is>
          <t>Excluded Rarity World Tour Silver Stars Overall Max. 89 Max PS 10 Details Submit by in 1 month Expiry in 1 month Coins Cost Free Points Cost Free</t>
        </is>
      </c>
      <c r="CZ42" t="inlineStr">
        <is>
          <t>Defender Round Out [SP 1] 10</t>
        </is>
      </c>
      <c r="DA42"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 month in 1 month 90% 10%</t>
        </is>
      </c>
    </row>
    <row r="43">
      <c r="A43" t="inlineStr">
        <is>
          <t>Reward</t>
        </is>
      </c>
      <c r="B43" t="inlineStr">
        <is>
          <t>Premium Season Pass</t>
        </is>
      </c>
      <c r="C43" t="inlineStr">
        <is>
          <t>Attacker Round Out [SP+ 1] - EA SPORTS FC 26</t>
        </is>
      </c>
      <c r="D43" t="inlineStr">
        <is>
          <t>https://www.fut.gg/evolutions/1932-attacker-round-out-sp-1/</t>
        </is>
      </c>
      <c r="G43" t="inlineStr">
        <is>
          <t>89</t>
        </is>
      </c>
      <c r="I43" t="inlineStr">
        <is>
          <t>CB</t>
        </is>
      </c>
      <c r="J43" t="inlineStr">
        <is>
          <t>CB</t>
        </is>
      </c>
      <c r="K43" t="inlineStr">
        <is>
          <t>World Tour Silver Stars</t>
        </is>
      </c>
      <c r="L43" t="inlineStr">
        <is>
          <t>World Tour Silver Stars</t>
        </is>
      </c>
      <c r="S43" t="inlineStr">
        <is>
          <t>10</t>
        </is>
      </c>
      <c r="X43" t="n">
        <v>4</v>
      </c>
      <c r="Y43" t="n">
        <v>91</v>
      </c>
      <c r="AL43" t="n">
        <v>6</v>
      </c>
      <c r="AM43" t="n">
        <v>93</v>
      </c>
      <c r="AN43" t="n">
        <v>3</v>
      </c>
      <c r="AO43" t="n">
        <v>94</v>
      </c>
      <c r="AP43" t="n">
        <v>5</v>
      </c>
      <c r="AQ43" t="n">
        <v>93</v>
      </c>
      <c r="AR43" t="n">
        <v>5</v>
      </c>
      <c r="AS43" t="n">
        <v>94</v>
      </c>
      <c r="AT43" t="n">
        <v>3</v>
      </c>
      <c r="AU43" t="n">
        <v>93</v>
      </c>
      <c r="AV43" t="n">
        <v>3</v>
      </c>
      <c r="AW43" t="n">
        <v>92</v>
      </c>
      <c r="AX43" t="n">
        <v>3</v>
      </c>
      <c r="AY43" t="n">
        <v>94</v>
      </c>
      <c r="AZ43" t="n">
        <v>3</v>
      </c>
      <c r="BA43" t="n">
        <v>94</v>
      </c>
      <c r="BB43" t="n">
        <v>5</v>
      </c>
      <c r="BC43" t="n">
        <v>93</v>
      </c>
      <c r="BD43" t="n">
        <v>2</v>
      </c>
      <c r="BE43" t="n">
        <v>94</v>
      </c>
      <c r="BH43" t="n">
        <v>5</v>
      </c>
      <c r="BI43" t="n">
        <v>95</v>
      </c>
      <c r="BJ43" t="n">
        <v>5</v>
      </c>
      <c r="BK43" t="n">
        <v>94</v>
      </c>
      <c r="BL43" t="n">
        <v>2</v>
      </c>
      <c r="BM43" t="n">
        <v>92</v>
      </c>
      <c r="BN43" t="n">
        <v>10</v>
      </c>
      <c r="BO43" t="n">
        <v>94</v>
      </c>
      <c r="BP43" t="n">
        <v>10</v>
      </c>
      <c r="BQ43" t="n">
        <v>93</v>
      </c>
      <c r="BR43" t="n">
        <v>2</v>
      </c>
      <c r="BS43" t="n">
        <v>92</v>
      </c>
      <c r="BT43" t="n">
        <v>5</v>
      </c>
      <c r="BU43" t="n">
        <v>94</v>
      </c>
      <c r="BV43" t="n">
        <v>5</v>
      </c>
      <c r="BW43" t="n">
        <v>95</v>
      </c>
      <c r="BX43" t="n">
        <v>2</v>
      </c>
      <c r="BY43" t="n">
        <v>95</v>
      </c>
      <c r="CW43"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Kerolin Nicoli 89 RM PAC 91 SHO 86 PAS 85 DRI 90 DEF 52 PHY 86 RW ST R 5 ★ 5 Kerolin Nicoli 91 RM PAC 92 SHO 86 PAS 85 DRI 90 DEF 52 PHY 86 RW ST R 5 ★ 5 UPGRADES +2 OVR 91 +3 Acceleration 93 +5 Agility 94 +5 Balance 93 8</t>
        </is>
      </c>
      <c r="CX43" t="inlineStr">
        <is>
          <t>Excluded Rarity World Tour Silver Stars Overall Max. 89 Excluded Position CB Max PS 10 Details Submit by in 1 month Expiry in 1 month Coins Cost Free Points Cost Free</t>
        </is>
      </c>
      <c r="CY43" t="inlineStr">
        <is>
          <t>Excluded Rarity World Tour Silver Stars Overall Max. 89 Excluded Position CB Max PS 10 Details Submit by in 1 month Expiry in 1 month Coins Cost Free Points Cost Free</t>
        </is>
      </c>
      <c r="CZ43" t="inlineStr">
        <is>
          <t>Attacker Round Out [SP+ 1] 20</t>
        </is>
      </c>
      <c r="DA43"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 month in 1 month 93% 7%</t>
        </is>
      </c>
    </row>
    <row r="44">
      <c r="A44" t="inlineStr">
        <is>
          <t>Reward</t>
        </is>
      </c>
      <c r="B44" t="inlineStr">
        <is>
          <t>Standard Season Pass</t>
        </is>
      </c>
      <c r="C44" t="inlineStr">
        <is>
          <t>WTSS Journey 2 - Attacker [SP 8] - EA SPORTS FC 26</t>
        </is>
      </c>
      <c r="D44" t="inlineStr">
        <is>
          <t>https://www.fut.gg/evolutions/1931-wtss-journey-2-attacker-sp-8/</t>
        </is>
      </c>
      <c r="G44" t="inlineStr">
        <is>
          <t>88</t>
        </is>
      </c>
      <c r="H44" t="inlineStr">
        <is>
          <t>88</t>
        </is>
      </c>
      <c r="I44" t="inlineStr">
        <is>
          <t>ST, RW, LW</t>
        </is>
      </c>
      <c r="K44" t="inlineStr">
        <is>
          <t>World Tour Silver Stars</t>
        </is>
      </c>
      <c r="S44" t="inlineStr">
        <is>
          <t>10</t>
        </is>
      </c>
      <c r="T44" t="inlineStr">
        <is>
          <t>1</t>
        </is>
      </c>
      <c r="X44" t="n">
        <v>4</v>
      </c>
      <c r="Y44" t="n">
        <v>90</v>
      </c>
      <c r="AL44" t="n">
        <v>20</v>
      </c>
      <c r="AM44" t="n">
        <v>90</v>
      </c>
      <c r="AN44" t="n">
        <v>20</v>
      </c>
      <c r="AO44" t="n">
        <v>90</v>
      </c>
      <c r="AP44" t="n">
        <v>20</v>
      </c>
      <c r="AQ44" t="n">
        <v>90</v>
      </c>
      <c r="AR44" t="n">
        <v>20</v>
      </c>
      <c r="AS44" t="n">
        <v>90</v>
      </c>
      <c r="AT44" t="n">
        <v>10</v>
      </c>
      <c r="AU44" t="n">
        <v>91</v>
      </c>
      <c r="AV44" t="n">
        <v>10</v>
      </c>
      <c r="AW44" t="n">
        <v>90</v>
      </c>
      <c r="AX44" t="n">
        <v>10</v>
      </c>
      <c r="AY44" t="n">
        <v>89</v>
      </c>
      <c r="AZ44" t="n">
        <v>10</v>
      </c>
      <c r="BA44" t="n">
        <v>90</v>
      </c>
      <c r="BL44" t="n">
        <v>10</v>
      </c>
      <c r="BM44" t="n">
        <v>90</v>
      </c>
      <c r="BN44" t="n">
        <v>15</v>
      </c>
      <c r="BO44" t="n">
        <v>92</v>
      </c>
      <c r="BP44" t="n">
        <v>15</v>
      </c>
      <c r="BQ44" t="n">
        <v>89</v>
      </c>
      <c r="BR44" t="n">
        <v>15</v>
      </c>
      <c r="BS44" t="n">
        <v>89</v>
      </c>
      <c r="BT44" t="n">
        <v>15</v>
      </c>
      <c r="BU44" t="n">
        <v>88</v>
      </c>
      <c r="BV44" t="n">
        <v>15</v>
      </c>
      <c r="BW44" t="n">
        <v>89</v>
      </c>
      <c r="BX44" t="n">
        <v>15</v>
      </c>
      <c r="BY44" t="n">
        <v>88</v>
      </c>
      <c r="CT44" t="n">
        <v>3</v>
      </c>
      <c r="CU44" t="n">
        <v>4</v>
      </c>
      <c r="CW44"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Park Ji Sung 88 RW PAC 88 SHO 87 PAS 89 DRI 88 DEF 85 PHY 84 RM CM CAM R 4 ★ 4 CM 85.3 Park Ji Sung 90 RW PAC 90 SHO 89 PAS 89 DRI 88 DEF 85 PHY 84 RM CM CAM R 4 ★ 4 CM 85.3 UPGRADES +2 OVR 90 +10 Acceleration 90 +10 Sprint Speed 90 +10 Finishing 90 +10 Positioning 90 8</t>
        </is>
      </c>
      <c r="CX44" t="inlineStr">
        <is>
          <t>Rarity World Tour Silver Stars Overall Min. 88 Overall Max. 88 Position ST, RW, LW Max PS 10 Max PS+ 1 Details Submit by in 1 month Expiry in 1 month Coins Cost Free Points Cost Free</t>
        </is>
      </c>
      <c r="CY44" t="inlineStr">
        <is>
          <t>Rarity World Tour Silver Stars Overall Min. 88 Overall Max. 88 Position ST, RW, LW Max PS 10 Max PS+ 1 Details Submit by in 1 month Expiry in 1 month Coins Cost Free Points Cost Free</t>
        </is>
      </c>
      <c r="CZ44" t="inlineStr">
        <is>
          <t>WTSS Journey 2 - Attacker [SP 8]</t>
        </is>
      </c>
      <c r="DA44"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 month in 1 month 68% 32%</t>
        </is>
      </c>
    </row>
    <row r="45">
      <c r="A45" t="inlineStr">
        <is>
          <t>Reward</t>
        </is>
      </c>
      <c r="B45" t="inlineStr">
        <is>
          <t>Standard Season Pass</t>
        </is>
      </c>
      <c r="C45" t="inlineStr">
        <is>
          <t>WTSS Journey 2 - Defender [SP 8] - EA SPORTS FC 26</t>
        </is>
      </c>
      <c r="D45" t="inlineStr">
        <is>
          <t>https://www.fut.gg/evolutions/1930-wtss-journey-2-defender-sp-8/</t>
        </is>
      </c>
      <c r="G45" t="inlineStr">
        <is>
          <t>88</t>
        </is>
      </c>
      <c r="H45" t="inlineStr">
        <is>
          <t>88</t>
        </is>
      </c>
      <c r="I45" t="inlineStr">
        <is>
          <t>CB, LB, RB</t>
        </is>
      </c>
      <c r="K45" t="inlineStr">
        <is>
          <t>World Tour Silver Stars</t>
        </is>
      </c>
      <c r="S45" t="inlineStr">
        <is>
          <t>10</t>
        </is>
      </c>
      <c r="T45" t="inlineStr">
        <is>
          <t>1</t>
        </is>
      </c>
      <c r="X45" t="n">
        <v>4</v>
      </c>
      <c r="Y45" t="n">
        <v>90</v>
      </c>
      <c r="Z45" t="n">
        <v>4</v>
      </c>
      <c r="AA45" t="n">
        <v>87</v>
      </c>
      <c r="BN45" t="n">
        <v>10</v>
      </c>
      <c r="BO45" t="n">
        <v>88</v>
      </c>
      <c r="BP45" t="n">
        <v>5</v>
      </c>
      <c r="BQ45" t="n">
        <v>88</v>
      </c>
      <c r="BR45" t="n">
        <v>5</v>
      </c>
      <c r="BS45" t="n">
        <v>90</v>
      </c>
      <c r="BX45" t="n">
        <v>5</v>
      </c>
      <c r="BY45" t="n">
        <v>90</v>
      </c>
      <c r="BZ45" t="n">
        <v>10</v>
      </c>
      <c r="CA45" t="n">
        <v>93</v>
      </c>
      <c r="CB45" t="n">
        <v>10</v>
      </c>
      <c r="CC45" t="n">
        <v>94</v>
      </c>
      <c r="CD45" t="n">
        <v>10</v>
      </c>
      <c r="CE45" t="n">
        <v>90</v>
      </c>
      <c r="CF45" t="n">
        <v>10</v>
      </c>
      <c r="CG45" t="n">
        <v>92</v>
      </c>
      <c r="CH45" t="n">
        <v>10</v>
      </c>
      <c r="CI45" t="n">
        <v>92</v>
      </c>
      <c r="CW45" t="inlineStr">
        <is>
          <t>+2 OVR 90 +2 PAC 87 +5 Agility 88 +5 Balance 88 +5 Reactions 90 +5 Composure 90 +10 Standing Tackle 92 +10 Sliding Tackle 92 +10 Interceptions 93 +10 Heading Acc. 94 +10 Defensive Awareness 90 2 8 Level 1 Kohler 88 CB PAC 85 SHO 56 PAS 79 DRI 75 DEF 87 PHY 87 R 3 ★ 4 CB 85.4 Kohler 90 CB PAC 87 SHO 56 PAS 79 DRI 76 DEF 87 PHY 87 R 3 ★ 4 CB 85.4 UPGRADES +2 OVR 90 +2 PAC 87 +5 Agility 88 2 8</t>
        </is>
      </c>
      <c r="CX45" t="inlineStr">
        <is>
          <t>Rarity World Tour Silver Stars Overall Min. 88 Overall Max. 88 Position CB, LB, RB Max PS 10 Max PS+ 1 Details Submit by in 1 month Expiry in 1 month Coins Cost Free Points Cost Free</t>
        </is>
      </c>
      <c r="CY45" t="inlineStr">
        <is>
          <t>Rarity World Tour Silver Stars Overall Min. 88 Overall Max. 88 Position CB, LB, RB Max PS 10 Max PS+ 1 Details Submit by in 1 month Expiry in 1 month Coins Cost Free Points Cost Free</t>
        </is>
      </c>
      <c r="CZ45" t="inlineStr">
        <is>
          <t>WTSS Journey 2 - Defender [SP 8]</t>
        </is>
      </c>
      <c r="DA45"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 month in 1 month 73% 27%</t>
        </is>
      </c>
    </row>
    <row r="46">
      <c r="A46" t="inlineStr">
        <is>
          <t>Reward</t>
        </is>
      </c>
      <c r="B46" t="inlineStr">
        <is>
          <t>Standard Season Pass</t>
        </is>
      </c>
      <c r="C46" t="inlineStr">
        <is>
          <t>WTSS Journey 3 - Attacker [SP 21] - EA SPORTS FC 26</t>
        </is>
      </c>
      <c r="D46" t="inlineStr">
        <is>
          <t>https://www.fut.gg/evolutions/1929-wtss-journey-3-attacker-sp-21/</t>
        </is>
      </c>
      <c r="G46" t="inlineStr">
        <is>
          <t>90</t>
        </is>
      </c>
      <c r="H46" t="inlineStr">
        <is>
          <t>90</t>
        </is>
      </c>
      <c r="I46" t="inlineStr">
        <is>
          <t>ST, RW, LW</t>
        </is>
      </c>
      <c r="K46" t="inlineStr">
        <is>
          <t>World Tour Silver Stars</t>
        </is>
      </c>
      <c r="S46" t="inlineStr">
        <is>
          <t>10</t>
        </is>
      </c>
      <c r="T46" t="inlineStr">
        <is>
          <t>2</t>
        </is>
      </c>
      <c r="X46" t="n">
        <v>4</v>
      </c>
      <c r="Y46" t="n">
        <v>92</v>
      </c>
      <c r="AL46" t="n">
        <v>10</v>
      </c>
      <c r="AM46" t="n">
        <v>92</v>
      </c>
      <c r="AN46" t="n">
        <v>10</v>
      </c>
      <c r="AO46" t="n">
        <v>92</v>
      </c>
      <c r="AP46" t="n">
        <v>5</v>
      </c>
      <c r="AQ46" t="n">
        <v>93</v>
      </c>
      <c r="AR46" t="n">
        <v>5</v>
      </c>
      <c r="AS46" t="n">
        <v>94</v>
      </c>
      <c r="BL46" t="n">
        <v>5</v>
      </c>
      <c r="BM46" t="n">
        <v>93</v>
      </c>
      <c r="BP46" t="n">
        <v>5</v>
      </c>
      <c r="BQ46" t="n">
        <v>94</v>
      </c>
      <c r="BR46" t="n">
        <v>5</v>
      </c>
      <c r="BS46" t="n">
        <v>93</v>
      </c>
      <c r="BT46" t="n">
        <v>5</v>
      </c>
      <c r="BU46" t="n">
        <v>94</v>
      </c>
      <c r="BV46" t="n">
        <v>5</v>
      </c>
      <c r="BW46" t="n">
        <v>94</v>
      </c>
      <c r="BX46" t="n">
        <v>5</v>
      </c>
      <c r="BY46" t="n">
        <v>93</v>
      </c>
      <c r="CR46" t="n">
        <v>4</v>
      </c>
      <c r="CW46" t="inlineStr">
        <is>
          <t>+2 OVR 92 +4 SM +5 Acceleration 92 +5 Sprint Speed 92 +5 Positioning 93 +5 Finishing 94 +5 Curve 93 +5 Balance 94 +5 Reactions 93 +5 Ball Control 94 +5 Dribbling 94 +5 Composure 93 3 8 Level 1 Park Ji Sung 90 RW PAC 90 SHO 90 PAS 89 DRI 89 DEF 64 PHY 77 RM CM CAM R 4 ★ 4 RM 85.7 Park Ji Sung 92 RW PAC 92 SHO 90 PAS 89 DRI 89 DEF 64 PHY 77 RM CM CAM R 4 ★ 4 RM 85.7 UPGRADES +2 OVR 92 +5 Acceleration 92 +5 Sprint Speed 92 3 8</t>
        </is>
      </c>
      <c r="CX46" t="inlineStr">
        <is>
          <t>Rarity World Tour Silver Stars Overall Min. 90 Overall Max. 90 Position ST, RW, LW Max PS 10 Max PS+ 2 Details Submit by in 1 month Expiry in 1 month Coins Cost Free Points Cost Free</t>
        </is>
      </c>
      <c r="CY46" t="inlineStr">
        <is>
          <t>Rarity World Tour Silver Stars Overall Min. 90 Overall Max. 90 Position ST, RW, LW Max PS 10 Max PS+ 2 Details Submit by in 1 month Expiry in 1 month Coins Cost Free Points Cost Free</t>
        </is>
      </c>
      <c r="CZ46" t="inlineStr">
        <is>
          <t>WTSS Journey 3 - Attacker [SP 21]</t>
        </is>
      </c>
      <c r="DA46"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 month in 1 month 71% 29%</t>
        </is>
      </c>
    </row>
    <row r="47">
      <c r="A47" t="inlineStr">
        <is>
          <t>Reward</t>
        </is>
      </c>
      <c r="B47" t="inlineStr">
        <is>
          <t>Standard Season Pass</t>
        </is>
      </c>
      <c r="C47" t="inlineStr">
        <is>
          <t>WTSS Journey 3 - Defender [SP 21] - EA SPORTS FC 26</t>
        </is>
      </c>
      <c r="D47" t="inlineStr">
        <is>
          <t>https://www.fut.gg/evolutions/1928-wtss-journey-3-defender-sp-21/</t>
        </is>
      </c>
      <c r="G47" t="inlineStr">
        <is>
          <t>90</t>
        </is>
      </c>
      <c r="H47" t="inlineStr">
        <is>
          <t>90</t>
        </is>
      </c>
      <c r="I47" t="inlineStr">
        <is>
          <t>CB, LB, RB</t>
        </is>
      </c>
      <c r="K47" t="inlineStr">
        <is>
          <t>World Tour Silver Stars</t>
        </is>
      </c>
      <c r="S47" t="inlineStr">
        <is>
          <t>10</t>
        </is>
      </c>
      <c r="T47" t="inlineStr">
        <is>
          <t>2</t>
        </is>
      </c>
      <c r="X47" t="n">
        <v>4</v>
      </c>
      <c r="Y47" t="n">
        <v>92</v>
      </c>
      <c r="Z47" t="n">
        <v>3</v>
      </c>
      <c r="AA47" t="n">
        <v>90</v>
      </c>
      <c r="BB47" t="n">
        <v>5</v>
      </c>
      <c r="BC47" t="n">
        <v>88</v>
      </c>
      <c r="BH47" t="n">
        <v>5</v>
      </c>
      <c r="BI47" t="n">
        <v>88</v>
      </c>
      <c r="BJ47" t="n">
        <v>5</v>
      </c>
      <c r="BK47" t="n">
        <v>88</v>
      </c>
      <c r="BR47" t="n">
        <v>10</v>
      </c>
      <c r="BS47" t="n">
        <v>93</v>
      </c>
      <c r="BT47" t="n">
        <v>10</v>
      </c>
      <c r="BU47" t="n">
        <v>88</v>
      </c>
      <c r="BV47" t="n">
        <v>5</v>
      </c>
      <c r="BW47" t="n">
        <v>88</v>
      </c>
      <c r="BX47" t="n">
        <v>5</v>
      </c>
      <c r="BY47" t="n">
        <v>93</v>
      </c>
      <c r="CJ47" t="n">
        <v>10</v>
      </c>
      <c r="CK47" t="n">
        <v>90</v>
      </c>
      <c r="CL47" t="n">
        <v>10</v>
      </c>
      <c r="CM47" t="n">
        <v>95</v>
      </c>
      <c r="CN47" t="n">
        <v>10</v>
      </c>
      <c r="CO47" t="n">
        <v>93</v>
      </c>
      <c r="CP47" t="n">
        <v>10</v>
      </c>
      <c r="CQ47" t="n">
        <v>88</v>
      </c>
      <c r="CR47" t="n">
        <v>3</v>
      </c>
      <c r="CS47" t="n">
        <v>4</v>
      </c>
      <c r="CT47" t="n">
        <v>4</v>
      </c>
      <c r="CW47" t="inlineStr">
        <is>
          <t>+2 OVR 92 +3 PAC 90 +3 SM 4 +4 WF +5 Reactions 93 +5 Ball Control 88 +5 Dribbling 88 +5 Composure 93 +5 Vision 88 +5 Short Pass 88 +5 Long Pass 88 +10 Aggression 88 +10 Jumping 90 +10 Stamina 95 +10 Strength 93 3 8 Level 1 Kohler 90 CB PAC 87 SHO 56 PAS 79 DRI 76 DEF 92 PHY 87 R 3 ★ 4 CB 88.3 Kohler 92 CB PAC 87 SHO 56 PAS 79 DRI 78 DEF 92 PHY 87 R 3 ★ 4 CB 88.3 UPGRADES +2 OVR 92 +5 Reactions 93 +5 Ball Control 88 3 8</t>
        </is>
      </c>
      <c r="CX47" t="inlineStr">
        <is>
          <t>Rarity World Tour Silver Stars Overall Min. 90 Overall Max. 90 Position CB, LB, RB Max PS 10 Max PS+ 2 Details Submit by in 1 month Expiry in 1 month Coins Cost Free Points Cost Free</t>
        </is>
      </c>
      <c r="CY47" t="inlineStr">
        <is>
          <t>Rarity World Tour Silver Stars Overall Min. 90 Overall Max. 90 Position CB, LB, RB Max PS 10 Max PS+ 2 Details Submit by in 1 month Expiry in 1 month Coins Cost Free Points Cost Free</t>
        </is>
      </c>
      <c r="CZ47" t="inlineStr">
        <is>
          <t>WTSS Journey 3 - Defender [SP 21]</t>
        </is>
      </c>
      <c r="DA47"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 month in 1 month 76% 24%</t>
        </is>
      </c>
    </row>
    <row r="48">
      <c r="A48" t="inlineStr">
        <is>
          <t>Reward</t>
        </is>
      </c>
      <c r="B48" t="inlineStr">
        <is>
          <t>Standard Season Pass</t>
        </is>
      </c>
      <c r="C48" t="inlineStr">
        <is>
          <t>WTSS Journey 2 - Midfielder [SP 8] - EA SPORTS FC 26</t>
        </is>
      </c>
      <c r="D48" t="inlineStr">
        <is>
          <t>https://www.fut.gg/evolutions/1927-wtss-journey-2-midfielder-sp-8/</t>
        </is>
      </c>
      <c r="G48" t="inlineStr">
        <is>
          <t>88</t>
        </is>
      </c>
      <c r="H48" t="inlineStr">
        <is>
          <t>88</t>
        </is>
      </c>
      <c r="I48" t="inlineStr">
        <is>
          <t>CAM, CDM, CM</t>
        </is>
      </c>
      <c r="K48" t="inlineStr">
        <is>
          <t>World Tour Silver Stars</t>
        </is>
      </c>
      <c r="S48" t="inlineStr">
        <is>
          <t>10</t>
        </is>
      </c>
      <c r="T48" t="inlineStr">
        <is>
          <t>1</t>
        </is>
      </c>
      <c r="X48" t="n">
        <v>4</v>
      </c>
      <c r="Y48" t="n">
        <v>90</v>
      </c>
      <c r="AB48" t="n">
        <v>4</v>
      </c>
      <c r="AC48" t="n">
        <v>88</v>
      </c>
      <c r="AL48" t="n">
        <v>5</v>
      </c>
      <c r="AM48" t="n">
        <v>88</v>
      </c>
      <c r="AN48" t="n">
        <v>10</v>
      </c>
      <c r="AO48" t="n">
        <v>88</v>
      </c>
      <c r="BB48" t="n">
        <v>15</v>
      </c>
      <c r="BC48" t="n">
        <v>91</v>
      </c>
      <c r="BD48" t="n">
        <v>15</v>
      </c>
      <c r="BE48" t="n">
        <v>89</v>
      </c>
      <c r="BH48" t="n">
        <v>30</v>
      </c>
      <c r="BI48" t="n">
        <v>93</v>
      </c>
      <c r="BJ48" t="n">
        <v>15</v>
      </c>
      <c r="BK48" t="n">
        <v>92</v>
      </c>
      <c r="BL48" t="n">
        <v>15</v>
      </c>
      <c r="BM48" t="n">
        <v>90</v>
      </c>
      <c r="BZ48" t="n">
        <v>30</v>
      </c>
      <c r="CA48" t="n">
        <v>90</v>
      </c>
      <c r="CB48" t="n">
        <v>15</v>
      </c>
      <c r="CC48" t="n">
        <v>89</v>
      </c>
      <c r="CD48" t="n">
        <v>15</v>
      </c>
      <c r="CE48" t="n">
        <v>89</v>
      </c>
      <c r="CF48" t="n">
        <v>15</v>
      </c>
      <c r="CG48" t="n">
        <v>90</v>
      </c>
      <c r="CH48" t="n">
        <v>15</v>
      </c>
      <c r="CI48" t="n">
        <v>88</v>
      </c>
      <c r="CJ48" t="n">
        <v>15</v>
      </c>
      <c r="CK48" t="n">
        <v>89</v>
      </c>
      <c r="CL48" t="n">
        <v>30</v>
      </c>
      <c r="CM48" t="n">
        <v>90</v>
      </c>
      <c r="CN48" t="n">
        <v>15</v>
      </c>
      <c r="CO48" t="n">
        <v>89</v>
      </c>
      <c r="CP48" t="n">
        <v>15</v>
      </c>
      <c r="CQ48" t="n">
        <v>89</v>
      </c>
      <c r="CR48" t="n">
        <v>1</v>
      </c>
      <c r="CS48" t="n">
        <v>4</v>
      </c>
      <c r="CW48"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86 PAS 89 DRI 87 DEF 30 PHY 78 LW R 5 ★ 4 LW 83.8 Ronaldinho 90 CAM PAC 88 SHO 86 PAS 90 DRI 87 DEF 33 PHY 78 LW R 5 ★ 4 LW 83.8 UPGRADES +2 OVR 90 +5 Sprint Speed 88 +15 Short Pass 93 +15 Interceptions 90 +15 Stamina 90 2</t>
        </is>
      </c>
      <c r="CX48" t="inlineStr">
        <is>
          <t>Rarity World Tour Silver Stars Overall Min. 88 Overall Max. 88 Position CAM, CDM, CM Max PS 10 Max PS+ 1 Details Submit by in 1 month Expiry in 1 month Coins Cost Free Points Cost Free</t>
        </is>
      </c>
      <c r="CY48" t="inlineStr">
        <is>
          <t>Rarity World Tour Silver Stars Overall Min. 88 Overall Max. 88 Position CAM, CDM, CM Max PS 10 Max PS+ 1 Details Submit by in 1 month Expiry in 1 month Coins Cost Free Points Cost Free</t>
        </is>
      </c>
      <c r="CZ48" t="inlineStr">
        <is>
          <t>WTSS Journey 2 - Midfielder [SP 8]</t>
        </is>
      </c>
      <c r="DA48"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 month in 1 month 77% 23%</t>
        </is>
      </c>
    </row>
    <row r="49">
      <c r="A49" t="inlineStr">
        <is>
          <t>Reward</t>
        </is>
      </c>
      <c r="B49" t="inlineStr">
        <is>
          <t>Standard Season Pass</t>
        </is>
      </c>
      <c r="C49" t="inlineStr">
        <is>
          <t>WTSS Journey 1 - Attacker [SP 3] - EA SPORTS FC 26</t>
        </is>
      </c>
      <c r="D49" t="inlineStr">
        <is>
          <t>https://www.fut.gg/evolutions/1926-wtss-journey-1-attacker-sp-3/</t>
        </is>
      </c>
      <c r="I49" t="inlineStr">
        <is>
          <t>ST, RW, LW</t>
        </is>
      </c>
      <c r="K49" t="inlineStr">
        <is>
          <t>World Tour Silver Stars</t>
        </is>
      </c>
      <c r="S49" t="inlineStr">
        <is>
          <t>10</t>
        </is>
      </c>
      <c r="T49" t="inlineStr">
        <is>
          <t>1</t>
        </is>
      </c>
      <c r="X49" t="n">
        <v>60</v>
      </c>
      <c r="Y49" t="n">
        <v>88</v>
      </c>
      <c r="AL49" t="n">
        <v>60</v>
      </c>
      <c r="AM49" t="n">
        <v>88</v>
      </c>
      <c r="AN49" t="n">
        <v>60</v>
      </c>
      <c r="AO49" t="n">
        <v>88</v>
      </c>
      <c r="AP49" t="n">
        <v>30</v>
      </c>
      <c r="AQ49" t="n">
        <v>84</v>
      </c>
      <c r="AR49" t="n">
        <v>60</v>
      </c>
      <c r="AS49" t="n">
        <v>87</v>
      </c>
      <c r="AT49" t="n">
        <v>60</v>
      </c>
      <c r="AU49" t="n">
        <v>83</v>
      </c>
      <c r="AV49" t="n">
        <v>60</v>
      </c>
      <c r="AW49" t="n">
        <v>88</v>
      </c>
      <c r="AX49" t="n">
        <v>30</v>
      </c>
      <c r="AY49" t="n">
        <v>87</v>
      </c>
      <c r="AZ49" t="n">
        <v>30</v>
      </c>
      <c r="BA49" t="n">
        <v>80</v>
      </c>
      <c r="BB49" t="n">
        <v>20</v>
      </c>
      <c r="BC49" t="n">
        <v>88</v>
      </c>
      <c r="BD49" t="n">
        <v>20</v>
      </c>
      <c r="BE49" t="n">
        <v>87</v>
      </c>
      <c r="BH49" t="n">
        <v>20</v>
      </c>
      <c r="BI49" t="n">
        <v>90</v>
      </c>
      <c r="BJ49" t="n">
        <v>20</v>
      </c>
      <c r="BK49" t="n">
        <v>88</v>
      </c>
      <c r="BL49" t="n">
        <v>20</v>
      </c>
      <c r="BM49" t="n">
        <v>88</v>
      </c>
      <c r="BN49" t="n">
        <v>25</v>
      </c>
      <c r="BO49" t="n">
        <v>87</v>
      </c>
      <c r="BP49" t="n">
        <v>25</v>
      </c>
      <c r="BQ49" t="n">
        <v>88</v>
      </c>
      <c r="BR49" t="n">
        <v>25</v>
      </c>
      <c r="BS49" t="n">
        <v>86</v>
      </c>
      <c r="BT49" t="n">
        <v>25</v>
      </c>
      <c r="BU49" t="n">
        <v>88</v>
      </c>
      <c r="BV49" t="n">
        <v>25</v>
      </c>
      <c r="BW49" t="n">
        <v>87</v>
      </c>
      <c r="BX49" t="n">
        <v>25</v>
      </c>
      <c r="BY49" t="n">
        <v>88</v>
      </c>
      <c r="CL49" t="n">
        <v>20</v>
      </c>
      <c r="CM49" t="n">
        <v>90</v>
      </c>
      <c r="CN49" t="n">
        <v>20</v>
      </c>
      <c r="CO49" t="n">
        <v>75</v>
      </c>
      <c r="CP49" t="n">
        <v>20</v>
      </c>
      <c r="CQ49" t="n">
        <v>70</v>
      </c>
      <c r="CR49" t="n">
        <v>1</v>
      </c>
      <c r="CS49" t="n">
        <v>4</v>
      </c>
      <c r="CT49" t="n">
        <v>1</v>
      </c>
      <c r="CU49" t="n">
        <v>4</v>
      </c>
      <c r="CW49"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Maradona 74 CAM PAC 77 SHO 76 PAS 77 DRI 85 DEF 30 PHY 62 ST L 5 ★ 3 Maradona 88 CAM PAC 88 SHO 85 PAS 77 DRI 85 DEF 30 PHY 62 ST L 5 ★ 3 UPGRADES +30 OVR 88 +30 Acceleration 88 +30 Sprint Speed 88 +30 Finishing 87 +30 Shot Power 83 +30 Long Shots 88</t>
        </is>
      </c>
      <c r="CX49" t="inlineStr">
        <is>
          <t>Rarity World Tour Silver Stars Position ST, RW, LW Max PS 10 Max PS+ 1 Details Submit by in 1 month Expiry in 1 month Coins Cost Free Points Cost Free</t>
        </is>
      </c>
      <c r="CY49" t="inlineStr">
        <is>
          <t>Rarity World Tour Silver Stars Position ST, RW, LW Max PS 10 Max PS+ 1 Details Submit by in 1 month Expiry in 1 month Coins Cost Free Points Cost Free</t>
        </is>
      </c>
      <c r="CZ49" t="inlineStr">
        <is>
          <t>WTSS Journey 1 - Attacker [SP 3]</t>
        </is>
      </c>
      <c r="DA49"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 month in 1 month 78% 22%</t>
        </is>
      </c>
    </row>
    <row r="50">
      <c r="A50" t="inlineStr">
        <is>
          <t>Reward</t>
        </is>
      </c>
      <c r="B50" t="inlineStr">
        <is>
          <t>Standard Season Pass</t>
        </is>
      </c>
      <c r="C50" t="inlineStr">
        <is>
          <t>WTSS Journey 1 - Midfielder [SP 3] - EA SPORTS FC 26</t>
        </is>
      </c>
      <c r="D50" t="inlineStr">
        <is>
          <t>https://www.fut.gg/evolutions/1925-wtss-journey-1-midfielder-sp-3/</t>
        </is>
      </c>
      <c r="I50" t="inlineStr">
        <is>
          <t>CAM, CM, CDM</t>
        </is>
      </c>
      <c r="K50" t="inlineStr">
        <is>
          <t>World Tour Silver Stars</t>
        </is>
      </c>
      <c r="S50" t="inlineStr">
        <is>
          <t>10</t>
        </is>
      </c>
      <c r="T50" t="inlineStr">
        <is>
          <t>1</t>
        </is>
      </c>
      <c r="X50" t="n">
        <v>60</v>
      </c>
      <c r="Y50" t="n">
        <v>88</v>
      </c>
      <c r="AJ50" t="n">
        <v>20</v>
      </c>
      <c r="AK50" t="n">
        <v>84</v>
      </c>
      <c r="AL50" t="n">
        <v>60</v>
      </c>
      <c r="AM50" t="n">
        <v>85</v>
      </c>
      <c r="AN50" t="n">
        <v>60</v>
      </c>
      <c r="AO50" t="n">
        <v>85</v>
      </c>
      <c r="AP50" t="n">
        <v>20</v>
      </c>
      <c r="AQ50" t="n">
        <v>85</v>
      </c>
      <c r="AR50" t="n">
        <v>20</v>
      </c>
      <c r="AS50" t="n">
        <v>87</v>
      </c>
      <c r="AT50" t="n">
        <v>20</v>
      </c>
      <c r="AU50" t="n">
        <v>87</v>
      </c>
      <c r="AV50" t="n">
        <v>20</v>
      </c>
      <c r="AW50" t="n">
        <v>90</v>
      </c>
      <c r="AX50" t="n">
        <v>20</v>
      </c>
      <c r="AY50" t="n">
        <v>88</v>
      </c>
      <c r="AZ50" t="n">
        <v>20</v>
      </c>
      <c r="BA50" t="n">
        <v>85</v>
      </c>
      <c r="BB50" t="n">
        <v>30</v>
      </c>
      <c r="BC50" t="n">
        <v>86</v>
      </c>
      <c r="BD50" t="n">
        <v>30</v>
      </c>
      <c r="BE50" t="n">
        <v>85</v>
      </c>
      <c r="BH50" t="n">
        <v>30</v>
      </c>
      <c r="BI50" t="n">
        <v>87</v>
      </c>
      <c r="BJ50" t="n">
        <v>30</v>
      </c>
      <c r="BK50" t="n">
        <v>88</v>
      </c>
      <c r="BL50" t="n">
        <v>60</v>
      </c>
      <c r="BM50" t="n">
        <v>86</v>
      </c>
      <c r="BN50" t="n">
        <v>60</v>
      </c>
      <c r="BO50" t="n">
        <v>86</v>
      </c>
      <c r="BP50" t="n">
        <v>60</v>
      </c>
      <c r="BQ50" t="n">
        <v>84</v>
      </c>
      <c r="BR50" t="n">
        <v>30</v>
      </c>
      <c r="BS50" t="n">
        <v>87</v>
      </c>
      <c r="BT50" t="n">
        <v>30</v>
      </c>
      <c r="BU50" t="n">
        <v>85</v>
      </c>
      <c r="BV50" t="n">
        <v>30</v>
      </c>
      <c r="BW50" t="n">
        <v>88</v>
      </c>
      <c r="BX50" t="n">
        <v>30</v>
      </c>
      <c r="BY50" t="n">
        <v>88</v>
      </c>
      <c r="BZ50" t="n">
        <v>30</v>
      </c>
      <c r="CA50" t="n">
        <v>85</v>
      </c>
      <c r="CB50" t="n">
        <v>30</v>
      </c>
      <c r="CC50" t="n">
        <v>88</v>
      </c>
      <c r="CD50" t="n">
        <v>30</v>
      </c>
      <c r="CE50" t="n">
        <v>85</v>
      </c>
      <c r="CF50" t="n">
        <v>30</v>
      </c>
      <c r="CG50" t="n">
        <v>86</v>
      </c>
      <c r="CH50" t="n">
        <v>30</v>
      </c>
      <c r="CI50" t="n">
        <v>88</v>
      </c>
      <c r="CR50" t="n">
        <v>1</v>
      </c>
      <c r="CS50" t="n">
        <v>4</v>
      </c>
      <c r="CT50" t="n">
        <v>1</v>
      </c>
      <c r="CU50" t="n">
        <v>4</v>
      </c>
      <c r="CW50"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Cesc Fàbregas 74 CAM PAC 72 SHO 74 PAS 84 DRI 82 DEF 54 PHY 60 ST R 3 ★ 3 Cesc Fàbregas 88 CAM PAC 85 SHO 74 PAS 84 DRI 83 DEF 54 PHY 60 ST R 3 ★ 3 UPGRADES +30 OVR 88 +30 Acceleration 85 +30 Sprint Speed 85 +30 Curve 86 +30 Agility 86 +30 Balance 84 8</t>
        </is>
      </c>
      <c r="CX50" t="inlineStr">
        <is>
          <t>Rarity World Tour Silver Stars Position CAM, CM, CDM Max PS 10 Max PS+ 1 Details Submit by in 1 month Expiry in 1 month Coins Cost Free Points Cost Free</t>
        </is>
      </c>
      <c r="CY50" t="inlineStr">
        <is>
          <t>Rarity World Tour Silver Stars Position CAM, CM, CDM Max PS 10 Max PS+ 1 Details Submit by in 1 month Expiry in 1 month Coins Cost Free Points Cost Free</t>
        </is>
      </c>
      <c r="CZ50" t="inlineStr">
        <is>
          <t>WTSS Journey 1 - Midfielder [SP 3]</t>
        </is>
      </c>
      <c r="DA50"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 month in 1 month 80% 20%</t>
        </is>
      </c>
    </row>
    <row r="51">
      <c r="A51" t="inlineStr">
        <is>
          <t>Reward</t>
        </is>
      </c>
      <c r="B51" t="inlineStr">
        <is>
          <t>Standard Season Pass</t>
        </is>
      </c>
      <c r="C51" t="inlineStr">
        <is>
          <t>WTSS Journey 1 - Defender [SP 3] - EA SPORTS FC 26</t>
        </is>
      </c>
      <c r="D51" t="inlineStr">
        <is>
          <t>https://www.fut.gg/evolutions/1924-wtss-journey-1-defender-sp-3/</t>
        </is>
      </c>
      <c r="I51" t="inlineStr">
        <is>
          <t>CB, LB, RB</t>
        </is>
      </c>
      <c r="K51" t="inlineStr">
        <is>
          <t>World Tour Silver Stars</t>
        </is>
      </c>
      <c r="S51" t="inlineStr">
        <is>
          <t>10</t>
        </is>
      </c>
      <c r="T51" t="inlineStr">
        <is>
          <t>1</t>
        </is>
      </c>
      <c r="X51" t="n">
        <v>60</v>
      </c>
      <c r="Y51" t="n">
        <v>88</v>
      </c>
      <c r="AB51" t="n">
        <v>20</v>
      </c>
      <c r="AC51" t="n">
        <v>70</v>
      </c>
      <c r="AL51" t="n">
        <v>30</v>
      </c>
      <c r="AM51" t="n">
        <v>85</v>
      </c>
      <c r="AN51" t="n">
        <v>30</v>
      </c>
      <c r="AO51" t="n">
        <v>85</v>
      </c>
      <c r="BB51" t="n">
        <v>30</v>
      </c>
      <c r="BC51" t="n">
        <v>75</v>
      </c>
      <c r="BD51" t="n">
        <v>30</v>
      </c>
      <c r="BE51" t="n">
        <v>75</v>
      </c>
      <c r="BH51" t="n">
        <v>30</v>
      </c>
      <c r="BI51" t="n">
        <v>85</v>
      </c>
      <c r="BJ51" t="n">
        <v>30</v>
      </c>
      <c r="BK51" t="n">
        <v>80</v>
      </c>
      <c r="BL51" t="n">
        <v>60</v>
      </c>
      <c r="BM51" t="n">
        <v>80</v>
      </c>
      <c r="BN51" t="n">
        <v>30</v>
      </c>
      <c r="BO51" t="n">
        <v>80</v>
      </c>
      <c r="BP51" t="n">
        <v>15</v>
      </c>
      <c r="BQ51" t="n">
        <v>80</v>
      </c>
      <c r="BR51" t="n">
        <v>30</v>
      </c>
      <c r="BS51" t="n">
        <v>88</v>
      </c>
      <c r="BT51" t="n">
        <v>15</v>
      </c>
      <c r="BU51" t="n">
        <v>85</v>
      </c>
      <c r="BV51" t="n">
        <v>15</v>
      </c>
      <c r="BW51" t="n">
        <v>85</v>
      </c>
      <c r="BX51" t="n">
        <v>30</v>
      </c>
      <c r="BY51" t="n">
        <v>88</v>
      </c>
      <c r="BZ51" t="n">
        <v>30</v>
      </c>
      <c r="CA51" t="n">
        <v>88</v>
      </c>
      <c r="CB51" t="n">
        <v>30</v>
      </c>
      <c r="CC51" t="n">
        <v>87</v>
      </c>
      <c r="CD51" t="n">
        <v>60</v>
      </c>
      <c r="CE51" t="n">
        <v>87</v>
      </c>
      <c r="CF51" t="n">
        <v>60</v>
      </c>
      <c r="CG51" t="n">
        <v>88</v>
      </c>
      <c r="CH51" t="n">
        <v>60</v>
      </c>
      <c r="CI51" t="n">
        <v>86</v>
      </c>
      <c r="CJ51" t="n">
        <v>30</v>
      </c>
      <c r="CK51" t="n">
        <v>80</v>
      </c>
      <c r="CL51" t="n">
        <v>30</v>
      </c>
      <c r="CM51" t="n">
        <v>85</v>
      </c>
      <c r="CN51" t="n">
        <v>30</v>
      </c>
      <c r="CO51" t="n">
        <v>87</v>
      </c>
      <c r="CP51" t="n">
        <v>30</v>
      </c>
      <c r="CQ51" t="n">
        <v>90</v>
      </c>
      <c r="CR51" t="n">
        <v>1</v>
      </c>
      <c r="CS51" t="n">
        <v>4</v>
      </c>
      <c r="CT51" t="n">
        <v>1</v>
      </c>
      <c r="CU51" t="n">
        <v>4</v>
      </c>
      <c r="CW51"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Petit 74 CDM PAC 70 SHO 70 PAS 85 DRI 72 DEF 74 PHY 76 LB CM L 3 ★ 3 Petit 88 CDM PAC 70 SHO 70 PAS 86 DRI 73 DEF 83 PHY 76 LB CM L 3 ★ 3 UPGRADES +30 OVR 88 +30 Curve 80 +15 Agility 80 +30 Defensive Awareness 87 +30 Standing Tackle 88 +30 Sliding Tackle 86</t>
        </is>
      </c>
      <c r="CX51" t="inlineStr">
        <is>
          <t>Rarity World Tour Silver Stars Position CB, LB, RB Max PS 10 Max PS+ 1 Details Submit by in 1 month Expiry in 1 month Coins Cost Free Points Cost Free</t>
        </is>
      </c>
      <c r="CY51" t="inlineStr">
        <is>
          <t>Rarity World Tour Silver Stars Position CB, LB, RB Max PS 10 Max PS+ 1 Details Submit by in 1 month Expiry in 1 month Coins Cost Free Points Cost Free</t>
        </is>
      </c>
      <c r="CZ51" t="inlineStr">
        <is>
          <t>WTSS Journey 1 - Defender [SP 3]</t>
        </is>
      </c>
      <c r="DA51"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 month in 1 month 82% 18%</t>
        </is>
      </c>
    </row>
    <row r="52">
      <c r="A52" t="inlineStr">
        <is>
          <t>Reward</t>
        </is>
      </c>
      <c r="B52" t="inlineStr">
        <is>
          <t>Standard Season Pass</t>
        </is>
      </c>
      <c r="C52" t="inlineStr">
        <is>
          <t>Season Ladder Excellence [SP 27] - EA SPORTS FC 26</t>
        </is>
      </c>
      <c r="D52" t="inlineStr">
        <is>
          <t>https://www.fut.gg/evolutions/1923-season-ladder-excellence-sp-27/</t>
        </is>
      </c>
      <c r="K52" t="inlineStr">
        <is>
          <t>World Tour Silver Stars Details Submit by in 1 month Expiry in 1 month Coins Cost Free Points Cost Free</t>
        </is>
      </c>
      <c r="L52" t="inlineStr">
        <is>
          <t>World Tour Silver Stars Details Submit by in 1 month Expiry in 1 month Coins Cost Free Points Cost Free</t>
        </is>
      </c>
      <c r="CW52" t="inlineStr">
        <is>
          <t>No upgrades Level 1 Shaw 97 ST PAC 95 SHO 97 PAS 84 DRI 91 DEF 40 PHY 92 R 4 ★ 5 Shaw 97 ST PAC 95 SHO 97 PAS 84 DRI 91 DEF 40 PHY 92 R 4 ★ 5 UPGRADES No upgrades</t>
        </is>
      </c>
      <c r="CX52" t="inlineStr">
        <is>
          <t>Excluded Rarity World Tour Silver Stars Details Submit by in 1 month Expiry in 1 month Coins Cost Free Points Cost Free</t>
        </is>
      </c>
      <c r="CY52" t="inlineStr">
        <is>
          <t>Excluded Rarity World Tour Silver Stars Details Submit by in 1 month Expiry in 1 month Coins Cost Free Points Cost Free</t>
        </is>
      </c>
      <c r="CZ52" t="inlineStr">
        <is>
          <t>Season Ladder Excellence [SP 27]</t>
        </is>
      </c>
      <c r="DA52"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 month in 1 month 30% 70%</t>
        </is>
      </c>
    </row>
    <row r="53">
      <c r="A53" t="inlineStr">
        <is>
          <t>Reward</t>
        </is>
      </c>
      <c r="B53" t="inlineStr">
        <is>
          <t>Objective</t>
        </is>
      </c>
      <c r="C53" t="inlineStr">
        <is>
          <t>Crunch Time - EA SPORTS FC 26</t>
        </is>
      </c>
      <c r="D53" t="inlineStr">
        <is>
          <t>https://www.fut.gg/evolutions/1903-crunch-time/</t>
        </is>
      </c>
      <c r="G53" t="inlineStr">
        <is>
          <t>91</t>
        </is>
      </c>
      <c r="K53" t="inlineStr">
        <is>
          <t>World Tour Silver Stars</t>
        </is>
      </c>
      <c r="L53" t="inlineStr">
        <is>
          <t>World Tour Silver Stars</t>
        </is>
      </c>
      <c r="S53" t="inlineStr">
        <is>
          <t>10</t>
        </is>
      </c>
      <c r="T53" t="inlineStr">
        <is>
          <t>2</t>
        </is>
      </c>
      <c r="AH53" t="n">
        <v>2</v>
      </c>
      <c r="AI53" t="n">
        <v>92</v>
      </c>
      <c r="CW53" t="inlineStr">
        <is>
          <t>+2 DEF 92 2 8 Level 1 Lamine Yamal 91 RW PAC 87 SHO 83 PAS 88 DRI 92 DEF 25 PHY 55 RM L 5 ★ 3 Lamine Yamal 91 RW PAC 87 SHO 83 PAS 88 DRI 92 DEF 25 PHY 55 RM L 5 ★ 3 UPGRADES 8</t>
        </is>
      </c>
      <c r="CX53" t="inlineStr">
        <is>
          <t>Excluded Rarity World Tour Silver Stars Overall Max. 91 Max PS 10 Max PS+ 2 Details Submit by in 7 months Expiry in 7 months Coins Cost Free Points Cost Free</t>
        </is>
      </c>
      <c r="CY53" t="inlineStr">
        <is>
          <t>Excluded Rarity World Tour Silver Stars Overall Max. 91 Max PS 10 Max PS+ 2 Details Submit by in 7 months Expiry in 7 months Coins Cost Free Points Cost Free</t>
        </is>
      </c>
      <c r="CZ53" t="inlineStr">
        <is>
          <t>Crunch Time</t>
        </is>
      </c>
      <c r="DA53"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4">
      <c r="A54" t="inlineStr">
        <is>
          <t>Reward</t>
        </is>
      </c>
      <c r="B54" t="inlineStr">
        <is>
          <t>Objective</t>
        </is>
      </c>
      <c r="C54" t="inlineStr">
        <is>
          <t>Passing Technician - EA SPORTS FC 26</t>
        </is>
      </c>
      <c r="D54" t="inlineStr">
        <is>
          <t>https://www.fut.gg/evolutions/1897-passing-technician/</t>
        </is>
      </c>
      <c r="G54" t="inlineStr">
        <is>
          <t>91</t>
        </is>
      </c>
      <c r="K54" t="inlineStr">
        <is>
          <t>World Tour Silver Stars</t>
        </is>
      </c>
      <c r="L54" t="inlineStr">
        <is>
          <t>World Tour Silver Stars</t>
        </is>
      </c>
      <c r="S54" t="inlineStr">
        <is>
          <t>10</t>
        </is>
      </c>
      <c r="T54" t="inlineStr">
        <is>
          <t>2</t>
        </is>
      </c>
      <c r="CW54" t="inlineStr">
        <is>
          <t>2 8 Level 1 Doué 91 RW PAC 91 SHO 87 PAS 86 DRI 95 DEF 61 PHY 83 RM CM LW R 5 ★ 4 Doué 91 RW PAC 91 SHO 87 PAS 86 DRI 95 DEF 61 PHY 83 RM CM LW R 5 ★ 4 UPGRADES 8</t>
        </is>
      </c>
      <c r="CX54" t="inlineStr">
        <is>
          <t>Excluded Rarity World Tour Silver Stars Overall Max. 91 Max PS 10 Max PS+ 2 Details Submit by in 7 months Expiry in 7 months Coins Cost Free Points Cost Free</t>
        </is>
      </c>
      <c r="CY54" t="inlineStr">
        <is>
          <t>Excluded Rarity World Tour Silver Stars Overall Max. 91 Max PS 10 Max PS+ 2 Details Submit by in 7 months Expiry in 7 months Coins Cost Free Points Cost Free</t>
        </is>
      </c>
      <c r="CZ54" t="inlineStr">
        <is>
          <t>Passing Technician</t>
        </is>
      </c>
      <c r="DA54"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5">
      <c r="A55" t="inlineStr">
        <is>
          <t>Reward</t>
        </is>
      </c>
      <c r="B55" t="inlineStr">
        <is>
          <t>Objective</t>
        </is>
      </c>
      <c r="C55" t="inlineStr">
        <is>
          <t>All-Around Impact - EA SPORTS FC 26</t>
        </is>
      </c>
      <c r="D55" t="inlineStr">
        <is>
          <t>https://www.fut.gg/evolutions/1875-all-around-impact/</t>
        </is>
      </c>
      <c r="G55" t="inlineStr">
        <is>
          <t>91</t>
        </is>
      </c>
      <c r="K55" t="inlineStr">
        <is>
          <t>World Tour Silver Stars</t>
        </is>
      </c>
      <c r="L55" t="inlineStr">
        <is>
          <t>World Tour Silver Stars</t>
        </is>
      </c>
      <c r="X55" t="n">
        <v>2</v>
      </c>
      <c r="Z55" t="n">
        <v>4</v>
      </c>
      <c r="AA55" t="n">
        <v>92</v>
      </c>
      <c r="AB55" t="n">
        <v>4</v>
      </c>
      <c r="AC55" t="n">
        <v>91</v>
      </c>
      <c r="AD55" t="n">
        <v>4</v>
      </c>
      <c r="AE55" t="n">
        <v>92</v>
      </c>
      <c r="AF55" t="n">
        <v>6</v>
      </c>
      <c r="AG55" t="n">
        <v>93</v>
      </c>
      <c r="AH55" t="n">
        <v>4</v>
      </c>
      <c r="AI55" t="n">
        <v>90</v>
      </c>
      <c r="AJ55" t="n">
        <v>2</v>
      </c>
      <c r="AK55" t="n">
        <v>89</v>
      </c>
      <c r="CW55" t="inlineStr">
        <is>
          <t>+1 OVR +2 PAC 92 +2 SHO 91 +2 PAS 92 +3 DRI 93 +2 DEF 90 +1 PHY 89 Level 1 Doué 91 RW PAC 91 SHO 87 PAS 86 DRI 95 DEF 61 PHY 83 RM CM LW R 5 ★ 4 Doué 92 RW PAC 92 SHO 89 PAS 88 DRI 95 DEF 63 PHY 84 RM CM LW R 5 ★ 4 UPGRADES +1 OVR +2 PAC 92 +2 SHO 91 +2 PAS 92 +3 DRI 93 +2 DEF 90 +1 PHY 89</t>
        </is>
      </c>
      <c r="CX55" t="inlineStr">
        <is>
          <t>Excluded Rarity World Tour Silver Stars Overall Max. 91 Details Submit by in 7 months Expiry in 7 months Coins Cost Free Points Cost Free</t>
        </is>
      </c>
      <c r="CY55" t="inlineStr">
        <is>
          <t>Excluded Rarity World Tour Silver Stars Overall Max. 91 Details Submit by in 7 months Expiry in 7 months Coins Cost Free Points Cost Free</t>
        </is>
      </c>
      <c r="CZ55" t="inlineStr">
        <is>
          <t>All-Around Impact</t>
        </is>
      </c>
      <c r="DA55"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6">
      <c r="A56" t="inlineStr">
        <is>
          <t>Reward</t>
        </is>
      </c>
      <c r="B56" t="inlineStr">
        <is>
          <t>Objective</t>
        </is>
      </c>
      <c r="C56" t="inlineStr">
        <is>
          <t>Quick Step+ - EA SPORTS FC 26</t>
        </is>
      </c>
      <c r="D56" t="inlineStr">
        <is>
          <t>https://www.fut.gg/evolutions/1874-quick-step/</t>
        </is>
      </c>
      <c r="G56" t="inlineStr">
        <is>
          <t>91</t>
        </is>
      </c>
      <c r="K56" t="inlineStr">
        <is>
          <t>World Tour Silver Stars</t>
        </is>
      </c>
      <c r="L56" t="inlineStr">
        <is>
          <t>World Tour Silver Stars</t>
        </is>
      </c>
      <c r="T56" t="inlineStr">
        <is>
          <t>1</t>
        </is>
      </c>
      <c r="CW56" t="inlineStr">
        <is>
          <t>2 Level 1 Dembélé 91 CAM PAC 92 SHO 89 PAS 90 DRI 94 DEF 53 PHY 70 RW ST L 5 ★ 5 Dembélé 91 CAM PAC 92 SHO 89 PAS 90 DRI 94 DEF 53 PHY 70 RW ST L 5 ★ 5 UPGRADES 2</t>
        </is>
      </c>
      <c r="CX56" t="inlineStr">
        <is>
          <t>Excluded Rarity World Tour Silver Stars Overall Max. 91 Max PS+ 1 Details Submit by in 7 months Expiry in 7 months Coins Cost Free Points Cost Free</t>
        </is>
      </c>
      <c r="CY56" t="inlineStr">
        <is>
          <t>Excluded Rarity World Tour Silver Stars Overall Max. 91 Max PS+ 1 Details Submit by in 7 months Expiry in 7 months Coins Cost Free Points Cost Free</t>
        </is>
      </c>
      <c r="CZ56" t="inlineStr">
        <is>
          <t>Quick Step+</t>
        </is>
      </c>
      <c r="DA56"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7">
      <c r="A57" t="inlineStr">
        <is>
          <t>Reward</t>
        </is>
      </c>
      <c r="B57" t="inlineStr">
        <is>
          <t>Objective</t>
        </is>
      </c>
      <c r="C57" t="inlineStr">
        <is>
          <t>Finesse Shot+ - EA SPORTS FC 26</t>
        </is>
      </c>
      <c r="D57" t="inlineStr">
        <is>
          <t>https://www.fut.gg/evolutions/1873-finesse-shot/</t>
        </is>
      </c>
      <c r="G57" t="inlineStr">
        <is>
          <t>91</t>
        </is>
      </c>
      <c r="K57" t="inlineStr">
        <is>
          <t>World Tour Silver Stars</t>
        </is>
      </c>
      <c r="L57" t="inlineStr">
        <is>
          <t>World Tour Silver Stars</t>
        </is>
      </c>
      <c r="T57" t="inlineStr">
        <is>
          <t>1</t>
        </is>
      </c>
      <c r="CW57" t="inlineStr">
        <is>
          <t>2 Level 1 Doku 91 LW PAC 97 SHO 86 PAS 84 DRI 93 DEF 45 PHY 82 LM RW R 5 ★ 5 Doku 91 LW PAC 97 SHO 86 PAS 84 DRI 93 DEF 45 PHY 82 LM RW R 5 ★ 5 UPGRADES 2</t>
        </is>
      </c>
      <c r="CX57" t="inlineStr">
        <is>
          <t>Excluded Rarity World Tour Silver Stars Overall Max. 91 Max PS+ 1 Details Submit by in 7 months Expiry in 7 months Coins Cost Free Points Cost Free</t>
        </is>
      </c>
      <c r="CY57" t="inlineStr">
        <is>
          <t>Excluded Rarity World Tour Silver Stars Overall Max. 91 Max PS+ 1 Details Submit by in 7 months Expiry in 7 months Coins Cost Free Points Cost Free</t>
        </is>
      </c>
      <c r="CZ57" t="inlineStr">
        <is>
          <t>Finesse Shot+</t>
        </is>
      </c>
      <c r="DA57"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8">
      <c r="A58" t="inlineStr">
        <is>
          <t>Reward</t>
        </is>
      </c>
      <c r="B58" t="inlineStr">
        <is>
          <t>Objective</t>
        </is>
      </c>
      <c r="C58" t="inlineStr">
        <is>
          <t>Technical+ - EA SPORTS FC 26</t>
        </is>
      </c>
      <c r="D58" t="inlineStr">
        <is>
          <t>https://www.fut.gg/evolutions/1872-technical/</t>
        </is>
      </c>
      <c r="G58" t="inlineStr">
        <is>
          <t>91</t>
        </is>
      </c>
      <c r="K58" t="inlineStr">
        <is>
          <t>World Tour Silver Stars</t>
        </is>
      </c>
      <c r="L58" t="inlineStr">
        <is>
          <t>World Tour Silver Stars</t>
        </is>
      </c>
      <c r="T58" t="inlineStr">
        <is>
          <t>1</t>
        </is>
      </c>
      <c r="CW58" t="inlineStr">
        <is>
          <t>2 Level 1 Dybala 91 CAM PAC 90 SHO 90 PAS 90 DRI 92 DEF 50 PHY 75 RW ST L 5 ★ 5 Dybala 91 CAM PAC 90 SHO 90 PAS 90 DRI 92 DEF 50 PHY 75 RW ST L 5 ★ 5 UPGRADES 2</t>
        </is>
      </c>
      <c r="CX58" t="inlineStr">
        <is>
          <t>Excluded Rarity World Tour Silver Stars Overall Max. 91 Max PS+ 1 Details Submit by in 7 months Expiry in 7 months Coins Cost Free Points Cost Free</t>
        </is>
      </c>
      <c r="CY58" t="inlineStr">
        <is>
          <t>Excluded Rarity World Tour Silver Stars Overall Max. 91 Max PS+ 1 Details Submit by in 7 months Expiry in 7 months Coins Cost Free Points Cost Free</t>
        </is>
      </c>
      <c r="CZ58" t="inlineStr">
        <is>
          <t>Technical+</t>
        </is>
      </c>
      <c r="DA58"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9">
      <c r="A59" t="inlineStr">
        <is>
          <t>Reward</t>
        </is>
      </c>
      <c r="B59" t="inlineStr">
        <is>
          <t>Objective</t>
        </is>
      </c>
      <c r="C59" t="inlineStr">
        <is>
          <t>Anticipate+ - EA SPORTS FC 26</t>
        </is>
      </c>
      <c r="D59" t="inlineStr">
        <is>
          <t>https://www.fut.gg/evolutions/1871-anticipate/</t>
        </is>
      </c>
      <c r="G59" t="inlineStr">
        <is>
          <t>91</t>
        </is>
      </c>
      <c r="K59" t="inlineStr">
        <is>
          <t>World Tour Silver Stars</t>
        </is>
      </c>
      <c r="L59" t="inlineStr">
        <is>
          <t>World Tour Silver Stars</t>
        </is>
      </c>
      <c r="T59" t="inlineStr">
        <is>
          <t>1</t>
        </is>
      </c>
      <c r="CW59" t="inlineStr">
        <is>
          <t>2 Level 1 Vitinha 91 CM PAC 85 SHO 82 PAS 88 DRI 92 DEF 80 PHY 73 CDM CAM R 5 ★ 4 Vitinha 91 CM PAC 85 SHO 82 PAS 88 DRI 92 DEF 80 PHY 73 CDM CAM R 5 ★ 4 UPGRADES 2</t>
        </is>
      </c>
      <c r="CX59" t="inlineStr">
        <is>
          <t>Excluded Rarity World Tour Silver Stars Overall Max. 91 Max PS+ 1 Details Submit by in 7 months Expiry in 7 months Coins Cost Free Points Cost Free</t>
        </is>
      </c>
      <c r="CY59" t="inlineStr">
        <is>
          <t>Excluded Rarity World Tour Silver Stars Overall Max. 91 Max PS+ 1 Details Submit by in 7 months Expiry in 7 months Coins Cost Free Points Cost Free</t>
        </is>
      </c>
      <c r="CZ59" t="inlineStr">
        <is>
          <t>Anticipate+</t>
        </is>
      </c>
      <c r="DA59"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60">
      <c r="A60" t="inlineStr">
        <is>
          <t>Reward</t>
        </is>
      </c>
      <c r="B60" t="inlineStr">
        <is>
          <t>Objective</t>
        </is>
      </c>
      <c r="C60" t="inlineStr">
        <is>
          <t>Finesse Shot - EA SPORTS FC 26</t>
        </is>
      </c>
      <c r="D60" t="inlineStr">
        <is>
          <t>https://www.fut.gg/evolutions/1854-finesse-shot/</t>
        </is>
      </c>
      <c r="G60" t="inlineStr">
        <is>
          <t>88</t>
        </is>
      </c>
      <c r="K60" t="inlineStr">
        <is>
          <t>World Tour Silver Stars</t>
        </is>
      </c>
      <c r="L60" t="inlineStr">
        <is>
          <t>World Tour Silver Stars</t>
        </is>
      </c>
      <c r="S60" t="inlineStr">
        <is>
          <t>7</t>
        </is>
      </c>
      <c r="CW60" t="inlineStr">
        <is>
          <t>8 Level 1 Rodman 88 ST PAC 91 SHO 88 PAS 81 DRI 86 DEF 70 PHY 86 RM RW R 4 ★ 5 Rodman 88 ST PAC 91 SHO 88 PAS 81 DRI 86 DEF 70 PHY 86 RM RW R 4 ★ 5 UPGRADES 8</t>
        </is>
      </c>
      <c r="CX60" t="inlineStr">
        <is>
          <t>Excluded Rarity World Tour Silver Stars Overall Max. 88 Max PS 7 Details Submit by in 6 days Expiry in 6 days Coins Cost Free Points Cost Free</t>
        </is>
      </c>
      <c r="CY60" t="inlineStr">
        <is>
          <t>Excluded Rarity World Tour Silver Stars Overall Max. 88 Max PS 7 Details Submit by in 6 days Expiry in 6 days Coins Cost Free Points Cost Free</t>
        </is>
      </c>
      <c r="CZ60" t="inlineStr">
        <is>
          <t>Finesse Shot</t>
        </is>
      </c>
      <c r="DA60"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6 days in 6 days 28% 72%</t>
        </is>
      </c>
    </row>
    <row r="61">
      <c r="A61" t="inlineStr">
        <is>
          <t>Reward</t>
        </is>
      </c>
      <c r="B61" t="inlineStr">
        <is>
          <t>Objective</t>
        </is>
      </c>
      <c r="C61" t="inlineStr">
        <is>
          <t>Low Driven Shot+ - EA SPORTS FC 26</t>
        </is>
      </c>
      <c r="D61" t="inlineStr">
        <is>
          <t>https://www.fut.gg/evolutions/1818-low-driven-shot/</t>
        </is>
      </c>
      <c r="G61" t="inlineStr">
        <is>
          <t>90</t>
        </is>
      </c>
      <c r="K61" t="inlineStr">
        <is>
          <t>World Tour Silver Stars</t>
        </is>
      </c>
      <c r="L61" t="inlineStr">
        <is>
          <t>World Tour Silver Stars</t>
        </is>
      </c>
      <c r="T61" t="inlineStr">
        <is>
          <t>1</t>
        </is>
      </c>
      <c r="CW61" t="inlineStr">
        <is>
          <t>2 Level 1 Szoboszlai 90 CAM PAC 87 SHO 90 PAS 90 DRI 92 DEF 80 PHY 85 RB CM R 5 ★ 5 Szoboszlai 90 CAM PAC 87 SHO 90 PAS 90 DRI 92 DEF 80 PHY 85 RB CM R 5 ★ 5 UPGRADES 2</t>
        </is>
      </c>
      <c r="CX61" t="inlineStr">
        <is>
          <t>Excluded Rarity World Tour Silver Stars Overall Max. 90 Max PS+ 1 Details Submit by in 7 months Expiry in 7 months Coins Cost Free Points Cost Free</t>
        </is>
      </c>
      <c r="CY61" t="inlineStr">
        <is>
          <t>Excluded Rarity World Tour Silver Stars Overall Max. 90 Max PS+ 1 Details Submit by in 7 months Expiry in 7 months Coins Cost Free Points Cost Free</t>
        </is>
      </c>
      <c r="CZ61" t="inlineStr">
        <is>
          <t>Low Driven Shot+</t>
        </is>
      </c>
      <c r="DA61"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2">
      <c r="A62" t="inlineStr">
        <is>
          <t>Reward</t>
        </is>
      </c>
      <c r="B62" t="inlineStr">
        <is>
          <t>Objective</t>
        </is>
      </c>
      <c r="C62" t="inlineStr">
        <is>
          <t>Intercept+ - EA SPORTS FC 26</t>
        </is>
      </c>
      <c r="D62" t="inlineStr">
        <is>
          <t>https://www.fut.gg/evolutions/1812-intercept/</t>
        </is>
      </c>
      <c r="G62" t="inlineStr">
        <is>
          <t>90</t>
        </is>
      </c>
      <c r="K62" t="inlineStr">
        <is>
          <t>World Tour Silver Stars</t>
        </is>
      </c>
      <c r="L62" t="inlineStr">
        <is>
          <t>World Tour Silver Stars</t>
        </is>
      </c>
      <c r="T62" t="inlineStr">
        <is>
          <t>1</t>
        </is>
      </c>
      <c r="CW62" t="inlineStr">
        <is>
          <t>2 Level 1 Dumornay 90 ST PAC 96 SHO 90 PAS 85 DRI 90 DEF 66 PHY 80 CAM R 5 ★ 5 Dumornay 90 ST PAC 96 SHO 90 PAS 85 DRI 90 DEF 66 PHY 80 CAM R 5 ★ 5 UPGRADES 2</t>
        </is>
      </c>
      <c r="CX62" t="inlineStr">
        <is>
          <t>Excluded Rarity World Tour Silver Stars Overall Max. 90 Max PS+ 1 Details Submit by in 7 months Expiry in 7 months Coins Cost Free Points Cost Free</t>
        </is>
      </c>
      <c r="CY62" t="inlineStr">
        <is>
          <t>Excluded Rarity World Tour Silver Stars Overall Max. 90 Max PS+ 1 Details Submit by in 7 months Expiry in 7 months Coins Cost Free Points Cost Free</t>
        </is>
      </c>
      <c r="CZ62" t="inlineStr">
        <is>
          <t>Intercept+</t>
        </is>
      </c>
      <c r="DA62"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3">
      <c r="A63" t="inlineStr">
        <is>
          <t>Reward</t>
        </is>
      </c>
      <c r="B63" t="inlineStr">
        <is>
          <t>Premium Season Pass</t>
        </is>
      </c>
      <c r="C63" t="inlineStr">
        <is>
          <t>Architect of Play [SP+ 4] - EA SPORTS FC 26</t>
        </is>
      </c>
      <c r="D63" t="inlineStr">
        <is>
          <t>https://www.fut.gg/evolutions/1789-architect-of-play-sp-4/</t>
        </is>
      </c>
      <c r="G63" t="inlineStr">
        <is>
          <t>89</t>
        </is>
      </c>
      <c r="K63" t="inlineStr">
        <is>
          <t>World Tour Silver Stars</t>
        </is>
      </c>
      <c r="L63" t="inlineStr">
        <is>
          <t>World Tour Silver Stars</t>
        </is>
      </c>
      <c r="S63" t="inlineStr">
        <is>
          <t>8</t>
        </is>
      </c>
      <c r="CW63" t="inlineStr">
        <is>
          <t>9 Level 1 Prinz 89 ST PAC 91 SHO 90 PAS 80 DRI 88 DEF 53 PHY 91 R 4 ★ 4 Prinz 89 ST PAC 91 SHO 90 PAS 80 DRI 88 DEF 53 PHY 91 R 4 ★ 4 UPGRADES 9</t>
        </is>
      </c>
      <c r="CX63" t="inlineStr">
        <is>
          <t>Excluded Rarity World Tour Silver Stars Overall Max. 89 Max PS 8 Details Submit by in 5 months Expiry 4 days ago Coins Cost Free Points Cost Free</t>
        </is>
      </c>
      <c r="CY63" t="inlineStr">
        <is>
          <t>Excluded Rarity World Tour Silver Stars Overall Max. 89 Max PS 8 Details Submit by in 5 months Expiry 4 days ago Coins Cost Free Points Cost Free</t>
        </is>
      </c>
      <c r="CZ63" t="inlineStr">
        <is>
          <t>Architect of Play [SP+ 4] 2</t>
        </is>
      </c>
      <c r="DA63"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4 days ago 91% 9%</t>
        </is>
      </c>
    </row>
    <row r="64">
      <c r="A64" t="inlineStr">
        <is>
          <t>Reward</t>
        </is>
      </c>
      <c r="B64" t="inlineStr">
        <is>
          <t>Standard Season Pass</t>
        </is>
      </c>
      <c r="C64" t="inlineStr">
        <is>
          <t>Make Your Idol - Tiki Taka+ [SP 3] - EA SPORTS FC 26</t>
        </is>
      </c>
      <c r="D64" t="inlineStr">
        <is>
          <t>https://www.fut.gg/evolutions/1790-make-your-idol-tiki-taka-sp-3/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5 months Expiry 4 days ago Coins Cost Free Points Cost Free</t>
        </is>
      </c>
      <c r="CY64" t="inlineStr">
        <is>
          <t>Rarity Choose Your Idol Overall Min. 87 Overall Max. 87 Max PS+ 0 Details Submit by in 5 months Expiry 4 days ago Coins Cost Free Points Cost Free</t>
        </is>
      </c>
      <c r="CZ64" t="inlineStr">
        <is>
          <t>Make Your Idol - Tiki Taka+ [SP 3]</t>
        </is>
      </c>
      <c r="DA64" t="inlineStr">
        <is>
          <t>Make Your Idol - Tiki Taka+ [SP 3] Unlocked by reaching level 3 in the Standard Season Pass. REQUIREMENTS Rarity Choose Your Idol Overall Min. 87 Overall Max. 87 Max PS+ 0 UPGRADES 1 in 5 months 4 days ago 69% 31%</t>
        </is>
      </c>
    </row>
    <row r="65">
      <c r="A65" t="inlineStr">
        <is>
          <t>Reward</t>
        </is>
      </c>
      <c r="B65" t="inlineStr">
        <is>
          <t>Standard Season Pass</t>
        </is>
      </c>
      <c r="C65" t="inlineStr">
        <is>
          <t>Make Your Idol - Incisive Pass+ [SP 3] - EA SPORTS FC 26</t>
        </is>
      </c>
      <c r="D65" t="inlineStr">
        <is>
          <t>https://www.fut.gg/evolutions/1791-make-your-idol-incisive-pass-sp-3/</t>
        </is>
      </c>
      <c r="G65" t="inlineStr">
        <is>
          <t>87</t>
        </is>
      </c>
      <c r="H65" t="inlineStr">
        <is>
          <t>87</t>
        </is>
      </c>
      <c r="K65" t="inlineStr">
        <is>
          <t>Choose Your Idol</t>
        </is>
      </c>
      <c r="T65" t="inlineStr">
        <is>
          <t>0</t>
        </is>
      </c>
      <c r="CW65" t="inlineStr">
        <is>
          <t>1 Level 1 UPGRADES 1</t>
        </is>
      </c>
      <c r="CX65" t="inlineStr">
        <is>
          <t>Rarity Choose Your Idol Overall Min. 87 Overall Max. 87 Max PS+ 0 Details Submit by in 5 months Expiry 4 days ago Coins Cost Free Points Cost Free</t>
        </is>
      </c>
      <c r="CY65" t="inlineStr">
        <is>
          <t>Rarity Choose Your Idol Overall Min. 87 Overall Max. 87 Max PS+ 0 Details Submit by in 5 months Expiry 4 days ago Coins Cost Free Points Cost Free</t>
        </is>
      </c>
      <c r="CZ65" t="inlineStr">
        <is>
          <t>Make Your Idol - Incisive Pass+ [SP 3]</t>
        </is>
      </c>
      <c r="DA65" t="inlineStr">
        <is>
          <t>Make Your Idol - Incisive Pass+ [SP 3] Unlocked by reaching level 3 in the Standard Season Pass. REQUIREMENTS Rarity Choose Your Idol Overall Min. 87 Overall Max. 87 Max PS+ 0 UPGRADES 1 in 5 months 4 days ago 68% 32%</t>
        </is>
      </c>
    </row>
    <row r="66">
      <c r="A66" t="inlineStr">
        <is>
          <t>Reward</t>
        </is>
      </c>
      <c r="B66" t="inlineStr">
        <is>
          <t>Standard Season Pass</t>
        </is>
      </c>
      <c r="C66" t="inlineStr">
        <is>
          <t>Make Your Idol - Low Driven+ [SP 3] - EA SPORTS FC 26</t>
        </is>
      </c>
      <c r="D66" t="inlineStr">
        <is>
          <t>https://www.fut.gg/evolutions/1792-make-your-idol-low-driven-sp-3/</t>
        </is>
      </c>
      <c r="G66" t="inlineStr">
        <is>
          <t>87</t>
        </is>
      </c>
      <c r="H66" t="inlineStr">
        <is>
          <t>87</t>
        </is>
      </c>
      <c r="K66" t="inlineStr">
        <is>
          <t>Choose Your Idol</t>
        </is>
      </c>
      <c r="T66" t="inlineStr">
        <is>
          <t>0</t>
        </is>
      </c>
      <c r="CW66" t="inlineStr">
        <is>
          <t>1 Level 1 UPGRADES 1</t>
        </is>
      </c>
      <c r="CX66" t="inlineStr">
        <is>
          <t>Rarity Choose Your Idol Overall Min. 87 Overall Max. 87 Max PS+ 0 Details Submit by in 5 months Expiry 4 days ago Coins Cost Free Points Cost Free</t>
        </is>
      </c>
      <c r="CY66" t="inlineStr">
        <is>
          <t>Rarity Choose Your Idol Overall Min. 87 Overall Max. 87 Max PS+ 0 Details Submit by in 5 months Expiry 4 days ago Coins Cost Free Points Cost Free</t>
        </is>
      </c>
      <c r="CZ66" t="inlineStr">
        <is>
          <t>Make Your Idol - Low Driven+ [SP 3]</t>
        </is>
      </c>
      <c r="DA66" t="inlineStr">
        <is>
          <t>Make Your Idol - Low Driven+ [SP 3] Unlocked by reaching level 3 in the Standard Season Pass. REQUIREMENTS Rarity Choose Your Idol Overall Min. 87 Overall Max. 87 Max PS+ 0 UPGRADES 1 in 5 months 4 days ago 26% 74%</t>
        </is>
      </c>
    </row>
    <row r="67">
      <c r="A67" t="inlineStr">
        <is>
          <t>Reward</t>
        </is>
      </c>
      <c r="B67" t="inlineStr">
        <is>
          <t>Standard Season Pass</t>
        </is>
      </c>
      <c r="C67" t="inlineStr">
        <is>
          <t>Make Your Idol - Technical+ [SP 3] - EA SPORTS FC 26</t>
        </is>
      </c>
      <c r="D67" t="inlineStr">
        <is>
          <t>https://www.fut.gg/evolutions/1793-make-your-idol-technical-sp-3/</t>
        </is>
      </c>
      <c r="G67" t="inlineStr">
        <is>
          <t>87</t>
        </is>
      </c>
      <c r="H67" t="inlineStr">
        <is>
          <t>87</t>
        </is>
      </c>
      <c r="K67" t="inlineStr">
        <is>
          <t>Choose Your Idol</t>
        </is>
      </c>
      <c r="T67" t="inlineStr">
        <is>
          <t>0</t>
        </is>
      </c>
      <c r="CW67" t="inlineStr">
        <is>
          <t>1 Level 1 UPGRADES 1</t>
        </is>
      </c>
      <c r="CX67" t="inlineStr">
        <is>
          <t>Rarity Choose Your Idol Overall Min. 87 Overall Max. 87 Max PS+ 0 Details Submit by in 5 months Expiry 4 days ago Coins Cost Free Points Cost Free</t>
        </is>
      </c>
      <c r="CY67" t="inlineStr">
        <is>
          <t>Rarity Choose Your Idol Overall Min. 87 Overall Max. 87 Max PS+ 0 Details Submit by in 5 months Expiry 4 days ago Coins Cost Free Points Cost Free</t>
        </is>
      </c>
      <c r="CZ67" t="inlineStr">
        <is>
          <t>Make Your Idol - Technical+ [SP 3]</t>
        </is>
      </c>
      <c r="DA67" t="inlineStr">
        <is>
          <t>Make Your Idol - Technical+ [SP 3] Unlocked by reaching level 3 in the Standard Season Pass. REQUIREMENTS Rarity Choose Your Idol Overall Min. 87 Overall Max. 87 Max PS+ 0 UPGRADES 1 in 5 months 4 days ago 29% 71%</t>
        </is>
      </c>
    </row>
    <row r="68">
      <c r="A68" t="inlineStr">
        <is>
          <t>Reward</t>
        </is>
      </c>
      <c r="B68" t="inlineStr">
        <is>
          <t>Standard Season Pass</t>
        </is>
      </c>
      <c r="C68" t="inlineStr">
        <is>
          <t>Make Your Idol - Jockey+ [SP 3] - EA SPORTS FC 26</t>
        </is>
      </c>
      <c r="D68" t="inlineStr">
        <is>
          <t>https://www.fut.gg/evolutions/1794-make-your-idol-jockey-sp-3/</t>
        </is>
      </c>
      <c r="G68" t="inlineStr">
        <is>
          <t>87</t>
        </is>
      </c>
      <c r="H68" t="inlineStr">
        <is>
          <t>87</t>
        </is>
      </c>
      <c r="K68" t="inlineStr">
        <is>
          <t>Choose Your Idol</t>
        </is>
      </c>
      <c r="T68" t="inlineStr">
        <is>
          <t>0</t>
        </is>
      </c>
      <c r="CW68" t="inlineStr">
        <is>
          <t>1 Level 1 UPGRADES 1</t>
        </is>
      </c>
      <c r="CX68" t="inlineStr">
        <is>
          <t>Rarity Choose Your Idol Overall Min. 87 Overall Max. 87 Max PS+ 0 Details Submit by in 5 months Expiry 4 days ago Coins Cost Free Points Cost Free</t>
        </is>
      </c>
      <c r="CY68" t="inlineStr">
        <is>
          <t>Rarity Choose Your Idol Overall Min. 87 Overall Max. 87 Max PS+ 0 Details Submit by in 5 months Expiry 4 days ago Coins Cost Free Points Cost Free</t>
        </is>
      </c>
      <c r="CZ68" t="inlineStr">
        <is>
          <t>Make Your Idol - Jockey+ [SP 3]</t>
        </is>
      </c>
      <c r="DA68" t="inlineStr">
        <is>
          <t>Make Your Idol - Jockey+ [SP 3] Unlocked by reaching level 3 in the Standard Season Pass. REQUIREMENTS Rarity Choose Your Idol Overall Min. 87 Overall Max. 87 Max PS+ 0 UPGRADES 1 in 5 months 4 days ago 25% 75%</t>
        </is>
      </c>
    </row>
    <row r="69">
      <c r="A69" t="inlineStr">
        <is>
          <t>Reward</t>
        </is>
      </c>
      <c r="B69" t="inlineStr">
        <is>
          <t>Standard Season Pass</t>
        </is>
      </c>
      <c r="C69" t="inlineStr">
        <is>
          <t>Make Your Idol - Intercept+ [SP 3] - EA SPORTS FC 26</t>
        </is>
      </c>
      <c r="D69" t="inlineStr">
        <is>
          <t>https://www.fut.gg/evolutions/1795-make-your-idol-intercept-sp-3/</t>
        </is>
      </c>
      <c r="G69" t="inlineStr">
        <is>
          <t>87</t>
        </is>
      </c>
      <c r="H69" t="inlineStr">
        <is>
          <t>87</t>
        </is>
      </c>
      <c r="K69" t="inlineStr">
        <is>
          <t>Choose Your Idol</t>
        </is>
      </c>
      <c r="T69" t="inlineStr">
        <is>
          <t>0</t>
        </is>
      </c>
      <c r="CW69" t="inlineStr">
        <is>
          <t>1 Level 1 UPGRADES 1</t>
        </is>
      </c>
      <c r="CX69" t="inlineStr">
        <is>
          <t>Rarity Choose Your Idol Overall Min. 87 Overall Max. 87 Max PS+ 0 Details Submit by in 5 months Expiry 4 days ago Coins Cost Free Points Cost Free</t>
        </is>
      </c>
      <c r="CY69" t="inlineStr">
        <is>
          <t>Rarity Choose Your Idol Overall Min. 87 Overall Max. 87 Max PS+ 0 Details Submit by in 5 months Expiry 4 days ago Coins Cost Free Points Cost Free</t>
        </is>
      </c>
      <c r="CZ69" t="inlineStr">
        <is>
          <t>Make Your Idol - Intercept+ [SP 3]</t>
        </is>
      </c>
      <c r="DA69" t="inlineStr">
        <is>
          <t>Make Your Idol - Intercept+ [SP 3] Unlocked by reaching level 3 in the Standard Season Pass. REQUIREMENTS Rarity Choose Your Idol Overall Min. 87 Overall Max. 87 Max PS+ 0 UPGRADES 1 in 5 months 4 days ago 38% 62%</t>
        </is>
      </c>
    </row>
    <row r="70">
      <c r="A70" t="inlineStr">
        <is>
          <t>Reward</t>
        </is>
      </c>
      <c r="B70" t="inlineStr">
        <is>
          <t>Standard Season Pass</t>
        </is>
      </c>
      <c r="C70" t="inlineStr">
        <is>
          <t>Make Your Idol - Finesse Shot+ [SP 7] - EA SPORTS FC 26</t>
        </is>
      </c>
      <c r="D70" t="inlineStr">
        <is>
          <t>https://www.fut.gg/evolutions/1796-make-your-idol-finesse-shot-sp-7/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5 months Expiry 4 days ago Coins Cost Free Points Cost Free</t>
        </is>
      </c>
      <c r="CY70" t="inlineStr">
        <is>
          <t>Rarity Choose Your Idol Overall Min. 89 Overall Max. 89 Min PS+ 1 Max PS+ 2 Details Submit by in 5 months Expiry 4 days ago Coins Cost Free Points Cost Free</t>
        </is>
      </c>
      <c r="CZ70" t="inlineStr">
        <is>
          <t>Make Your Idol - Finesse Shot+ [SP 7]</t>
        </is>
      </c>
      <c r="DA70" t="inlineStr">
        <is>
          <t>Make Your Idol - Finesse Shot+ [SP 7] Unlocked by reaching level 7 in the Standard Season Pass. REQUIREMENTS Rarity Choose Your Idol Overall Min. 89 Overall Max. 89 Min PS+ 1 Max PS+ 2 UPGRADES 2 in 5 months 4 days ago 44% 56%</t>
        </is>
      </c>
    </row>
    <row r="71">
      <c r="A71" t="inlineStr">
        <is>
          <t>Reward</t>
        </is>
      </c>
      <c r="B71" t="inlineStr">
        <is>
          <t>Standard Season Pass</t>
        </is>
      </c>
      <c r="C71" t="inlineStr">
        <is>
          <t>Make Your Idol - First Touch+ [SP 7] - EA SPORTS FC 26</t>
        </is>
      </c>
      <c r="D71" t="inlineStr">
        <is>
          <t>https://www.fut.gg/evolutions/1797-make-your-idol-first-touch-sp-7/</t>
        </is>
      </c>
      <c r="G71" t="inlineStr">
        <is>
          <t>89</t>
        </is>
      </c>
      <c r="H71" t="inlineStr">
        <is>
          <t>89</t>
        </is>
      </c>
      <c r="K71" t="inlineStr">
        <is>
          <t>Choose Your Idol</t>
        </is>
      </c>
      <c r="T71" t="inlineStr">
        <is>
          <t>2</t>
        </is>
      </c>
      <c r="CW71" t="inlineStr">
        <is>
          <t>2 Level 1 UPGRADES 2</t>
        </is>
      </c>
      <c r="CX71" t="inlineStr">
        <is>
          <t>Rarity Choose Your Idol Overall Min. 89 Overall Max. 89 Min PS+ 1 Max PS+ 2 Details Submit by in 5 months Expiry 4 days ago Coins Cost Free Points Cost Free</t>
        </is>
      </c>
      <c r="CY71" t="inlineStr">
        <is>
          <t>Rarity Choose Your Idol Overall Min. 89 Overall Max. 89 Min PS+ 1 Max PS+ 2 Details Submit by in 5 months Expiry 4 days ago Coins Cost Free Points Cost Free</t>
        </is>
      </c>
      <c r="CZ71" t="inlineStr">
        <is>
          <t>Make Your Idol - First Touch+ [SP 7]</t>
        </is>
      </c>
      <c r="DA71" t="inlineStr">
        <is>
          <t>Make Your Idol - First Touch+ [SP 7] Unlocked by reaching level 7 in the Standard Season Pass. REQUIREMENTS Rarity Choose Your Idol Overall Min. 89 Overall Max. 89 Min PS+ 1 Max PS+ 2 UPGRADES 2 in 5 months 4 days ago 28% 72%</t>
        </is>
      </c>
    </row>
    <row r="72">
      <c r="A72" t="inlineStr">
        <is>
          <t>Reward</t>
        </is>
      </c>
      <c r="B72" t="inlineStr">
        <is>
          <t>Standard Season Pass</t>
        </is>
      </c>
      <c r="C72" t="inlineStr">
        <is>
          <t>Make Your Idol - Pinged Pass+ [SP 7] - EA SPORTS FC 26</t>
        </is>
      </c>
      <c r="D72" t="inlineStr">
        <is>
          <t>https://www.fut.gg/evolutions/1798-make-your-idol-pinged-pass-sp-7/</t>
        </is>
      </c>
      <c r="G72" t="inlineStr">
        <is>
          <t>89</t>
        </is>
      </c>
      <c r="H72" t="inlineStr">
        <is>
          <t>89</t>
        </is>
      </c>
      <c r="K72" t="inlineStr">
        <is>
          <t>Choose Your Idol</t>
        </is>
      </c>
      <c r="T72" t="inlineStr">
        <is>
          <t>2</t>
        </is>
      </c>
      <c r="CW72" t="inlineStr">
        <is>
          <t>2 Level 1 UPGRADES 2</t>
        </is>
      </c>
      <c r="CX72" t="inlineStr">
        <is>
          <t>Rarity Choose Your Idol Overall Min. 89 Overall Max. 89 Min PS+ 1 Max PS+ 2 Details Submit by in 5 months Expiry 4 days ago Coins Cost Free Points Cost Free</t>
        </is>
      </c>
      <c r="CY72" t="inlineStr">
        <is>
          <t>Rarity Choose Your Idol Overall Min. 89 Overall Max. 89 Min PS+ 1 Max PS+ 2 Details Submit by in 5 months Expiry 4 days ago Coins Cost Free Points Cost Free</t>
        </is>
      </c>
      <c r="CZ72" t="inlineStr">
        <is>
          <t>Make Your Idol - Pinged Pass+ [SP 7]</t>
        </is>
      </c>
      <c r="DA72" t="inlineStr">
        <is>
          <t>Make Your Idol - Pinged Pass+ [SP 7] Unlocked by reaching level 7 in the Standard Season Pass. REQUIREMENTS Rarity Choose Your Idol Overall Min. 89 Overall Max. 89 Min PS+ 1 Max PS+ 2 UPGRADES 2 in 5 months 4 days ago 33% 67%</t>
        </is>
      </c>
    </row>
    <row r="73">
      <c r="A73" t="inlineStr">
        <is>
          <t>Reward</t>
        </is>
      </c>
      <c r="B73" t="inlineStr">
        <is>
          <t>Standard Season Pass</t>
        </is>
      </c>
      <c r="C73" t="inlineStr">
        <is>
          <t>Make Your Idol - Rapid+ [SP 7] - EA SPORTS FC 26</t>
        </is>
      </c>
      <c r="D73" t="inlineStr">
        <is>
          <t>https://www.fut.gg/evolutions/1799-make-your-idol-rapid-sp-7/</t>
        </is>
      </c>
      <c r="G73" t="inlineStr">
        <is>
          <t>89</t>
        </is>
      </c>
      <c r="H73" t="inlineStr">
        <is>
          <t>89</t>
        </is>
      </c>
      <c r="K73" t="inlineStr">
        <is>
          <t>Choose Your Idol</t>
        </is>
      </c>
      <c r="T73" t="inlineStr">
        <is>
          <t>2</t>
        </is>
      </c>
      <c r="CW73" t="inlineStr">
        <is>
          <t>2 Level 1 UPGRADES 2</t>
        </is>
      </c>
      <c r="CX73" t="inlineStr">
        <is>
          <t>Rarity Choose Your Idol Overall Min. 89 Overall Max. 89 Min PS+ 1 Max PS+ 2 Details Submit by in 5 months Expiry 4 days ago Coins Cost Free Points Cost Free</t>
        </is>
      </c>
      <c r="CY73" t="inlineStr">
        <is>
          <t>Rarity Choose Your Idol Overall Min. 89 Overall Max. 89 Min PS+ 1 Max PS+ 2 Details Submit by in 5 months Expiry 4 days ago Coins Cost Free Points Cost Free</t>
        </is>
      </c>
      <c r="CZ73" t="inlineStr">
        <is>
          <t>Make Your Idol - Rapid+ [SP 7]</t>
        </is>
      </c>
      <c r="DA73" t="inlineStr">
        <is>
          <t>Make Your Idol - Rapid+ [SP 7] Unlocked by reaching level 7 in the Standard Season Pass. REQUIREMENTS Rarity Choose Your Idol Overall Min. 89 Overall Max. 89 Min PS+ 1 Max PS+ 2 UPGRADES 2 in 5 months 4 days ago 37% 63%</t>
        </is>
      </c>
    </row>
    <row r="74">
      <c r="A74" t="inlineStr">
        <is>
          <t>Reward</t>
        </is>
      </c>
      <c r="B74" t="inlineStr">
        <is>
          <t>Standard Season Pass</t>
        </is>
      </c>
      <c r="C74" t="inlineStr">
        <is>
          <t>Make Your Idol - Quick Step+ [SP 7] - EA SPORTS FC 26</t>
        </is>
      </c>
      <c r="D74" t="inlineStr">
        <is>
          <t>https://www.fut.gg/evolutions/1800-make-your-idol-quick-step-sp-7/</t>
        </is>
      </c>
      <c r="G74" t="inlineStr">
        <is>
          <t>89</t>
        </is>
      </c>
      <c r="H74" t="inlineStr">
        <is>
          <t>89</t>
        </is>
      </c>
      <c r="K74" t="inlineStr">
        <is>
          <t>Choose Your Idol</t>
        </is>
      </c>
      <c r="T74" t="inlineStr">
        <is>
          <t>2</t>
        </is>
      </c>
      <c r="CW74" t="inlineStr">
        <is>
          <t>2 Level 1 UPGRADES 2</t>
        </is>
      </c>
      <c r="CX74" t="inlineStr">
        <is>
          <t>Rarity Choose Your Idol Overall Min. 89 Overall Max. 89 Min PS+ 1 Max PS+ 2 Details Submit by in 5 months Expiry 4 days ago Coins Cost Free Points Cost Free</t>
        </is>
      </c>
      <c r="CY74" t="inlineStr">
        <is>
          <t>Rarity Choose Your Idol Overall Min. 89 Overall Max. 89 Min PS+ 1 Max PS+ 2 Details Submit by in 5 months Expiry 4 days ago Coins Cost Free Points Cost Free</t>
        </is>
      </c>
      <c r="CZ74" t="inlineStr">
        <is>
          <t>Make Your Idol - Quick Step+ [SP 7]</t>
        </is>
      </c>
      <c r="DA74" t="inlineStr">
        <is>
          <t>Make Your Idol - Quick Step+ [SP 7] Unlocked by reaching level 7 in the Standard Season Pass. REQUIREMENTS Rarity Choose Your Idol Overall Min. 89 Overall Max. 89 Min PS+ 1 Max PS+ 2 UPGRADES 2 in 5 months 4 days ago 37% 63%</t>
        </is>
      </c>
    </row>
    <row r="75">
      <c r="A75" t="inlineStr">
        <is>
          <t>Reward</t>
        </is>
      </c>
      <c r="B75" t="inlineStr">
        <is>
          <t>Standard Season Pass</t>
        </is>
      </c>
      <c r="C75" t="inlineStr">
        <is>
          <t>Make Your Idol - Anticipate+ [SP 7] - EA SPORTS FC 26</t>
        </is>
      </c>
      <c r="D75" t="inlineStr">
        <is>
          <t>https://www.fut.gg/evolutions/1801-make-your-idol-anticipate-sp-7/</t>
        </is>
      </c>
      <c r="G75" t="inlineStr">
        <is>
          <t>89</t>
        </is>
      </c>
      <c r="H75" t="inlineStr">
        <is>
          <t>89</t>
        </is>
      </c>
      <c r="K75" t="inlineStr">
        <is>
          <t>Choose Your Idol</t>
        </is>
      </c>
      <c r="T75" t="inlineStr">
        <is>
          <t>2</t>
        </is>
      </c>
      <c r="CW75" t="inlineStr">
        <is>
          <t>2 Level 1 UPGRADES 2</t>
        </is>
      </c>
      <c r="CX75" t="inlineStr">
        <is>
          <t>Rarity Choose Your Idol Overall Min. 89 Overall Max. 89 Min PS+ 1 Max PS+ 2 Details Submit by in 5 months Expiry 4 days ago Coins Cost Free Points Cost Free</t>
        </is>
      </c>
      <c r="CY75" t="inlineStr">
        <is>
          <t>Rarity Choose Your Idol Overall Min. 89 Overall Max. 89 Min PS+ 1 Max PS+ 2 Details Submit by in 5 months Expiry 4 days ago Coins Cost Free Points Cost Free</t>
        </is>
      </c>
      <c r="CZ75" t="inlineStr">
        <is>
          <t>Make Your Idol - Anticipate+ [SP 7]</t>
        </is>
      </c>
      <c r="DA75" t="inlineStr">
        <is>
          <t>Make Your Idol - Anticipate+ [SP 7] Unlocked by reaching level 7 in the Standard Season Pass. REQUIREMENTS Rarity Choose Your Idol Overall Min. 89 Overall Max. 89 Min PS+ 1 Max PS+ 2 UPGRADES 2 in 5 months 4 days ago 35% 65%</t>
        </is>
      </c>
    </row>
    <row r="76">
      <c r="A76" t="inlineStr">
        <is>
          <t>Reward</t>
        </is>
      </c>
      <c r="B76" t="inlineStr">
        <is>
          <t>Premium Season Pass</t>
        </is>
      </c>
      <c r="C76" t="inlineStr">
        <is>
          <t>Guardian of the Line [SP+ 10] - EA SPORTS FC 26</t>
        </is>
      </c>
      <c r="D76" t="inlineStr">
        <is>
          <t>https://www.fut.gg/evolutions/1784-guardian-of-the-line-sp-10/</t>
        </is>
      </c>
      <c r="G76" t="inlineStr">
        <is>
          <t>89</t>
        </is>
      </c>
      <c r="K76" t="inlineStr">
        <is>
          <t>World Tour Silver Stars</t>
        </is>
      </c>
      <c r="L76" t="inlineStr">
        <is>
          <t>World Tour Silver Stars</t>
        </is>
      </c>
      <c r="S76" t="inlineStr">
        <is>
          <t>8</t>
        </is>
      </c>
      <c r="CW76" t="inlineStr">
        <is>
          <t>9 Level 1 Bahoya 89 LM PAC 98 SHO 84 PAS 86 DRI 89 DEF 63 PHY 75 CAM ST LW R 5 ★ 5 Bahoya 89 LM PAC 98 SHO 84 PAS 86 DRI 89 DEF 63 PHY 75 CAM ST LW R 5 ★ 5 UPGRADES 9</t>
        </is>
      </c>
      <c r="CX76" t="inlineStr">
        <is>
          <t>Excluded Rarity World Tour Silver Stars Overall Max. 89 Max PS 8 Details Submit by in 5 months Expiry 4 days ago Coins Cost Free Points Cost Free</t>
        </is>
      </c>
      <c r="CY76" t="inlineStr">
        <is>
          <t>Excluded Rarity World Tour Silver Stars Overall Max. 89 Max PS 8 Details Submit by in 5 months Expiry 4 days ago Coins Cost Free Points Cost Free</t>
        </is>
      </c>
      <c r="CZ76" t="inlineStr">
        <is>
          <t>Guardian of the Line [SP+ 10] 2</t>
        </is>
      </c>
      <c r="DA76"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4 days ago 89% 11%</t>
        </is>
      </c>
    </row>
    <row r="77">
      <c r="A77" t="inlineStr">
        <is>
          <t>Reward</t>
        </is>
      </c>
      <c r="B77" t="inlineStr">
        <is>
          <t>Premium Season Pass</t>
        </is>
      </c>
      <c r="C77" t="inlineStr">
        <is>
          <t>Up to Speed [SP+ 26] - EA SPORTS FC 26</t>
        </is>
      </c>
      <c r="D77" t="inlineStr">
        <is>
          <t>https://www.fut.gg/evolutions/1783-up-to-speed-sp-26/</t>
        </is>
      </c>
      <c r="G77" t="inlineStr">
        <is>
          <t>89</t>
        </is>
      </c>
      <c r="K77" t="inlineStr">
        <is>
          <t>World Tour Silver Stars</t>
        </is>
      </c>
      <c r="L77" t="inlineStr">
        <is>
          <t>World Tour Silver Stars</t>
        </is>
      </c>
      <c r="S77" t="inlineStr">
        <is>
          <t>10</t>
        </is>
      </c>
      <c r="T77" t="inlineStr">
        <is>
          <t>2</t>
        </is>
      </c>
      <c r="X77" t="n">
        <v>4</v>
      </c>
      <c r="Z77" t="n">
        <v>4</v>
      </c>
      <c r="AA77" t="n">
        <v>91</v>
      </c>
      <c r="AF77" t="n">
        <v>4</v>
      </c>
      <c r="AG77" t="n">
        <v>91</v>
      </c>
      <c r="AP77" t="n">
        <v>16</v>
      </c>
      <c r="AQ77" t="n">
        <v>92</v>
      </c>
      <c r="AR77" t="n">
        <v>8</v>
      </c>
      <c r="AS77" t="n">
        <v>92</v>
      </c>
      <c r="AT77" t="n">
        <v>8</v>
      </c>
      <c r="AU77" t="n">
        <v>92</v>
      </c>
      <c r="AX77" t="n">
        <v>16</v>
      </c>
      <c r="AY77" t="n">
        <v>91</v>
      </c>
      <c r="BB77" t="n">
        <v>4</v>
      </c>
      <c r="BC77" t="n">
        <v>91</v>
      </c>
      <c r="BH77" t="n">
        <v>4</v>
      </c>
      <c r="BI77" t="n">
        <v>92</v>
      </c>
      <c r="BL77" t="n">
        <v>8</v>
      </c>
      <c r="BM77" t="n">
        <v>92</v>
      </c>
      <c r="CW77" t="inlineStr">
        <is>
          <t>+2 OVR +4 PAC 91 +4 DRI 91 +8 Positioning 92 +8 Volleys 91 +4 Curve 92 +8 Shot Power 92 +4 Vision 91 +8 Finishing 92 +4 Short Pass 92 2 9 Level 1 Amaiur Sarriegi 89 ST PAC 94 SHO 88 PAS 86 DRI 92 DEF 56 PHY 89 RM RW LW R 4 ★ 4 Amaiur Sarriegi 91 ST PAC 94 SHO 89 PAS 86 DRI 92 DEF 56 PHY 89 RM RW LW R 4 ★ 4 UPGRADES +2 OVR +8 Positioning 92 +8 Volleys 91 +4 Curve 92 9</t>
        </is>
      </c>
      <c r="CX77" t="inlineStr">
        <is>
          <t>Excluded Rarity World Tour Silver Stars Overall Max. 89 Max PS 10 Max PS+ 2 Details Submit by in 5 months Expiry 4 days ago Coins Cost Free Points Cost Free</t>
        </is>
      </c>
      <c r="CY77" t="inlineStr">
        <is>
          <t>Excluded Rarity World Tour Silver Stars Overall Max. 89 Max PS 10 Max PS+ 2 Details Submit by in 5 months Expiry 4 days ago Coins Cost Free Points Cost Free</t>
        </is>
      </c>
      <c r="CZ77" t="inlineStr">
        <is>
          <t>Up to Speed [SP+ 26]</t>
        </is>
      </c>
      <c r="DA77"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4 days ago 85% 15%</t>
        </is>
      </c>
    </row>
    <row r="78">
      <c r="A78" t="inlineStr">
        <is>
          <t>Reward</t>
        </is>
      </c>
      <c r="B78" t="inlineStr">
        <is>
          <t>Standard Season Pass</t>
        </is>
      </c>
      <c r="C78" t="inlineStr">
        <is>
          <t>Fantasy Captain ICON [SP 27] - EA SPORTS FC 26</t>
        </is>
      </c>
      <c r="D78" t="inlineStr">
        <is>
          <t>https://www.fut.gg/evolutions/1782-fantasy-captain-icon-sp-27/</t>
        </is>
      </c>
      <c r="K78" t="inlineStr">
        <is>
          <t>World Tour Silver Stars Details Submit by in 5 months Expiry 4 days ago Coins Cost Free Points Cost Free</t>
        </is>
      </c>
      <c r="L78" t="inlineStr">
        <is>
          <t>World Tour Silver Stars Details Submit by in 5 months Expiry 4 days ago Coins Cost Free Points Cost Free</t>
        </is>
      </c>
      <c r="CW78" t="inlineStr">
        <is>
          <t>No upgrades Level 1 Shaw 97 ST PAC 95 SHO 97 PAS 84 DRI 91 DEF 40 PHY 92 R 4 ★ 5 Shaw 97 ST PAC 95 SHO 97 PAS 84 DRI 91 DEF 40 PHY 92 R 4 ★ 5 UPGRADES No upgrades</t>
        </is>
      </c>
      <c r="CX78" t="inlineStr">
        <is>
          <t>Excluded Rarity World Tour Silver Stars Details Submit by in 5 months Expiry 4 days ago Coins Cost Free Points Cost Free</t>
        </is>
      </c>
      <c r="CY78" t="inlineStr">
        <is>
          <t>Excluded Rarity World Tour Silver Stars Details Submit by in 5 months Expiry 4 days ago Coins Cost Free Points Cost Free</t>
        </is>
      </c>
      <c r="CZ78" t="inlineStr">
        <is>
          <t>Fantasy Captain ICON [SP 27]</t>
        </is>
      </c>
      <c r="DA78"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4 days ago 96% 4%</t>
        </is>
      </c>
    </row>
    <row r="79">
      <c r="A79" t="inlineStr">
        <is>
          <t>Reward</t>
        </is>
      </c>
      <c r="B79" t="inlineStr">
        <is>
          <t>Standard Season Pass</t>
        </is>
      </c>
      <c r="C79" t="inlineStr">
        <is>
          <t>Season Ladder Excellence [SP 15] - EA SPORTS FC 26</t>
        </is>
      </c>
      <c r="D79" t="inlineStr">
        <is>
          <t>https://www.fut.gg/evolutions/1781-season-ladder-excellence-sp-15/</t>
        </is>
      </c>
      <c r="K79" t="inlineStr">
        <is>
          <t>World Tour Silver Stars Details Submit by in 5 months Expiry 4 days ago Coins Cost Free Points Cost Free</t>
        </is>
      </c>
      <c r="L79" t="inlineStr">
        <is>
          <t>World Tour Silver Stars Details Submit by in 5 months Expiry 4 days ago Coins Cost Free Points Cost Free</t>
        </is>
      </c>
      <c r="CW79" t="inlineStr">
        <is>
          <t>No upgrades Level 1 Shaw 97 ST PAC 95 SHO 97 PAS 84 DRI 91 DEF 40 PHY 92 R 4 ★ 5 Shaw 97 ST PAC 95 SHO 97 PAS 84 DRI 91 DEF 40 PHY 92 R 4 ★ 5 UPGRADES No upgrades</t>
        </is>
      </c>
      <c r="CX79" t="inlineStr">
        <is>
          <t>Excluded Rarity World Tour Silver Stars Details Submit by in 5 months Expiry 4 days ago Coins Cost Free Points Cost Free</t>
        </is>
      </c>
      <c r="CY79" t="inlineStr">
        <is>
          <t>Excluded Rarity World Tour Silver Stars Details Submit by in 5 months Expiry 4 days ago Coins Cost Free Points Cost Free</t>
        </is>
      </c>
      <c r="CZ79" t="inlineStr">
        <is>
          <t>Season Ladder Excellence [SP 15]</t>
        </is>
      </c>
      <c r="DA79"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4 days ago 39% 61%</t>
        </is>
      </c>
    </row>
    <row r="80">
      <c r="A80" t="inlineStr">
        <is>
          <t>Reward</t>
        </is>
      </c>
      <c r="B80" t="inlineStr">
        <is>
          <t>Premium Season Pass</t>
        </is>
      </c>
      <c r="C80" t="inlineStr">
        <is>
          <t>Pinged Pass+ [SP+ 28] - EA SPORTS FC 26</t>
        </is>
      </c>
      <c r="D80" t="inlineStr">
        <is>
          <t>https://www.fut.gg/evolutions/1774-pinged-pass-sp-28/</t>
        </is>
      </c>
      <c r="G80" t="inlineStr">
        <is>
          <t>90</t>
        </is>
      </c>
      <c r="K80" t="inlineStr">
        <is>
          <t>World Tour Silver Stars</t>
        </is>
      </c>
      <c r="L80" t="inlineStr">
        <is>
          <t>World Tour Silver Stars</t>
        </is>
      </c>
      <c r="T80" t="inlineStr">
        <is>
          <t>2</t>
        </is>
      </c>
      <c r="CW80" t="inlineStr">
        <is>
          <t>3 Level 1 Dumornay 90 ST PAC 96 SHO 90 PAS 85 DRI 90 DEF 66 PHY 80 CAM R 5 ★ 5 Dumornay 90 ST PAC 96 SHO 90 PAS 85 DRI 90 DEF 66 PHY 80 CAM R 5 ★ 5 UPGRADES 3</t>
        </is>
      </c>
      <c r="CX80" t="inlineStr">
        <is>
          <t>Excluded Rarity World Tour Silver Stars Overall Max. 90 Max PS+ 2 Details Submit by in 5 months Expiry 4 days ago Coins Cost Free Points Cost Free</t>
        </is>
      </c>
      <c r="CY80" t="inlineStr">
        <is>
          <t>Excluded Rarity World Tour Silver Stars Overall Max. 90 Max PS+ 2 Details Submit by in 5 months Expiry 4 days ago Coins Cost Free Points Cost Free</t>
        </is>
      </c>
      <c r="CZ80" t="inlineStr">
        <is>
          <t>Pinged Pass+ [SP+ 28]</t>
        </is>
      </c>
      <c r="DA80"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4 days ago 95% 5%</t>
        </is>
      </c>
    </row>
    <row r="81">
      <c r="A81" t="inlineStr">
        <is>
          <t>Reward</t>
        </is>
      </c>
      <c r="B81" t="inlineStr">
        <is>
          <t>Premium Season Pass</t>
        </is>
      </c>
      <c r="C81" t="inlineStr">
        <is>
          <t>Relentless+ [SP+ 27] - EA SPORTS FC 26</t>
        </is>
      </c>
      <c r="D81" t="inlineStr">
        <is>
          <t>https://www.fut.gg/evolutions/1773-relentless-sp-27/</t>
        </is>
      </c>
      <c r="G81" t="inlineStr">
        <is>
          <t>89</t>
        </is>
      </c>
      <c r="K81" t="inlineStr">
        <is>
          <t>World Tour Silver Stars</t>
        </is>
      </c>
      <c r="L81" t="inlineStr">
        <is>
          <t>World Tour Silver Stars</t>
        </is>
      </c>
      <c r="T81" t="inlineStr">
        <is>
          <t>2</t>
        </is>
      </c>
      <c r="CW81" t="inlineStr">
        <is>
          <t>3 Level 1 Francisco Conceição 89 RM PAC 93 SHO 86 PAS 87 DRI 91 DEF 45 PHY 70 CAM RW L 4 ★ 3 Francisco Conceição 89 RM PAC 93 SHO 86 PAS 87 DRI 91 DEF 45 PHY 70 CAM RW L 4 ★ 3 UPGRADES 3</t>
        </is>
      </c>
      <c r="CX81" t="inlineStr">
        <is>
          <t>Excluded Rarity World Tour Silver Stars Overall Max. 89 Max PS+ 2 Details Submit by in 5 months Expiry 4 days ago Coins Cost Free Points Cost Free</t>
        </is>
      </c>
      <c r="CY81" t="inlineStr">
        <is>
          <t>Excluded Rarity World Tour Silver Stars Overall Max. 89 Max PS+ 2 Details Submit by in 5 months Expiry 4 days ago Coins Cost Free Points Cost Free</t>
        </is>
      </c>
      <c r="CZ81" t="inlineStr">
        <is>
          <t>Relentless+ [SP+ 27]</t>
        </is>
      </c>
      <c r="DA81"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4 days ago 14% 86%</t>
        </is>
      </c>
    </row>
    <row r="82">
      <c r="A82" t="inlineStr">
        <is>
          <t>Reward</t>
        </is>
      </c>
      <c r="B82" t="inlineStr">
        <is>
          <t>Premium Season Pass</t>
        </is>
      </c>
      <c r="C82" t="inlineStr">
        <is>
          <t>Dish 'em Out [SP+ 1] - EA SPORTS FC 26</t>
        </is>
      </c>
      <c r="D82" t="inlineStr">
        <is>
          <t>https://www.fut.gg/evolutions/1772-dish-em-out-sp-1/</t>
        </is>
      </c>
      <c r="G82" t="inlineStr">
        <is>
          <t>89</t>
        </is>
      </c>
      <c r="K82" t="inlineStr">
        <is>
          <t>World Tour Silver Stars</t>
        </is>
      </c>
      <c r="L82" t="inlineStr">
        <is>
          <t>World Tour Silver Stars</t>
        </is>
      </c>
      <c r="S82" t="inlineStr">
        <is>
          <t>10</t>
        </is>
      </c>
      <c r="X82" t="n">
        <v>2</v>
      </c>
      <c r="BB82" t="n">
        <v>20</v>
      </c>
      <c r="BC82" t="n">
        <v>92</v>
      </c>
      <c r="BJ82" t="n">
        <v>20</v>
      </c>
      <c r="BK82" t="n">
        <v>92</v>
      </c>
      <c r="BL82" t="n">
        <v>20</v>
      </c>
      <c r="BM82" t="n">
        <v>92</v>
      </c>
      <c r="BX82" t="n">
        <v>20</v>
      </c>
      <c r="BY82" t="n">
        <v>91</v>
      </c>
      <c r="CD82" t="n">
        <v>20</v>
      </c>
      <c r="CE82" t="n">
        <v>91</v>
      </c>
      <c r="CW82" t="inlineStr">
        <is>
          <t>+1 OVR +10 Vision 92 +10 Long Pass 92 +10 Curve 92 +10 Composure 91 +10 Defensive Awareness 91 9 Level 1 Kerolin Nicoli 89 RM PAC 91 SHO 86 PAS 85 DRI 90 DEF 52 PHY 86 RW ST R 5 ★ 5 Kerolin Nicoli 90 RM PAC 91 SHO 86 PAS 88 DRI 90 DEF 55 PHY 86 RW ST R 5 ★ 5 UPGRADES +1 OVR +10 Vision 92 +10 Long Pass 92 +10 Curve 92 +10 Composure 91 +10 Defensive Awareness 91 9</t>
        </is>
      </c>
      <c r="CX82" t="inlineStr">
        <is>
          <t>Excluded Rarity World Tour Silver Stars Overall Max. 89 Max PS 10 Details Submit by in 5 months Expiry 4 days ago Coins Cost Free Points Cost Free</t>
        </is>
      </c>
      <c r="CY82" t="inlineStr">
        <is>
          <t>Excluded Rarity World Tour Silver Stars Overall Max. 89 Max PS 10 Details Submit by in 5 months Expiry 4 days ago Coins Cost Free Points Cost Free</t>
        </is>
      </c>
      <c r="CZ82" t="inlineStr">
        <is>
          <t>Dish 'em Out [SP+ 1]</t>
        </is>
      </c>
      <c r="DA82"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4 days ago 92% 8%</t>
        </is>
      </c>
    </row>
    <row r="83">
      <c r="A83" t="inlineStr">
        <is>
          <t>Reward</t>
        </is>
      </c>
      <c r="B83" t="inlineStr">
        <is>
          <t>Standard Season Pass</t>
        </is>
      </c>
      <c r="C83" t="inlineStr">
        <is>
          <t>Locked &amp; Loaded [SP 25] - EA SPORTS FC 26</t>
        </is>
      </c>
      <c r="D83" t="inlineStr">
        <is>
          <t>https://www.fut.gg/evolutions/1771-locked-loaded-sp-25/</t>
        </is>
      </c>
      <c r="G83" t="inlineStr">
        <is>
          <t>88</t>
        </is>
      </c>
      <c r="K83" t="inlineStr">
        <is>
          <t>World Tour Silver Stars</t>
        </is>
      </c>
      <c r="L83" t="inlineStr">
        <is>
          <t>World Tour Silver Stars</t>
        </is>
      </c>
      <c r="S83" t="inlineStr">
        <is>
          <t>10</t>
        </is>
      </c>
      <c r="X83" t="n">
        <v>4</v>
      </c>
      <c r="AH83" t="n">
        <v>4</v>
      </c>
      <c r="AI83" t="n">
        <v>90</v>
      </c>
      <c r="AJ83" t="n">
        <v>4</v>
      </c>
      <c r="AK83" t="n">
        <v>91</v>
      </c>
      <c r="BB83" t="n">
        <v>12</v>
      </c>
      <c r="BC83" t="n">
        <v>92</v>
      </c>
      <c r="BH83" t="n">
        <v>12</v>
      </c>
      <c r="BI83" t="n">
        <v>92</v>
      </c>
      <c r="BL83" t="n">
        <v>12</v>
      </c>
      <c r="BM83" t="n">
        <v>89</v>
      </c>
      <c r="BR83" t="n">
        <v>12</v>
      </c>
      <c r="BS83" t="n">
        <v>90</v>
      </c>
      <c r="BT83" t="n">
        <v>12</v>
      </c>
      <c r="BU83" t="n">
        <v>90</v>
      </c>
      <c r="BX83" t="n">
        <v>6</v>
      </c>
      <c r="BY83" t="n">
        <v>90</v>
      </c>
      <c r="CW83" t="inlineStr">
        <is>
          <t>+2 OVR +4 DEF 90 +4 PHY 91 +6 Vision 92 +6 Short Pass 92 +6 Curve 89 +6 Reactions 90 +6 Ball Control 90 +6 Composure 90 9 Level 1 Claudia Pina 88 LW PAC 85 SHO 89 PAS 87 DRI 90 DEF 48 PHY 74 LM ST R 5 ★ 5 Claudia Pina 90 LW PAC 85 SHO 89 PAS 89 DRI 90 DEF 48 PHY 74 LM ST R 5 ★ 5 UPGRADES +2 OVR +6 Vision 92 +6 Short Pass 92 +6 Curve 89 +6 Reactions 90 +6 Ball Control 90</t>
        </is>
      </c>
      <c r="CX83" t="inlineStr">
        <is>
          <t>Excluded Rarity World Tour Silver Stars Overall Max. 88 Max PS 10 Details Submit by in 5 months Expiry 4 days ago Coins Cost Free Points Cost Free</t>
        </is>
      </c>
      <c r="CY83" t="inlineStr">
        <is>
          <t>Excluded Rarity World Tour Silver Stars Overall Max. 88 Max PS 10 Details Submit by in 5 months Expiry 4 days ago Coins Cost Free Points Cost Free</t>
        </is>
      </c>
      <c r="CZ83" t="inlineStr">
        <is>
          <t>Locked &amp; Loaded [SP 25]</t>
        </is>
      </c>
      <c r="DA83"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4 days ago 91% 9%</t>
        </is>
      </c>
    </row>
    <row r="84">
      <c r="A84" t="inlineStr">
        <is>
          <t>Reward</t>
        </is>
      </c>
      <c r="B84" t="inlineStr">
        <is>
          <t>Standard Season Pass</t>
        </is>
      </c>
      <c r="C84" t="inlineStr">
        <is>
          <t>Goal Machine [SP 8] - EA SPORTS FC 26</t>
        </is>
      </c>
      <c r="D84" t="inlineStr">
        <is>
          <t>https://www.fut.gg/evolutions/1770-goal-machine-sp-8/</t>
        </is>
      </c>
      <c r="G84" t="inlineStr">
        <is>
          <t>88</t>
        </is>
      </c>
      <c r="K84" t="inlineStr">
        <is>
          <t>World Tour Silver Stars</t>
        </is>
      </c>
      <c r="L84" t="inlineStr">
        <is>
          <t>World Tour Silver Stars</t>
        </is>
      </c>
      <c r="AP84" t="n">
        <v>4</v>
      </c>
      <c r="AQ84" t="n">
        <v>90</v>
      </c>
      <c r="AR84" t="n">
        <v>4</v>
      </c>
      <c r="AS84" t="n">
        <v>90</v>
      </c>
      <c r="AV84" t="n">
        <v>4</v>
      </c>
      <c r="AW84" t="n">
        <v>90</v>
      </c>
      <c r="CW84" t="inlineStr">
        <is>
          <t>+2 Positioning 90 +2 Finishing 90 +2 Long Shots 90 Level 1 Ona Batlle 88 RB PAC 88 SHO 60 PAS 84 DRI 83 DEF 83 PHY 78 LB RM R 3 ★ 4 Ona Batlle 88 RB PAC 88 SHO 62 PAS 84 DRI 83 DEF 83 PHY 78 LB RM R 3 ★ 4 UPGRADES +2 Positioning 90 +2 Finishing 90 +2 Long Shots 90</t>
        </is>
      </c>
      <c r="CX84" t="inlineStr">
        <is>
          <t>Excluded Rarity World Tour Silver Stars Overall Max. 88 Details Submit by in 5 months Expiry 4 days ago Coins Cost Free Points Cost Free</t>
        </is>
      </c>
      <c r="CY84" t="inlineStr">
        <is>
          <t>Excluded Rarity World Tour Silver Stars Overall Max. 88 Details Submit by in 5 months Expiry 4 days ago Coins Cost Free Points Cost Free</t>
        </is>
      </c>
      <c r="CZ84" t="inlineStr">
        <is>
          <t>Goal Machine [SP 8] 5</t>
        </is>
      </c>
      <c r="DA84"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4 days ago 92% 8%</t>
        </is>
      </c>
    </row>
    <row r="85">
      <c r="A85" t="inlineStr">
        <is>
          <t>Reward</t>
        </is>
      </c>
      <c r="B85" t="inlineStr">
        <is>
          <t>Premium Season Pass</t>
        </is>
      </c>
      <c r="C85" t="inlineStr">
        <is>
          <t>Roadrunner [SP+ 24] - EA SPORTS FC 26</t>
        </is>
      </c>
      <c r="D85" t="inlineStr">
        <is>
          <t>https://www.fut.gg/evolutions/1769-roadrunner-sp-24/</t>
        </is>
      </c>
      <c r="G85" t="inlineStr">
        <is>
          <t>89</t>
        </is>
      </c>
      <c r="K85" t="inlineStr">
        <is>
          <t>World Tour Silver Stars</t>
        </is>
      </c>
      <c r="L85" t="inlineStr">
        <is>
          <t>World Tour Silver Stars</t>
        </is>
      </c>
      <c r="S85" t="inlineStr">
        <is>
          <t>10</t>
        </is>
      </c>
      <c r="X85" t="n">
        <v>4</v>
      </c>
      <c r="Z85" t="n">
        <v>14</v>
      </c>
      <c r="AA85" t="n">
        <v>90</v>
      </c>
      <c r="AF85" t="n">
        <v>14</v>
      </c>
      <c r="AG85" t="n">
        <v>91</v>
      </c>
      <c r="CW85" t="inlineStr">
        <is>
          <t>+2 OVR +7 PAC 90 +7 DRI 91 9 Level 1 Amaiur Sarriegi 89 ST PAC 94 SHO 88 PAS 86 DRI 92 DEF 56 PHY 89 RM RW LW R 4 ★ 4 Amaiur Sarriegi 91 ST PAC 94 SHO 88 PAS 86 DRI 92 DEF 56 PHY 89 RM RW LW R 4 ★ 4 UPGRADES +2 OVR +7 PAC 90 +7 DRI 91 9</t>
        </is>
      </c>
      <c r="CX85" t="inlineStr">
        <is>
          <t>Excluded Rarity World Tour Silver Stars Overall Max. 89 Max PS 10 Details Submit by in 5 months Expiry 4 days ago Coins Cost Free Points Cost Free</t>
        </is>
      </c>
      <c r="CY85" t="inlineStr">
        <is>
          <t>Excluded Rarity World Tour Silver Stars Overall Max. 89 Max PS 10 Details Submit by in 5 months Expiry 4 days ago Coins Cost Free Points Cost Free</t>
        </is>
      </c>
      <c r="CZ85" t="inlineStr">
        <is>
          <t>Roadrunner [SP+ 24]</t>
        </is>
      </c>
      <c r="DA85"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4 days ago 84% 16%</t>
        </is>
      </c>
    </row>
    <row r="86">
      <c r="A86" t="inlineStr">
        <is>
          <t>Reward</t>
        </is>
      </c>
      <c r="B86" t="inlineStr">
        <is>
          <t>Premium Season Pass</t>
        </is>
      </c>
      <c r="C86" t="inlineStr">
        <is>
          <t>Sweep &amp; Supply [SP+ 18] - EA SPORTS FC 26</t>
        </is>
      </c>
      <c r="D86" t="inlineStr">
        <is>
          <t>https://www.fut.gg/evolutions/1768-sweep-supply-sp-18/</t>
        </is>
      </c>
      <c r="G86" t="inlineStr">
        <is>
          <t>89</t>
        </is>
      </c>
      <c r="K86" t="inlineStr">
        <is>
          <t>World Tour Silver Stars</t>
        </is>
      </c>
      <c r="L86" t="inlineStr">
        <is>
          <t>World Tour Silver Stars</t>
        </is>
      </c>
      <c r="S86" t="inlineStr">
        <is>
          <t>10</t>
        </is>
      </c>
      <c r="X86" t="n">
        <v>4</v>
      </c>
      <c r="AD86" t="n">
        <v>14</v>
      </c>
      <c r="AE86" t="n">
        <v>91</v>
      </c>
      <c r="AH86" t="n">
        <v>14</v>
      </c>
      <c r="AI86" t="n">
        <v>91</v>
      </c>
      <c r="CW86" t="inlineStr">
        <is>
          <t>+2 OVR +7 PAS 91 +7 DEF 91 9 Level 1 James 89 ST PAC 91 SHO 86 PAS 82 DRI 91 DEF 44 PHY 86 CAM R 4 ★ 5 James 91 ST PAC 91 SHO 86 PAS 90 DRI 91 DEF 51 PHY 86 CAM R 4 ★ 5 UPGRADES +2 OVR +7 PAS 91 +7 DEF 91 9</t>
        </is>
      </c>
      <c r="CX86" t="inlineStr">
        <is>
          <t>Excluded Rarity World Tour Silver Stars Overall Max. 89 Max PS 10 Details Submit by in 5 months Expiry 4 days ago Coins Cost Free Points Cost Free</t>
        </is>
      </c>
      <c r="CY86" t="inlineStr">
        <is>
          <t>Excluded Rarity World Tour Silver Stars Overall Max. 89 Max PS 10 Details Submit by in 5 months Expiry 4 days ago Coins Cost Free Points Cost Free</t>
        </is>
      </c>
      <c r="CZ86" t="inlineStr">
        <is>
          <t>Sweep &amp; Supply [SP+ 18]</t>
        </is>
      </c>
      <c r="DA86"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4 days ago 86% 14%</t>
        </is>
      </c>
    </row>
    <row r="87">
      <c r="A87" t="inlineStr">
        <is>
          <t>Reward</t>
        </is>
      </c>
      <c r="B87" t="inlineStr">
        <is>
          <t>Objective</t>
        </is>
      </c>
      <c r="C87" t="inlineStr">
        <is>
          <t>Quick Step+ - EA SPORTS FC 26</t>
        </is>
      </c>
      <c r="D87" t="inlineStr">
        <is>
          <t>https://www.fut.gg/evolutions/1762-quick-step/</t>
        </is>
      </c>
      <c r="G87" t="inlineStr">
        <is>
          <t>90</t>
        </is>
      </c>
      <c r="K87" t="inlineStr">
        <is>
          <t>World Tour Silver Stars</t>
        </is>
      </c>
      <c r="L87" t="inlineStr">
        <is>
          <t>World Tour Silver Stars</t>
        </is>
      </c>
      <c r="T87" t="inlineStr">
        <is>
          <t>1</t>
        </is>
      </c>
      <c r="CW87" t="inlineStr">
        <is>
          <t>2 Level 1 Karchaoui 90 CM PAC 92 SHO 82 PAS 90 DRI 91 DEF 85 PHY 74 LB CAM LW L 5 ★ 4 Karchaoui 90 CM PAC 92 SHO 82 PAS 90 DRI 91 DEF 85 PHY 74 LB CAM LW L 5 ★ 4 UPGRADES 2</t>
        </is>
      </c>
      <c r="CX87" t="inlineStr">
        <is>
          <t>Excluded Rarity World Tour Silver Stars Overall Max. 90 Max PS+ 1 Details Submit by in 8 months Expiry in 8 months Coins Cost Free Points Cost Free</t>
        </is>
      </c>
      <c r="CY87" t="inlineStr">
        <is>
          <t>Excluded Rarity World Tour Silver Stars Overall Max. 90 Max PS+ 1 Details Submit by in 8 months Expiry in 8 months Coins Cost Free Points Cost Free</t>
        </is>
      </c>
      <c r="CZ87" t="inlineStr">
        <is>
          <t>Quick Step+</t>
        </is>
      </c>
      <c r="DA87"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88">
      <c r="A88" t="inlineStr">
        <is>
          <t>Reward</t>
        </is>
      </c>
      <c r="B88" t="inlineStr">
        <is>
          <t>Objective</t>
        </is>
      </c>
      <c r="C88" t="inlineStr">
        <is>
          <t>Finesse Shot+ - EA SPORTS FC 26</t>
        </is>
      </c>
      <c r="D88" t="inlineStr">
        <is>
          <t>https://www.fut.gg/evolutions/1760-finesse-shot/</t>
        </is>
      </c>
      <c r="G88" t="inlineStr">
        <is>
          <t>90</t>
        </is>
      </c>
      <c r="K88" t="inlineStr">
        <is>
          <t>World Tour Silver Stars</t>
        </is>
      </c>
      <c r="L88" t="inlineStr">
        <is>
          <t>World Tour Silver Stars</t>
        </is>
      </c>
      <c r="T88" t="inlineStr">
        <is>
          <t>1</t>
        </is>
      </c>
      <c r="CW88" t="inlineStr">
        <is>
          <t>2 Level 1 Gravenberch 90 CDM PAC 84 SHO 83 PAS 87 DRI 90 DEF 88 PHY 88 CM R 4 ★ 4 Gravenberch 90 CDM PAC 84 SHO 83 PAS 87 DRI 90 DEF 88 PHY 88 CM R 4 ★ 4 UPGRADES 2</t>
        </is>
      </c>
      <c r="CX88" t="inlineStr">
        <is>
          <t>Excluded Rarity World Tour Silver Stars Overall Max. 90 Max PS+ 1 Details Submit by in 3 years Expiry in 3 years Coins Cost Free Points Cost Free</t>
        </is>
      </c>
      <c r="CY88" t="inlineStr">
        <is>
          <t>Excluded Rarity World Tour Silver Stars Overall Max. 90 Max PS+ 1 Details Submit by in 3 years Expiry in 3 years Coins Cost Free Points Cost Free</t>
        </is>
      </c>
      <c r="CZ88" t="inlineStr">
        <is>
          <t>Finesse Shot+</t>
        </is>
      </c>
      <c r="DA88"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9">
      <c r="A89" t="inlineStr">
        <is>
          <t>Reward</t>
        </is>
      </c>
      <c r="B89" t="inlineStr">
        <is>
          <t>Reward</t>
        </is>
      </c>
      <c r="C89" t="inlineStr">
        <is>
          <t>Intro to Rewards EVOs - EA SPORTS FC 26</t>
        </is>
      </c>
      <c r="D89" t="inlineStr">
        <is>
          <t>https://www.fut.gg/evolutions/1214-intro-to-rewards-evos/</t>
        </is>
      </c>
      <c r="G89" t="inlineStr">
        <is>
          <t>82</t>
        </is>
      </c>
      <c r="K89" t="inlineStr">
        <is>
          <t>World Tour Silver Stars</t>
        </is>
      </c>
      <c r="L89" t="inlineStr">
        <is>
          <t>World Tour Silver Stars</t>
        </is>
      </c>
      <c r="M89" t="inlineStr">
        <is>
          <t>84</t>
        </is>
      </c>
      <c r="X89" t="n">
        <v>2</v>
      </c>
      <c r="AT89" t="n">
        <v>6</v>
      </c>
      <c r="AU89" t="n">
        <v>80</v>
      </c>
      <c r="AV89" t="n">
        <v>8</v>
      </c>
      <c r="AW89" t="n">
        <v>80</v>
      </c>
      <c r="AX89" t="n">
        <v>6</v>
      </c>
      <c r="AY89" t="n">
        <v>79</v>
      </c>
      <c r="BB89" t="n">
        <v>6</v>
      </c>
      <c r="BC89" t="n">
        <v>80</v>
      </c>
      <c r="BH89" t="n">
        <v>3</v>
      </c>
      <c r="BI89" t="n">
        <v>80</v>
      </c>
      <c r="BJ89" t="n">
        <v>4</v>
      </c>
      <c r="BK89" t="n">
        <v>79</v>
      </c>
      <c r="BR89" t="n">
        <v>4</v>
      </c>
      <c r="BS89" t="n">
        <v>81</v>
      </c>
      <c r="BV89" t="n">
        <v>4</v>
      </c>
      <c r="BW89" t="n">
        <v>81</v>
      </c>
      <c r="CW89"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89" t="inlineStr">
        <is>
          <t>Excluded Rarity World Tour Silver Stars Overall Max. 82 Pace Max. 84 Details Submit by in 5 months Expiry in 5 months Coins Cost Free Points Cost Free</t>
        </is>
      </c>
      <c r="CY89" t="inlineStr">
        <is>
          <t>Excluded Rarity World Tour Silver Stars Overall Max. 82 Pace Max. 84 Details Submit by in 5 months Expiry in 5 months Coins Cost Free Points Cost Free</t>
        </is>
      </c>
      <c r="CZ89" t="inlineStr">
        <is>
          <t>Intro to Rewards EVOs</t>
        </is>
      </c>
      <c r="DA89"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90">
      <c r="A90" t="inlineStr">
        <is>
          <t>Reward</t>
        </is>
      </c>
      <c r="B90" t="inlineStr">
        <is>
          <t>Reward</t>
        </is>
      </c>
      <c r="C90" t="inlineStr">
        <is>
          <t>Club Member Reward - EA SPORTS FC 26</t>
        </is>
      </c>
      <c r="D90" t="inlineStr">
        <is>
          <t>https://www.fut.gg/evolutions/1215-club-member-reward/</t>
        </is>
      </c>
      <c r="G90" t="inlineStr">
        <is>
          <t>83</t>
        </is>
      </c>
      <c r="I90" t="inlineStr">
        <is>
          <t>ST Details Submit by in 5 months Expiry in 5 months Coins Cost Free Points Cost Free</t>
        </is>
      </c>
      <c r="K90" t="inlineStr">
        <is>
          <t>World Tour Silver Stars</t>
        </is>
      </c>
      <c r="L90" t="inlineStr">
        <is>
          <t>World Tour Silver Stars</t>
        </is>
      </c>
      <c r="CV90" t="inlineStr">
        <is>
          <t>ST Advanced Forward +; ST Poacher +; ST Target Forward +</t>
        </is>
      </c>
      <c r="CW90"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90" t="inlineStr">
        <is>
          <t>Excluded Rarity World Tour Silver Stars Overall Max. 83 Position ST Details Submit by in 5 months Expiry in 5 months Coins Cost Free Points Cost Free</t>
        </is>
      </c>
      <c r="CY90" t="inlineStr">
        <is>
          <t>Excluded Rarity World Tour Silver Stars Overall Max. 83 Position ST Details Submit by in 5 months Expiry in 5 months Coins Cost Free Points Cost Free</t>
        </is>
      </c>
      <c r="CZ90" t="inlineStr">
        <is>
          <t>Club Member Reward</t>
        </is>
      </c>
      <c r="DA90"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2026-05-11T04:11:09Z</dcterms:modified>
  <cp:lastModifiedBy>영현 김</cp:lastModifiedBy>
</cp:coreProperties>
</file>