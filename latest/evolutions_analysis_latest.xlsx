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f>_xlfn.MAXIFS(INDEX(Unified_Matrix!$A:$ZZ,3,MATCH("Max "&amp;K$1,Unified_Matrix!$1:$1,0)):INDEX(Unified_Matrix!$A:$ZZ,300,MATCH("Max "&amp;K$1,Unified_Matrix!$1:$1,0)),INDEX(Unified_Matrix!$A:$ZZ,3,MATCH("Max "&amp;K$1,Unified_Matrix!$1:$1,0)):INDEX(Unified_Matrix!$A:$ZZ,300,MATCH("Max "&amp;K$1,Unified_Matrix!$1:$1,0)),"&gt;0")</f>
        <v/>
      </c>
      <c r="L2" s="19">
        <f>_xlfn.MAXIFS(INDEX(Unified_Matrix!$A:$ZZ,3,MATCH("Max "&amp;L$1,Unified_Matrix!$1:$1,0)):INDEX(Unified_Matrix!$A:$ZZ,300,MATCH("Max "&amp;L$1,Unified_Matrix!$1:$1,0)),INDEX(Unified_Matrix!$A:$ZZ,3,MATCH("Max "&amp;L$1,Unified_Matrix!$1:$1,0)):INDEX(Unified_Matrix!$A:$ZZ,300,MATCH("Max "&amp;L$1,Unified_Matrix!$1:$1,0)),"&gt;0")</f>
        <v/>
      </c>
      <c r="M2" s="19">
        <f>_xlfn.MAXIFS(INDEX(Unified_Matrix!$A:$ZZ,3,MATCH("Max "&amp;M$1,Unified_Matrix!$1:$1,0)):INDEX(Unified_Matrix!$A:$ZZ,300,MATCH("Max "&amp;M$1,Unified_Matrix!$1:$1,0)),INDEX(Unified_Matrix!$A:$ZZ,3,MATCH("Max "&amp;M$1,Unified_Matrix!$1:$1,0)):INDEX(Unified_Matrix!$A:$ZZ,300,MATCH("Max "&amp;M$1,Unified_Matrix!$1:$1,0)),"&gt;0")</f>
        <v/>
      </c>
      <c r="N2" s="19">
        <f>_xlfn.MAXIFS(INDEX(Unified_Matrix!$A:$ZZ,3,MATCH("Max "&amp;N$1,Unified_Matrix!$1:$1,0)):INDEX(Unified_Matrix!$A:$ZZ,300,MATCH("Max "&amp;N$1,Unified_Matrix!$1:$1,0)),INDEX(Unified_Matrix!$A:$ZZ,3,MATCH("Max "&amp;N$1,Unified_Matrix!$1:$1,0)):INDEX(Unified_Matrix!$A:$ZZ,300,MATCH("Max "&amp;N$1,Unified_Matrix!$1:$1,0)),"&gt;0")</f>
        <v/>
      </c>
      <c r="O2" s="19">
        <f>_xlfn.MAXIFS(INDEX(Unified_Matrix!$A:$ZZ,3,MATCH("Max "&amp;O$1,Unified_Matrix!$1:$1,0)):INDEX(Unified_Matrix!$A:$ZZ,300,MATCH("Max "&amp;O$1,Unified_Matrix!$1:$1,0)),INDEX(Unified_Matrix!$A:$ZZ,3,MATCH("Max "&amp;O$1,Unified_Matrix!$1:$1,0)):INDEX(Unified_Matrix!$A:$ZZ,300,MATCH("Max "&amp;O$1,Unified_Matrix!$1:$1,0)),"&gt;0")</f>
        <v/>
      </c>
      <c r="P2" s="19">
        <f>_xlfn.MAXIFS(INDEX(Unified_Matrix!$A:$ZZ,3,MATCH("Max "&amp;P$1,Unified_Matrix!$1:$1,0)):INDEX(Unified_Matrix!$A:$ZZ,300,MATCH("Max "&amp;P$1,Unified_Matrix!$1:$1,0)),INDEX(Unified_Matrix!$A:$ZZ,3,MATCH("Max "&amp;P$1,Unified_Matrix!$1:$1,0)):INDEX(Unified_Matrix!$A:$ZZ,300,MATCH("Max "&amp;P$1,Unified_Matrix!$1:$1,0)),"&gt;0")</f>
        <v/>
      </c>
      <c r="Q2" s="19">
        <f>_xlfn.MAXIFS(INDEX(Unified_Matrix!$A:$ZZ,3,MATCH("Max "&amp;Q$1,Unified_Matrix!$1:$1,0)):INDEX(Unified_Matrix!$A:$ZZ,300,MATCH("Max "&amp;Q$1,Unified_Matrix!$1:$1,0)),INDEX(Unified_Matrix!$A:$ZZ,3,MATCH("Max "&amp;Q$1,Unified_Matrix!$1:$1,0)):INDEX(Unified_Matrix!$A:$ZZ,300,MATCH("Max "&amp;Q$1,Unified_Matrix!$1:$1,0)),"&gt;0")</f>
        <v/>
      </c>
      <c r="R2" s="19">
        <f>_xlfn.MAXIFS(INDEX(Unified_Matrix!$A:$ZZ,3,MATCH("Max "&amp;R$1,Unified_Matrix!$1:$1,0)):INDEX(Unified_Matrix!$A:$ZZ,300,MATCH("Max "&amp;R$1,Unified_Matrix!$1:$1,0)),INDEX(Unified_Matrix!$A:$ZZ,3,MATCH("Max "&amp;R$1,Unified_Matrix!$1:$1,0)):INDEX(Unified_Matrix!$A:$ZZ,300,MATCH("Max "&amp;R$1,Unified_Matrix!$1:$1,0)),"&gt;0")</f>
        <v/>
      </c>
      <c r="S2" s="19">
        <f>_xlfn.MAXIFS(INDEX(Unified_Matrix!$A:$ZZ,3,MATCH("Max "&amp;S$1,Unified_Matrix!$1:$1,0)):INDEX(Unified_Matrix!$A:$ZZ,300,MATCH("Max "&amp;S$1,Unified_Matrix!$1:$1,0)),INDEX(Unified_Matrix!$A:$ZZ,3,MATCH("Max "&amp;S$1,Unified_Matrix!$1:$1,0)):INDEX(Unified_Matrix!$A:$ZZ,300,MATCH("Max "&amp;S$1,Unified_Matrix!$1:$1,0)),"&gt;0")</f>
        <v/>
      </c>
      <c r="T2" s="19">
        <f>_xlfn.MAXIFS(INDEX(Unified_Matrix!$A:$ZZ,3,MATCH("Max "&amp;T$1,Unified_Matrix!$1:$1,0)):INDEX(Unified_Matrix!$A:$ZZ,300,MATCH("Max "&amp;T$1,Unified_Matrix!$1:$1,0)),INDEX(Unified_Matrix!$A:$ZZ,3,MATCH("Max "&amp;T$1,Unified_Matrix!$1:$1,0)):INDEX(Unified_Matrix!$A:$ZZ,300,MATCH("Max "&amp;T$1,Unified_Matrix!$1:$1,0)),"&gt;0")</f>
        <v/>
      </c>
      <c r="U2" s="19">
        <f>_xlfn.MAXIFS(INDEX(Unified_Matrix!$A:$ZZ,3,MATCH("Max "&amp;U$1,Unified_Matrix!$1:$1,0)):INDEX(Unified_Matrix!$A:$ZZ,300,MATCH("Max "&amp;U$1,Unified_Matrix!$1:$1,0)),INDEX(Unified_Matrix!$A:$ZZ,3,MATCH("Max "&amp;U$1,Unified_Matrix!$1:$1,0)):INDEX(Unified_Matrix!$A:$ZZ,300,MATCH("Max "&amp;U$1,Unified_Matrix!$1:$1,0)),"&gt;0")</f>
        <v/>
      </c>
      <c r="V2" s="19">
        <f>_xlfn.MAXIFS(INDEX(Unified_Matrix!$A:$ZZ,3,MATCH("Max "&amp;V$1,Unified_Matrix!$1:$1,0)):INDEX(Unified_Matrix!$A:$ZZ,300,MATCH("Max "&amp;V$1,Unified_Matrix!$1:$1,0)),INDEX(Unified_Matrix!$A:$ZZ,3,MATCH("Max "&amp;V$1,Unified_Matrix!$1:$1,0)):INDEX(Unified_Matrix!$A:$ZZ,300,MATCH("Max "&amp;V$1,Unified_Matrix!$1:$1,0)),"&gt;0")</f>
        <v/>
      </c>
      <c r="W2" s="19">
        <f>_xlfn.MAXIFS(INDEX(Unified_Matrix!$A:$ZZ,3,MATCH("Max "&amp;W$1,Unified_Matrix!$1:$1,0)):INDEX(Unified_Matrix!$A:$ZZ,300,MATCH("Max "&amp;W$1,Unified_Matrix!$1:$1,0)),INDEX(Unified_Matrix!$A:$ZZ,3,MATCH("Max "&amp;W$1,Unified_Matrix!$1:$1,0)):INDEX(Unified_Matrix!$A:$ZZ,300,MATCH("Max "&amp;W$1,Unified_Matrix!$1:$1,0)),"&gt;0")</f>
        <v/>
      </c>
      <c r="X2" s="19">
        <f>_xlfn.MAXIFS(INDEX(Unified_Matrix!$A:$ZZ,3,MATCH("Max "&amp;X$1,Unified_Matrix!$1:$1,0)):INDEX(Unified_Matrix!$A:$ZZ,300,MATCH("Max "&amp;X$1,Unified_Matrix!$1:$1,0)),INDEX(Unified_Matrix!$A:$ZZ,3,MATCH("Max "&amp;X$1,Unified_Matrix!$1:$1,0)):INDEX(Unified_Matrix!$A:$ZZ,300,MATCH("Max "&amp;X$1,Unified_Matrix!$1:$1,0)),"&gt;0")</f>
        <v/>
      </c>
      <c r="Y2" s="19">
        <f>_xlfn.MAXIFS(INDEX(Unified_Matrix!$A:$ZZ,3,MATCH("Max "&amp;Y$1,Unified_Matrix!$1:$1,0)):INDEX(Unified_Matrix!$A:$ZZ,300,MATCH("Max "&amp;Y$1,Unified_Matrix!$1:$1,0)),INDEX(Unified_Matrix!$A:$ZZ,3,MATCH("Max "&amp;Y$1,Unified_Matrix!$1:$1,0)):INDEX(Unified_Matrix!$A:$ZZ,300,MATCH("Max "&amp;Y$1,Unified_Matrix!$1:$1,0)),"&gt;0")</f>
        <v/>
      </c>
      <c r="Z2" s="19">
        <f>_xlfn.MAXIFS(INDEX(Unified_Matrix!$A:$ZZ,3,MATCH("Max "&amp;Z$1,Unified_Matrix!$1:$1,0)):INDEX(Unified_Matrix!$A:$ZZ,300,MATCH("Max "&amp;Z$1,Unified_Matrix!$1:$1,0)),INDEX(Unified_Matrix!$A:$ZZ,3,MATCH("Max "&amp;Z$1,Unified_Matrix!$1:$1,0)):INDEX(Unified_Matrix!$A:$ZZ,300,MATCH("Max "&amp;Z$1,Unified_Matrix!$1:$1,0)),"&gt;0")</f>
        <v/>
      </c>
      <c r="AA2" s="19">
        <f>_xlfn.MAXIFS(INDEX(Unified_Matrix!$A:$ZZ,3,MATCH("Max "&amp;AA$1,Unified_Matrix!$1:$1,0)):INDEX(Unified_Matrix!$A:$ZZ,300,MATCH("Max "&amp;AA$1,Unified_Matrix!$1:$1,0)),INDEX(Unified_Matrix!$A:$ZZ,3,MATCH("Max "&amp;AA$1,Unified_Matrix!$1:$1,0)):INDEX(Unified_Matrix!$A:$ZZ,300,MATCH("Max "&amp;AA$1,Unified_Matrix!$1:$1,0)),"&gt;0")</f>
        <v/>
      </c>
      <c r="AB2" s="19">
        <f>_xlfn.MAXIFS(INDEX(Unified_Matrix!$A:$ZZ,3,MATCH("Max "&amp;AB$1,Unified_Matrix!$1:$1,0)):INDEX(Unified_Matrix!$A:$ZZ,300,MATCH("Max "&amp;AB$1,Unified_Matrix!$1:$1,0)),INDEX(Unified_Matrix!$A:$ZZ,3,MATCH("Max "&amp;AB$1,Unified_Matrix!$1:$1,0)):INDEX(Unified_Matrix!$A:$ZZ,300,MATCH("Max "&amp;AB$1,Unified_Matrix!$1:$1,0)),"&gt;0")</f>
        <v/>
      </c>
      <c r="AC2" s="19">
        <f>_xlfn.MAXIFS(INDEX(Unified_Matrix!$A:$ZZ,3,MATCH("Max "&amp;AC$1,Unified_Matrix!$1:$1,0)):INDEX(Unified_Matrix!$A:$ZZ,300,MATCH("Max "&amp;AC$1,Unified_Matrix!$1:$1,0)),INDEX(Unified_Matrix!$A:$ZZ,3,MATCH("Max "&amp;AC$1,Unified_Matrix!$1:$1,0)):INDEX(Unified_Matrix!$A:$ZZ,300,MATCH("Max "&amp;AC$1,Unified_Matrix!$1:$1,0)),"&gt;0")</f>
        <v/>
      </c>
      <c r="AD2" s="19">
        <f>_xlfn.MAXIFS(INDEX(Unified_Matrix!$A:$ZZ,3,MATCH("Max "&amp;AD$1,Unified_Matrix!$1:$1,0)):INDEX(Unified_Matrix!$A:$ZZ,300,MATCH("Max "&amp;AD$1,Unified_Matrix!$1:$1,0)),INDEX(Unified_Matrix!$A:$ZZ,3,MATCH("Max "&amp;AD$1,Unified_Matrix!$1:$1,0)):INDEX(Unified_Matrix!$A:$ZZ,300,MATCH("Max "&amp;AD$1,Unified_Matrix!$1:$1,0)),"&gt;0")</f>
        <v/>
      </c>
      <c r="AE2" s="19">
        <f>_xlfn.MAXIFS(INDEX(Unified_Matrix!$A:$ZZ,3,MATCH("Max "&amp;AE$1,Unified_Matrix!$1:$1,0)):INDEX(Unified_Matrix!$A:$ZZ,300,MATCH("Max "&amp;AE$1,Unified_Matrix!$1:$1,0)),INDEX(Unified_Matrix!$A:$ZZ,3,MATCH("Max "&amp;AE$1,Unified_Matrix!$1:$1,0)):INDEX(Unified_Matrix!$A:$ZZ,300,MATCH("Max "&amp;AE$1,Unified_Matrix!$1:$1,0)),"&gt;0")</f>
        <v/>
      </c>
      <c r="AF2" s="19">
        <f>_xlfn.MAXIFS(INDEX(Unified_Matrix!$A:$ZZ,3,MATCH("Max "&amp;AF$1,Unified_Matrix!$1:$1,0)):INDEX(Unified_Matrix!$A:$ZZ,300,MATCH("Max "&amp;AF$1,Unified_Matrix!$1:$1,0)),INDEX(Unified_Matrix!$A:$ZZ,3,MATCH("Max "&amp;AF$1,Unified_Matrix!$1:$1,0)):INDEX(Unified_Matrix!$A:$ZZ,300,MATCH("Max "&amp;AF$1,Unified_Matrix!$1:$1,0)),"&gt;0")</f>
        <v/>
      </c>
      <c r="AG2" s="19">
        <f>_xlfn.MAXIFS(INDEX(Unified_Matrix!$A:$ZZ,3,MATCH("Max "&amp;AG$1,Unified_Matrix!$1:$1,0)):INDEX(Unified_Matrix!$A:$ZZ,300,MATCH("Max "&amp;AG$1,Unified_Matrix!$1:$1,0)),INDEX(Unified_Matrix!$A:$ZZ,3,MATCH("Max "&amp;AG$1,Unified_Matrix!$1:$1,0)):INDEX(Unified_Matrix!$A:$ZZ,300,MATCH("Max "&amp;AG$1,Unified_Matrix!$1:$1,0)),"&gt;0")</f>
        <v/>
      </c>
      <c r="AH2" s="19">
        <f>_xlfn.MAXIFS(INDEX(Unified_Matrix!$A:$ZZ,3,MATCH("Max "&amp;AH$1,Unified_Matrix!$1:$1,0)):INDEX(Unified_Matrix!$A:$ZZ,300,MATCH("Max "&amp;AH$1,Unified_Matrix!$1:$1,0)),INDEX(Unified_Matrix!$A:$ZZ,3,MATCH("Max "&amp;AH$1,Unified_Matrix!$1:$1,0)):INDEX(Unified_Matrix!$A:$ZZ,300,MATCH("Max "&amp;AH$1,Unified_Matrix!$1:$1,0)),"&gt;0")</f>
        <v/>
      </c>
      <c r="AI2" s="19">
        <f>_xlfn.MAXIFS(INDEX(Unified_Matrix!$A:$ZZ,3,MATCH("Max "&amp;AI$1,Unified_Matrix!$1:$1,0)):INDEX(Unified_Matrix!$A:$ZZ,300,MATCH("Max "&amp;AI$1,Unified_Matrix!$1:$1,0)),INDEX(Unified_Matrix!$A:$ZZ,3,MATCH("Max "&amp;AI$1,Unified_Matrix!$1:$1,0)):INDEX(Unified_Matrix!$A:$ZZ,300,MATCH("Max "&amp;AI$1,Unified_Matrix!$1:$1,0)),"&gt;0")</f>
        <v/>
      </c>
      <c r="AJ2" s="19">
        <f>_xlfn.MAXIFS(INDEX(Unified_Matrix!$A:$ZZ,3,MATCH("Max "&amp;AJ$1,Unified_Matrix!$1:$1,0)):INDEX(Unified_Matrix!$A:$ZZ,300,MATCH("Max "&amp;AJ$1,Unified_Matrix!$1:$1,0)),INDEX(Unified_Matrix!$A:$ZZ,3,MATCH("Max "&amp;AJ$1,Unified_Matrix!$1:$1,0)):INDEX(Unified_Matrix!$A:$ZZ,300,MATCH("Max "&amp;AJ$1,Unified_Matrix!$1:$1,0)),"&gt;0")</f>
        <v/>
      </c>
      <c r="AK2" s="19">
        <f>_xlfn.MAXIFS(INDEX(Unified_Matrix!$A:$ZZ,3,MATCH("Max "&amp;AK$1,Unified_Matrix!$1:$1,0)):INDEX(Unified_Matrix!$A:$ZZ,300,MATCH("Max "&amp;AK$1,Unified_Matrix!$1:$1,0)),INDEX(Unified_Matrix!$A:$ZZ,3,MATCH("Max "&amp;AK$1,Unified_Matrix!$1:$1,0)):INDEX(Unified_Matrix!$A:$ZZ,300,MATCH("Max "&amp;AK$1,Unified_Matrix!$1:$1,0)),"&gt;0")</f>
        <v/>
      </c>
      <c r="AL2" s="19">
        <f>_xlfn.MAXIFS(INDEX(Unified_Matrix!$A:$ZZ,3,MATCH("Max "&amp;AL$1,Unified_Matrix!$1:$1,0)):INDEX(Unified_Matrix!$A:$ZZ,300,MATCH("Max "&amp;AL$1,Unified_Matrix!$1:$1,0)),INDEX(Unified_Matrix!$A:$ZZ,3,MATCH("Max "&amp;AL$1,Unified_Matrix!$1:$1,0)):INDEX(Unified_Matrix!$A:$ZZ,300,MATCH("Max "&amp;AL$1,Unified_Matrix!$1:$1,0)),"&gt;0")</f>
        <v/>
      </c>
      <c r="AM2" s="19">
        <f>_xlfn.MAXIFS(INDEX(Unified_Matrix!$A:$ZZ,3,MATCH("Max "&amp;AM$1,Unified_Matrix!$1:$1,0)):INDEX(Unified_Matrix!$A:$ZZ,300,MATCH("Max "&amp;AM$1,Unified_Matrix!$1:$1,0)),INDEX(Unified_Matrix!$A:$ZZ,3,MATCH("Max "&amp;AM$1,Unified_Matrix!$1:$1,0)):INDEX(Unified_Matrix!$A:$ZZ,300,MATCH("Max "&amp;AM$1,Unified_Matrix!$1:$1,0)),"&gt;0")</f>
        <v/>
      </c>
      <c r="AN2" s="19">
        <f>_xlfn.MAXIFS(INDEX(Unified_Matrix!$A:$ZZ,3,MATCH("Max "&amp;AN$1,Unified_Matrix!$1:$1,0)):INDEX(Unified_Matrix!$A:$ZZ,300,MATCH("Max "&amp;AN$1,Unified_Matrix!$1:$1,0)),INDEX(Unified_Matrix!$A:$ZZ,3,MATCH("Max "&amp;AN$1,Unified_Matrix!$1:$1,0)):INDEX(Unified_Matrix!$A:$ZZ,300,MATCH("Max "&amp;AN$1,Unified_Matrix!$1:$1,0)),"&gt;0")</f>
        <v/>
      </c>
      <c r="AO2" s="19">
        <f>_xlfn.MAXIFS(INDEX(Unified_Matrix!$A:$ZZ,3,MATCH("Max "&amp;AO$1,Unified_Matrix!$1:$1,0)):INDEX(Unified_Matrix!$A:$ZZ,300,MATCH("Max "&amp;AO$1,Unified_Matrix!$1:$1,0)),INDEX(Unified_Matrix!$A:$ZZ,3,MATCH("Max "&amp;AO$1,Unified_Matrix!$1:$1,0)):INDEX(Unified_Matrix!$A:$ZZ,300,MATCH("Max "&amp;AO$1,Unified_Matrix!$1:$1,0)),"&gt;0")</f>
        <v/>
      </c>
      <c r="AP2" s="19">
        <f>_xlfn.MAXIFS(INDEX(Unified_Matrix!$A:$ZZ,3,MATCH("Max "&amp;AP$1,Unified_Matrix!$1:$1,0)):INDEX(Unified_Matrix!$A:$ZZ,300,MATCH("Max "&amp;AP$1,Unified_Matrix!$1:$1,0)),INDEX(Unified_Matrix!$A:$ZZ,3,MATCH("Max "&amp;AP$1,Unified_Matrix!$1:$1,0)):INDEX(Unified_Matrix!$A:$ZZ,300,MATCH("Max "&amp;AP$1,Unified_Matrix!$1:$1,0)),"&gt;0")</f>
        <v/>
      </c>
      <c r="AQ2" s="19">
        <f>_xlfn.MAXIFS(INDEX(Unified_Matrix!$A:$ZZ,3,MATCH("Max "&amp;AQ$1,Unified_Matrix!$1:$1,0)):INDEX(Unified_Matrix!$A:$ZZ,300,MATCH("Max "&amp;AQ$1,Unified_Matrix!$1:$1,0)),INDEX(Unified_Matrix!$A:$ZZ,3,MATCH("Max "&amp;AQ$1,Unified_Matrix!$1:$1,0)):INDEX(Unified_Matrix!$A:$ZZ,300,MATCH("Max "&amp;AQ$1,Unified_Matrix!$1:$1,0)),"&gt;0")</f>
        <v/>
      </c>
      <c r="AR2" s="19">
        <f>_xlfn.MAXIFS(INDEX(Unified_Matrix!$A:$ZZ,3,MATCH("Max "&amp;AR$1,Unified_Matrix!$1:$1,0)):INDEX(Unified_Matrix!$A:$ZZ,300,MATCH("Max "&amp;AR$1,Unified_Matrix!$1:$1,0)),INDEX(Unified_Matrix!$A:$ZZ,3,MATCH("Max "&amp;AR$1,Unified_Matrix!$1:$1,0)):INDEX(Unified_Matrix!$A:$ZZ,300,MATCH("Max "&amp;AR$1,Unified_Matrix!$1:$1,0)),"&gt;0")</f>
        <v/>
      </c>
      <c r="AS2" s="19">
        <f>_xlfn.MAXIFS(INDEX(Unified_Matrix!$A:$ZZ,3,MATCH("Max "&amp;AS$1,Unified_Matrix!$1:$1,0)):INDEX(Unified_Matrix!$A:$ZZ,300,MATCH("Max "&amp;AS$1,Unified_Matrix!$1:$1,0)),INDEX(Unified_Matrix!$A:$ZZ,3,MATCH("Max "&amp;AS$1,Unified_Matrix!$1:$1,0)):INDEX(Unified_Matrix!$A:$ZZ,300,MATCH("Max "&amp;AS$1,Unified_Matrix!$1:$1,0)),"&gt;0")</f>
        <v/>
      </c>
      <c r="AT2" s="19">
        <f>_xlfn.MAXIFS(INDEX(Unified_Matrix!$A:$ZZ,3,MATCH("Max "&amp;AT$1,Unified_Matrix!$1:$1,0)):INDEX(Unified_Matrix!$A:$ZZ,300,MATCH("Max "&amp;AT$1,Unified_Matrix!$1:$1,0)),INDEX(Unified_Matrix!$A:$ZZ,3,MATCH("Max "&amp;AT$1,Unified_Matrix!$1:$1,0)):INDEX(Unified_Matrix!$A:$ZZ,300,MATCH("Max "&amp;AT$1,Unified_Matrix!$1:$1,0)),"&gt;0")</f>
        <v/>
      </c>
    </row>
    <row r="3" ht="78" customHeight="1">
      <c r="H3" s="38" t="n"/>
      <c r="I3" s="18" t="inlineStr">
        <is>
          <t>진화명</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f t="array" ref="K3">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"&amp;K$1,Unified_Matrix!$1:$1,0))&gt;0),INDEX(Unified_Matrix!$A:$ZZ,3,MATCH("Evolution_Name",Unified_Matrix!$1:$1,0)):INDEX(Unified_Matrix!$A:$ZZ,300,MATCH("Evolution_Name",Unified_Matrix!$1:$1,0)),"")))</f>
        <v/>
      </c>
      <c r="L3" s="20">
        <f t="array" ref="L3">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"&amp;L$1,Unified_Matrix!$1:$1,0))&gt;0),INDEX(Unified_Matrix!$A:$ZZ,3,MATCH("Evolution_Name",Unified_Matrix!$1:$1,0)):INDEX(Unified_Matrix!$A:$ZZ,300,MATCH("Evolution_Name",Unified_Matrix!$1:$1,0)),"")))</f>
        <v/>
      </c>
      <c r="M3" s="20">
        <f t="array" ref="M3">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"&amp;M$1,Unified_Matrix!$1:$1,0))&gt;0),INDEX(Unified_Matrix!$A:$ZZ,3,MATCH("Evolution_Name",Unified_Matrix!$1:$1,0)):INDEX(Unified_Matrix!$A:$ZZ,300,MATCH("Evolution_Name",Unified_Matrix!$1:$1,0)),"")))</f>
        <v/>
      </c>
      <c r="N3" s="20">
        <f t="array" ref="N3">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3" s="20">
        <f t="array" ref="O3">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"&amp;O$1,Unified_Matrix!$1:$1,0))&gt;0),INDEX(Unified_Matrix!$A:$ZZ,3,MATCH("Evolution_Name",Unified_Matrix!$1:$1,0)):INDEX(Unified_Matrix!$A:$ZZ,300,MATCH("Evolution_Name",Unified_Matrix!$1:$1,0)),"")))</f>
        <v/>
      </c>
      <c r="P3" s="20">
        <f t="array" ref="P3">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"&amp;P$1,Unified_Matrix!$1:$1,0))&gt;0),INDEX(Unified_Matrix!$A:$ZZ,3,MATCH("Evolution_Name",Unified_Matrix!$1:$1,0)):INDEX(Unified_Matrix!$A:$ZZ,300,MATCH("Evolution_Name",Unified_Matrix!$1:$1,0)),"")))</f>
        <v/>
      </c>
      <c r="Q3" s="20">
        <f t="array" ref="Q3">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"&amp;Q$1,Unified_Matrix!$1:$1,0))&gt;0),INDEX(Unified_Matrix!$A:$ZZ,3,MATCH("Evolution_Name",Unified_Matrix!$1:$1,0)):INDEX(Unified_Matrix!$A:$ZZ,300,MATCH("Evolution_Name",Unified_Matrix!$1:$1,0)),"")))</f>
        <v/>
      </c>
      <c r="R3" s="20">
        <f t="array" ref="R3">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"&amp;R$1,Unified_Matrix!$1:$1,0))&gt;0),INDEX(Unified_Matrix!$A:$ZZ,3,MATCH("Evolution_Name",Unified_Matrix!$1:$1,0)):INDEX(Unified_Matrix!$A:$ZZ,300,MATCH("Evolution_Name",Unified_Matrix!$1:$1,0)),"")))</f>
        <v/>
      </c>
      <c r="S3" s="20">
        <f t="array" ref="S3">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"&amp;S$1,Unified_Matrix!$1:$1,0))&gt;0),INDEX(Unified_Matrix!$A:$ZZ,3,MATCH("Evolution_Name",Unified_Matrix!$1:$1,0)):INDEX(Unified_Matrix!$A:$ZZ,300,MATCH("Evolution_Name",Unified_Matrix!$1:$1,0)),"")))</f>
        <v/>
      </c>
      <c r="T3" s="20">
        <f t="array" ref="T3">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"&amp;T$1,Unified_Matrix!$1:$1,0))&gt;0),INDEX(Unified_Matrix!$A:$ZZ,3,MATCH("Evolution_Name",Unified_Matrix!$1:$1,0)):INDEX(Unified_Matrix!$A:$ZZ,300,MATCH("Evolution_Name",Unified_Matrix!$1:$1,0)),"")))</f>
        <v/>
      </c>
      <c r="U3" s="20">
        <f t="array" ref="U3">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3" s="20">
        <f t="array" ref="V3">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"&amp;V$1,Unified_Matrix!$1:$1,0))&gt;0),INDEX(Unified_Matrix!$A:$ZZ,3,MATCH("Evolution_Name",Unified_Matrix!$1:$1,0)):INDEX(Unified_Matrix!$A:$ZZ,300,MATCH("Evolution_Name",Unified_Matrix!$1:$1,0)),"")))</f>
        <v/>
      </c>
      <c r="W3" s="20">
        <f t="array" ref="W3">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"&amp;W$1,Unified_Matrix!$1:$1,0))&gt;0),INDEX(Unified_Matrix!$A:$ZZ,3,MATCH("Evolution_Name",Unified_Matrix!$1:$1,0)):INDEX(Unified_Matrix!$A:$ZZ,300,MATCH("Evolution_Name",Unified_Matrix!$1:$1,0)),"")))</f>
        <v/>
      </c>
      <c r="X3" s="20">
        <f t="array" ref="X3">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"&amp;X$1,Unified_Matrix!$1:$1,0))&gt;0),INDEX(Unified_Matrix!$A:$ZZ,3,MATCH("Evolution_Name",Unified_Matrix!$1:$1,0)):INDEX(Unified_Matrix!$A:$ZZ,300,MATCH("Evolution_Name",Unified_Matrix!$1:$1,0)),"")))</f>
        <v/>
      </c>
      <c r="Y3" s="20">
        <f t="array" ref="Y3">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"&amp;Y$1,Unified_Matrix!$1:$1,0))&gt;0),INDEX(Unified_Matrix!$A:$ZZ,3,MATCH("Evolution_Name",Unified_Matrix!$1:$1,0)):INDEX(Unified_Matrix!$A:$ZZ,300,MATCH("Evolution_Name",Unified_Matrix!$1:$1,0)),"")))</f>
        <v/>
      </c>
      <c r="Z3" s="20">
        <f t="array" ref="Z3">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3" s="20">
        <f t="array" ref="AA3">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"&amp;AA$1,Unified_Matrix!$1:$1,0))&gt;0),INDEX(Unified_Matrix!$A:$ZZ,3,MATCH("Evolution_Name",Unified_Matrix!$1:$1,0)):INDEX(Unified_Matrix!$A:$ZZ,300,MATCH("Evolution_Name",Unified_Matrix!$1:$1,0)),"")))</f>
        <v/>
      </c>
      <c r="AB3" s="20">
        <f t="array" ref="AB3">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"&amp;AB$1,Unified_Matrix!$1:$1,0))&gt;0),INDEX(Unified_Matrix!$A:$ZZ,3,MATCH("Evolution_Name",Unified_Matrix!$1:$1,0)):INDEX(Unified_Matrix!$A:$ZZ,300,MATCH("Evolution_Name",Unified_Matrix!$1:$1,0)),"")))</f>
        <v/>
      </c>
      <c r="AC3" s="20">
        <f t="array" ref="AC3">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3" s="20">
        <f t="array" ref="AD3">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"&amp;AD$1,Unified_Matrix!$1:$1,0))&gt;0),INDEX(Unified_Matrix!$A:$ZZ,3,MATCH("Evolution_Name",Unified_Matrix!$1:$1,0)):INDEX(Unified_Matrix!$A:$ZZ,300,MATCH("Evolution_Name",Unified_Matrix!$1:$1,0)),"")))</f>
        <v/>
      </c>
      <c r="AE3" s="20">
        <f t="array" ref="AE3">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"&amp;AE$1,Unified_Matrix!$1:$1,0))&gt;0),INDEX(Unified_Matrix!$A:$ZZ,3,MATCH("Evolution_Name",Unified_Matrix!$1:$1,0)):INDEX(Unified_Matrix!$A:$ZZ,300,MATCH("Evolution_Name",Unified_Matrix!$1:$1,0)),"")))</f>
        <v/>
      </c>
      <c r="AF3" s="20">
        <f t="array" ref="AF3">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"&amp;AF$1,Unified_Matrix!$1:$1,0))&gt;0),INDEX(Unified_Matrix!$A:$ZZ,3,MATCH("Evolution_Name",Unified_Matrix!$1:$1,0)):INDEX(Unified_Matrix!$A:$ZZ,300,MATCH("Evolution_Name",Unified_Matrix!$1:$1,0)),"")))</f>
        <v/>
      </c>
      <c r="AG3" s="20">
        <f t="array" ref="AG3">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"&amp;AG$1,Unified_Matrix!$1:$1,0))&gt;0),INDEX(Unified_Matrix!$A:$ZZ,3,MATCH("Evolution_Name",Unified_Matrix!$1:$1,0)):INDEX(Unified_Matrix!$A:$ZZ,300,MATCH("Evolution_Name",Unified_Matrix!$1:$1,0)),"")))</f>
        <v/>
      </c>
      <c r="AH3" s="20">
        <f t="array" ref="AH3">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"&amp;AH$1,Unified_Matrix!$1:$1,0))&gt;0),INDEX(Unified_Matrix!$A:$ZZ,3,MATCH("Evolution_Name",Unified_Matrix!$1:$1,0)):INDEX(Unified_Matrix!$A:$ZZ,300,MATCH("Evolution_Name",Unified_Matrix!$1:$1,0)),"")))</f>
        <v/>
      </c>
      <c r="AI3" s="20">
        <f t="array" ref="AI3">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"&amp;AI$1,Unified_Matrix!$1:$1,0))&gt;0),INDEX(Unified_Matrix!$A:$ZZ,3,MATCH("Evolution_Name",Unified_Matrix!$1:$1,0)):INDEX(Unified_Matrix!$A:$ZZ,300,MATCH("Evolution_Name",Unified_Matrix!$1:$1,0)),"")))</f>
        <v/>
      </c>
      <c r="AJ3" s="20">
        <f t="array" ref="AJ3">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"&amp;AJ$1,Unified_Matrix!$1:$1,0))&gt;0),INDEX(Unified_Matrix!$A:$ZZ,3,MATCH("Evolution_Name",Unified_Matrix!$1:$1,0)):INDEX(Unified_Matrix!$A:$ZZ,300,MATCH("Evolution_Name",Unified_Matrix!$1:$1,0)),"")))</f>
        <v/>
      </c>
      <c r="AK3" s="20">
        <f t="array" ref="AK3">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"&amp;AK$1,Unified_Matrix!$1:$1,0))&gt;0),INDEX(Unified_Matrix!$A:$ZZ,3,MATCH("Evolution_Name",Unified_Matrix!$1:$1,0)):INDEX(Unified_Matrix!$A:$ZZ,300,MATCH("Evolution_Name",Unified_Matrix!$1:$1,0)),"")))</f>
        <v/>
      </c>
      <c r="AL3" s="20">
        <f t="array" ref="AL3">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"&amp;AL$1,Unified_Matrix!$1:$1,0))&gt;0),INDEX(Unified_Matrix!$A:$ZZ,3,MATCH("Evolution_Name",Unified_Matrix!$1:$1,0)):INDEX(Unified_Matrix!$A:$ZZ,300,MATCH("Evolution_Name",Unified_Matrix!$1:$1,0)),"")))</f>
        <v/>
      </c>
      <c r="AM3" s="20">
        <f t="array" ref="AM3">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"&amp;AM$1,Unified_Matrix!$1:$1,0))&gt;0),INDEX(Unified_Matrix!$A:$ZZ,3,MATCH("Evolution_Name",Unified_Matrix!$1:$1,0)):INDEX(Unified_Matrix!$A:$ZZ,300,MATCH("Evolution_Name",Unified_Matrix!$1:$1,0)),"")))</f>
        <v/>
      </c>
      <c r="AN3" s="20">
        <f t="array" ref="AN3">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"&amp;AN$1,Unified_Matrix!$1:$1,0))&gt;0),INDEX(Unified_Matrix!$A:$ZZ,3,MATCH("Evolution_Name",Unified_Matrix!$1:$1,0)):INDEX(Unified_Matrix!$A:$ZZ,300,MATCH("Evolution_Name",Unified_Matrix!$1:$1,0)),"")))</f>
        <v/>
      </c>
      <c r="AO3" s="20">
        <f t="array" ref="AO3">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"&amp;AO$1,Unified_Matrix!$1:$1,0))&gt;0),INDEX(Unified_Matrix!$A:$ZZ,3,MATCH("Evolution_Name",Unified_Matrix!$1:$1,0)):INDEX(Unified_Matrix!$A:$ZZ,300,MATCH("Evolution_Name",Unified_Matrix!$1:$1,0)),"")))</f>
        <v/>
      </c>
      <c r="AP3" s="20">
        <f t="array" ref="AP3">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"&amp;AP$1,Unified_Matrix!$1:$1,0))&gt;0),INDEX(Unified_Matrix!$A:$ZZ,3,MATCH("Evolution_Name",Unified_Matrix!$1:$1,0)):INDEX(Unified_Matrix!$A:$ZZ,300,MATCH("Evolution_Name",Unified_Matrix!$1:$1,0)),"")))</f>
        <v/>
      </c>
      <c r="AQ3" s="20">
        <f t="array" ref="AQ3">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"&amp;AQ$1,Unified_Matrix!$1:$1,0))&gt;0),INDEX(Unified_Matrix!$A:$ZZ,3,MATCH("Evolution_Name",Unified_Matrix!$1:$1,0)):INDEX(Unified_Matrix!$A:$ZZ,300,MATCH("Evolution_Name",Unified_Matrix!$1:$1,0)),"")))</f>
        <v/>
      </c>
      <c r="AR3" s="20">
        <f t="array" ref="AR3">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"&amp;AR$1,Unified_Matrix!$1:$1,0))&gt;0),INDEX(Unified_Matrix!$A:$ZZ,3,MATCH("Evolution_Name",Unified_Matrix!$1:$1,0)):INDEX(Unified_Matrix!$A:$ZZ,300,MATCH("Evolution_Name",Unified_Matrix!$1:$1,0)),"")))</f>
        <v/>
      </c>
      <c r="AS3" s="20">
        <f t="array" ref="AS3">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"&amp;AS$1,Unified_Matrix!$1:$1,0))&gt;0),INDEX(Unified_Matrix!$A:$ZZ,3,MATCH("Evolution_Name",Unified_Matrix!$1:$1,0)):INDEX(Unified_Matrix!$A:$ZZ,300,MATCH("Evolution_Name",Unified_Matrix!$1:$1,0)),"")))</f>
        <v/>
      </c>
      <c r="AT3" s="20">
        <f t="array" ref="AT3">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"&amp;AT$1,Unified_Matrix!$1:$1,0))&gt;0),INDEX(Unified_Matrix!$A:$ZZ,3,MATCH("Evolution_Name",Unified_Matrix!$1:$1,0)):INDEX(Unified_Matrix!$A:$ZZ,300,MATCH("Evolution_Name",Unified_Matrix!$1:$1,0)),"")))</f>
        <v/>
      </c>
    </row>
    <row r="4">
      <c r="H4" s="17" t="inlineStr">
        <is>
          <t>2위</t>
        </is>
      </c>
      <c r="I4" s="18" t="inlineStr">
        <is>
          <t>MAX</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f>_xlfn.MAXIFS(INDEX(Unified_Matrix!$A:$ZZ,3,MATCH("Max "&amp;K$1,Unified_Matrix!$1:$1,0)):INDEX(Unified_Matrix!$A:$ZZ,300,MATCH("Max "&amp;K$1,Unified_Matrix!$1:$1,0)),INDEX(Unified_Matrix!$A:$ZZ,3,MATCH("Max "&amp;K$1,Unified_Matrix!$1:$1,0)):INDEX(Unified_Matrix!$A:$ZZ,300,MATCH("Max "&amp;K$1,Unified_Matrix!$1:$1,0)),"&lt;"&amp;K2,INDEX(Unified_Matrix!$A:$ZZ,3,MATCH("Max "&amp;K$1,Unified_Matrix!$1:$1,0)):INDEX(Unified_Matrix!$A:$ZZ,300,MATCH("Max "&amp;K$1,Unified_Matrix!$1:$1,0)),"&gt;0")</f>
        <v/>
      </c>
      <c r="L4" s="19">
        <f>_xlfn.MAXIFS(INDEX(Unified_Matrix!$A:$ZZ,3,MATCH("Max "&amp;L$1,Unified_Matrix!$1:$1,0)):INDEX(Unified_Matrix!$A:$ZZ,300,MATCH("Max "&amp;L$1,Unified_Matrix!$1:$1,0)),INDEX(Unified_Matrix!$A:$ZZ,3,MATCH("Max "&amp;L$1,Unified_Matrix!$1:$1,0)):INDEX(Unified_Matrix!$A:$ZZ,300,MATCH("Max "&amp;L$1,Unified_Matrix!$1:$1,0)),"&lt;"&amp;L2,INDEX(Unified_Matrix!$A:$ZZ,3,MATCH("Max "&amp;L$1,Unified_Matrix!$1:$1,0)):INDEX(Unified_Matrix!$A:$ZZ,300,MATCH("Max "&amp;L$1,Unified_Matrix!$1:$1,0)),"&gt;0")</f>
        <v/>
      </c>
      <c r="M4" s="19">
        <f>_xlfn.MAXIFS(INDEX(Unified_Matrix!$A:$ZZ,3,MATCH("Max "&amp;M$1,Unified_Matrix!$1:$1,0)):INDEX(Unified_Matrix!$A:$ZZ,300,MATCH("Max "&amp;M$1,Unified_Matrix!$1:$1,0)),INDEX(Unified_Matrix!$A:$ZZ,3,MATCH("Max "&amp;M$1,Unified_Matrix!$1:$1,0)):INDEX(Unified_Matrix!$A:$ZZ,300,MATCH("Max "&amp;M$1,Unified_Matrix!$1:$1,0)),"&lt;"&amp;M2,INDEX(Unified_Matrix!$A:$ZZ,3,MATCH("Max "&amp;M$1,Unified_Matrix!$1:$1,0)):INDEX(Unified_Matrix!$A:$ZZ,300,MATCH("Max "&amp;M$1,Unified_Matrix!$1:$1,0)),"&gt;0")</f>
        <v/>
      </c>
      <c r="N4" s="19">
        <f>_xlfn.MAXIFS(INDEX(Unified_Matrix!$A:$ZZ,3,MATCH("Max "&amp;N$1,Unified_Matrix!$1:$1,0)):INDEX(Unified_Matrix!$A:$ZZ,300,MATCH("Max "&amp;N$1,Unified_Matrix!$1:$1,0)),INDEX(Unified_Matrix!$A:$ZZ,3,MATCH("Max "&amp;N$1,Unified_Matrix!$1:$1,0)):INDEX(Unified_Matrix!$A:$ZZ,300,MATCH("Max "&amp;N$1,Unified_Matrix!$1:$1,0)),"&lt;"&amp;N2,INDEX(Unified_Matrix!$A:$ZZ,3,MATCH("Max "&amp;N$1,Unified_Matrix!$1:$1,0)):INDEX(Unified_Matrix!$A:$ZZ,300,MATCH("Max "&amp;N$1,Unified_Matrix!$1:$1,0)),"&gt;0")</f>
        <v/>
      </c>
      <c r="O4" s="19">
        <f>_xlfn.MAXIFS(INDEX(Unified_Matrix!$A:$ZZ,3,MATCH("Max "&amp;O$1,Unified_Matrix!$1:$1,0)):INDEX(Unified_Matrix!$A:$ZZ,300,MATCH("Max "&amp;O$1,Unified_Matrix!$1:$1,0)),INDEX(Unified_Matrix!$A:$ZZ,3,MATCH("Max "&amp;O$1,Unified_Matrix!$1:$1,0)):INDEX(Unified_Matrix!$A:$ZZ,300,MATCH("Max "&amp;O$1,Unified_Matrix!$1:$1,0)),"&lt;"&amp;O2,INDEX(Unified_Matrix!$A:$ZZ,3,MATCH("Max "&amp;O$1,Unified_Matrix!$1:$1,0)):INDEX(Unified_Matrix!$A:$ZZ,300,MATCH("Max "&amp;O$1,Unified_Matrix!$1:$1,0)),"&gt;0")</f>
        <v/>
      </c>
      <c r="P4" s="19">
        <f>_xlfn.MAXIFS(INDEX(Unified_Matrix!$A:$ZZ,3,MATCH("Max "&amp;P$1,Unified_Matrix!$1:$1,0)):INDEX(Unified_Matrix!$A:$ZZ,300,MATCH("Max "&amp;P$1,Unified_Matrix!$1:$1,0)),INDEX(Unified_Matrix!$A:$ZZ,3,MATCH("Max "&amp;P$1,Unified_Matrix!$1:$1,0)):INDEX(Unified_Matrix!$A:$ZZ,300,MATCH("Max "&amp;P$1,Unified_Matrix!$1:$1,0)),"&lt;"&amp;P2,INDEX(Unified_Matrix!$A:$ZZ,3,MATCH("Max "&amp;P$1,Unified_Matrix!$1:$1,0)):INDEX(Unified_Matrix!$A:$ZZ,300,MATCH("Max "&amp;P$1,Unified_Matrix!$1:$1,0)),"&gt;0")</f>
        <v/>
      </c>
      <c r="Q4" s="19">
        <f>_xlfn.MAXIFS(INDEX(Unified_Matrix!$A:$ZZ,3,MATCH("Max "&amp;Q$1,Unified_Matrix!$1:$1,0)):INDEX(Unified_Matrix!$A:$ZZ,300,MATCH("Max "&amp;Q$1,Unified_Matrix!$1:$1,0)),INDEX(Unified_Matrix!$A:$ZZ,3,MATCH("Max "&amp;Q$1,Unified_Matrix!$1:$1,0)):INDEX(Unified_Matrix!$A:$ZZ,300,MATCH("Max "&amp;Q$1,Unified_Matrix!$1:$1,0)),"&lt;"&amp;Q2,INDEX(Unified_Matrix!$A:$ZZ,3,MATCH("Max "&amp;Q$1,Unified_Matrix!$1:$1,0)):INDEX(Unified_Matrix!$A:$ZZ,300,MATCH("Max "&amp;Q$1,Unified_Matrix!$1:$1,0)),"&gt;0")</f>
        <v/>
      </c>
      <c r="R4" s="19">
        <f>_xlfn.MAXIFS(INDEX(Unified_Matrix!$A:$ZZ,3,MATCH("Max "&amp;R$1,Unified_Matrix!$1:$1,0)):INDEX(Unified_Matrix!$A:$ZZ,300,MATCH("Max "&amp;R$1,Unified_Matrix!$1:$1,0)),INDEX(Unified_Matrix!$A:$ZZ,3,MATCH("Max "&amp;R$1,Unified_Matrix!$1:$1,0)):INDEX(Unified_Matrix!$A:$ZZ,300,MATCH("Max "&amp;R$1,Unified_Matrix!$1:$1,0)),"&lt;"&amp;R2,INDEX(Unified_Matrix!$A:$ZZ,3,MATCH("Max "&amp;R$1,Unified_Matrix!$1:$1,0)):INDEX(Unified_Matrix!$A:$ZZ,300,MATCH("Max "&amp;R$1,Unified_Matrix!$1:$1,0)),"&gt;0")</f>
        <v/>
      </c>
      <c r="S4" s="19">
        <f>_xlfn.MAXIFS(INDEX(Unified_Matrix!$A:$ZZ,3,MATCH("Max "&amp;S$1,Unified_Matrix!$1:$1,0)):INDEX(Unified_Matrix!$A:$ZZ,300,MATCH("Max "&amp;S$1,Unified_Matrix!$1:$1,0)),INDEX(Unified_Matrix!$A:$ZZ,3,MATCH("Max "&amp;S$1,Unified_Matrix!$1:$1,0)):INDEX(Unified_Matrix!$A:$ZZ,300,MATCH("Max "&amp;S$1,Unified_Matrix!$1:$1,0)),"&lt;"&amp;S2,INDEX(Unified_Matrix!$A:$ZZ,3,MATCH("Max "&amp;S$1,Unified_Matrix!$1:$1,0)):INDEX(Unified_Matrix!$A:$ZZ,300,MATCH("Max "&amp;S$1,Unified_Matrix!$1:$1,0)),"&gt;0")</f>
        <v/>
      </c>
      <c r="T4" s="19">
        <f>_xlfn.MAXIFS(INDEX(Unified_Matrix!$A:$ZZ,3,MATCH("Max "&amp;T$1,Unified_Matrix!$1:$1,0)):INDEX(Unified_Matrix!$A:$ZZ,300,MATCH("Max "&amp;T$1,Unified_Matrix!$1:$1,0)),INDEX(Unified_Matrix!$A:$ZZ,3,MATCH("Max "&amp;T$1,Unified_Matrix!$1:$1,0)):INDEX(Unified_Matrix!$A:$ZZ,300,MATCH("Max "&amp;T$1,Unified_Matrix!$1:$1,0)),"&lt;"&amp;T2,INDEX(Unified_Matrix!$A:$ZZ,3,MATCH("Max "&amp;T$1,Unified_Matrix!$1:$1,0)):INDEX(Unified_Matrix!$A:$ZZ,300,MATCH("Max "&amp;T$1,Unified_Matrix!$1:$1,0)),"&gt;0")</f>
        <v/>
      </c>
      <c r="U4" s="19">
        <f>_xlfn.MAXIFS(INDEX(Unified_Matrix!$A:$ZZ,3,MATCH("Max "&amp;U$1,Unified_Matrix!$1:$1,0)):INDEX(Unified_Matrix!$A:$ZZ,300,MATCH("Max "&amp;U$1,Unified_Matrix!$1:$1,0)),INDEX(Unified_Matrix!$A:$ZZ,3,MATCH("Max "&amp;U$1,Unified_Matrix!$1:$1,0)):INDEX(Unified_Matrix!$A:$ZZ,300,MATCH("Max "&amp;U$1,Unified_Matrix!$1:$1,0)),"&lt;"&amp;U2,INDEX(Unified_Matrix!$A:$ZZ,3,MATCH("Max "&amp;U$1,Unified_Matrix!$1:$1,0)):INDEX(Unified_Matrix!$A:$ZZ,300,MATCH("Max "&amp;U$1,Unified_Matrix!$1:$1,0)),"&gt;0")</f>
        <v/>
      </c>
      <c r="V4" s="19">
        <f>_xlfn.MAXIFS(INDEX(Unified_Matrix!$A:$ZZ,3,MATCH("Max "&amp;V$1,Unified_Matrix!$1:$1,0)):INDEX(Unified_Matrix!$A:$ZZ,300,MATCH("Max "&amp;V$1,Unified_Matrix!$1:$1,0)),INDEX(Unified_Matrix!$A:$ZZ,3,MATCH("Max "&amp;V$1,Unified_Matrix!$1:$1,0)):INDEX(Unified_Matrix!$A:$ZZ,300,MATCH("Max "&amp;V$1,Unified_Matrix!$1:$1,0)),"&lt;"&amp;V2,INDEX(Unified_Matrix!$A:$ZZ,3,MATCH("Max "&amp;V$1,Unified_Matrix!$1:$1,0)):INDEX(Unified_Matrix!$A:$ZZ,300,MATCH("Max "&amp;V$1,Unified_Matrix!$1:$1,0)),"&gt;0")</f>
        <v/>
      </c>
      <c r="W4" s="19">
        <f>_xlfn.MAXIFS(INDEX(Unified_Matrix!$A:$ZZ,3,MATCH("Max "&amp;W$1,Unified_Matrix!$1:$1,0)):INDEX(Unified_Matrix!$A:$ZZ,300,MATCH("Max "&amp;W$1,Unified_Matrix!$1:$1,0)),INDEX(Unified_Matrix!$A:$ZZ,3,MATCH("Max "&amp;W$1,Unified_Matrix!$1:$1,0)):INDEX(Unified_Matrix!$A:$ZZ,300,MATCH("Max "&amp;W$1,Unified_Matrix!$1:$1,0)),"&lt;"&amp;W2,INDEX(Unified_Matrix!$A:$ZZ,3,MATCH("Max "&amp;W$1,Unified_Matrix!$1:$1,0)):INDEX(Unified_Matrix!$A:$ZZ,300,MATCH("Max "&amp;W$1,Unified_Matrix!$1:$1,0)),"&gt;0")</f>
        <v/>
      </c>
      <c r="X4" s="19">
        <f>_xlfn.MAXIFS(INDEX(Unified_Matrix!$A:$ZZ,3,MATCH("Max "&amp;X$1,Unified_Matrix!$1:$1,0)):INDEX(Unified_Matrix!$A:$ZZ,300,MATCH("Max "&amp;X$1,Unified_Matrix!$1:$1,0)),INDEX(Unified_Matrix!$A:$ZZ,3,MATCH("Max "&amp;X$1,Unified_Matrix!$1:$1,0)):INDEX(Unified_Matrix!$A:$ZZ,300,MATCH("Max "&amp;X$1,Unified_Matrix!$1:$1,0)),"&lt;"&amp;X2,INDEX(Unified_Matrix!$A:$ZZ,3,MATCH("Max "&amp;X$1,Unified_Matrix!$1:$1,0)):INDEX(Unified_Matrix!$A:$ZZ,300,MATCH("Max "&amp;X$1,Unified_Matrix!$1:$1,0)),"&gt;0")</f>
        <v/>
      </c>
      <c r="Y4" s="19">
        <f>_xlfn.MAXIFS(INDEX(Unified_Matrix!$A:$ZZ,3,MATCH("Max "&amp;Y$1,Unified_Matrix!$1:$1,0)):INDEX(Unified_Matrix!$A:$ZZ,300,MATCH("Max "&amp;Y$1,Unified_Matrix!$1:$1,0)),INDEX(Unified_Matrix!$A:$ZZ,3,MATCH("Max "&amp;Y$1,Unified_Matrix!$1:$1,0)):INDEX(Unified_Matrix!$A:$ZZ,300,MATCH("Max "&amp;Y$1,Unified_Matrix!$1:$1,0)),"&lt;"&amp;Y2,INDEX(Unified_Matrix!$A:$ZZ,3,MATCH("Max "&amp;Y$1,Unified_Matrix!$1:$1,0)):INDEX(Unified_Matrix!$A:$ZZ,300,MATCH("Max "&amp;Y$1,Unified_Matrix!$1:$1,0)),"&gt;0")</f>
        <v/>
      </c>
      <c r="Z4" s="19">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4" s="19">
        <f>_xlfn.MAXIFS(INDEX(Unified_Matrix!$A:$ZZ,3,MATCH("Max "&amp;AA$1,Unified_Matrix!$1:$1,0)):INDEX(Unified_Matrix!$A:$ZZ,300,MATCH("Max "&amp;AA$1,Unified_Matrix!$1:$1,0)),INDEX(Unified_Matrix!$A:$ZZ,3,MATCH("Max "&amp;AA$1,Unified_Matrix!$1:$1,0)):INDEX(Unified_Matrix!$A:$ZZ,300,MATCH("Max "&amp;AA$1,Unified_Matrix!$1:$1,0)),"&lt;"&amp;AA2,INDEX(Unified_Matrix!$A:$ZZ,3,MATCH("Max "&amp;AA$1,Unified_Matrix!$1:$1,0)):INDEX(Unified_Matrix!$A:$ZZ,300,MATCH("Max "&amp;AA$1,Unified_Matrix!$1:$1,0)),"&gt;0")</f>
        <v/>
      </c>
      <c r="AB4" s="19">
        <f>_xlfn.MAXIFS(INDEX(Unified_Matrix!$A:$ZZ,3,MATCH("Max "&amp;AB$1,Unified_Matrix!$1:$1,0)):INDEX(Unified_Matrix!$A:$ZZ,300,MATCH("Max "&amp;AB$1,Unified_Matrix!$1:$1,0)),INDEX(Unified_Matrix!$A:$ZZ,3,MATCH("Max "&amp;AB$1,Unified_Matrix!$1:$1,0)):INDEX(Unified_Matrix!$A:$ZZ,300,MATCH("Max "&amp;AB$1,Unified_Matrix!$1:$1,0)),"&lt;"&amp;AB2,INDEX(Unified_Matrix!$A:$ZZ,3,MATCH("Max "&amp;AB$1,Unified_Matrix!$1:$1,0)):INDEX(Unified_Matrix!$A:$ZZ,300,MATCH("Max "&amp;AB$1,Unified_Matrix!$1:$1,0)),"&gt;0")</f>
        <v/>
      </c>
      <c r="AC4" s="19">
        <f>_xlfn.MAXIFS(INDEX(Unified_Matrix!$A:$ZZ,3,MATCH("Max "&amp;AC$1,Unified_Matrix!$1:$1,0)):INDEX(Unified_Matrix!$A:$ZZ,300,MATCH("Max "&amp;AC$1,Unified_Matrix!$1:$1,0)),INDEX(Unified_Matrix!$A:$ZZ,3,MATCH("Max "&amp;AC$1,Unified_Matrix!$1:$1,0)):INDEX(Unified_Matrix!$A:$ZZ,300,MATCH("Max "&amp;AC$1,Unified_Matrix!$1:$1,0)),"&lt;"&amp;AC2,INDEX(Unified_Matrix!$A:$ZZ,3,MATCH("Max "&amp;AC$1,Unified_Matrix!$1:$1,0)):INDEX(Unified_Matrix!$A:$ZZ,300,MATCH("Max "&amp;AC$1,Unified_Matrix!$1:$1,0)),"&gt;0")</f>
        <v/>
      </c>
      <c r="AD4" s="19">
        <f>_xlfn.MAXIFS(INDEX(Unified_Matrix!$A:$ZZ,3,MATCH("Max "&amp;AD$1,Unified_Matrix!$1:$1,0)):INDEX(Unified_Matrix!$A:$ZZ,300,MATCH("Max "&amp;AD$1,Unified_Matrix!$1:$1,0)),INDEX(Unified_Matrix!$A:$ZZ,3,MATCH("Max "&amp;AD$1,Unified_Matrix!$1:$1,0)):INDEX(Unified_Matrix!$A:$ZZ,300,MATCH("Max "&amp;AD$1,Unified_Matrix!$1:$1,0)),"&lt;"&amp;AD2,INDEX(Unified_Matrix!$A:$ZZ,3,MATCH("Max "&amp;AD$1,Unified_Matrix!$1:$1,0)):INDEX(Unified_Matrix!$A:$ZZ,300,MATCH("Max "&amp;AD$1,Unified_Matrix!$1:$1,0)),"&gt;0")</f>
        <v/>
      </c>
      <c r="AE4" s="19">
        <f>_xlfn.MAXIFS(INDEX(Unified_Matrix!$A:$ZZ,3,MATCH("Max "&amp;AE$1,Unified_Matrix!$1:$1,0)):INDEX(Unified_Matrix!$A:$ZZ,300,MATCH("Max "&amp;AE$1,Unified_Matrix!$1:$1,0)),INDEX(Unified_Matrix!$A:$ZZ,3,MATCH("Max "&amp;AE$1,Unified_Matrix!$1:$1,0)):INDEX(Unified_Matrix!$A:$ZZ,300,MATCH("Max "&amp;AE$1,Unified_Matrix!$1:$1,0)),"&lt;"&amp;AE2,INDEX(Unified_Matrix!$A:$ZZ,3,MATCH("Max "&amp;AE$1,Unified_Matrix!$1:$1,0)):INDEX(Unified_Matrix!$A:$ZZ,300,MATCH("Max "&amp;AE$1,Unified_Matrix!$1:$1,0)),"&gt;0")</f>
        <v/>
      </c>
      <c r="AF4" s="19">
        <f>_xlfn.MAXIFS(INDEX(Unified_Matrix!$A:$ZZ,3,MATCH("Max "&amp;AF$1,Unified_Matrix!$1:$1,0)):INDEX(Unified_Matrix!$A:$ZZ,300,MATCH("Max "&amp;AF$1,Unified_Matrix!$1:$1,0)),INDEX(Unified_Matrix!$A:$ZZ,3,MATCH("Max "&amp;AF$1,Unified_Matrix!$1:$1,0)):INDEX(Unified_Matrix!$A:$ZZ,300,MATCH("Max "&amp;AF$1,Unified_Matrix!$1:$1,0)),"&lt;"&amp;AF2,INDEX(Unified_Matrix!$A:$ZZ,3,MATCH("Max "&amp;AF$1,Unified_Matrix!$1:$1,0)):INDEX(Unified_Matrix!$A:$ZZ,300,MATCH("Max "&amp;AF$1,Unified_Matrix!$1:$1,0)),"&gt;0")</f>
        <v/>
      </c>
      <c r="AG4" s="19">
        <f>_xlfn.MAXIFS(INDEX(Unified_Matrix!$A:$ZZ,3,MATCH("Max "&amp;AG$1,Unified_Matrix!$1:$1,0)):INDEX(Unified_Matrix!$A:$ZZ,300,MATCH("Max "&amp;AG$1,Unified_Matrix!$1:$1,0)),INDEX(Unified_Matrix!$A:$ZZ,3,MATCH("Max "&amp;AG$1,Unified_Matrix!$1:$1,0)):INDEX(Unified_Matrix!$A:$ZZ,300,MATCH("Max "&amp;AG$1,Unified_Matrix!$1:$1,0)),"&lt;"&amp;AG2,INDEX(Unified_Matrix!$A:$ZZ,3,MATCH("Max "&amp;AG$1,Unified_Matrix!$1:$1,0)):INDEX(Unified_Matrix!$A:$ZZ,300,MATCH("Max "&amp;AG$1,Unified_Matrix!$1:$1,0)),"&gt;0")</f>
        <v/>
      </c>
      <c r="AH4" s="19">
        <f>_xlfn.MAXIFS(INDEX(Unified_Matrix!$A:$ZZ,3,MATCH("Max "&amp;AH$1,Unified_Matrix!$1:$1,0)):INDEX(Unified_Matrix!$A:$ZZ,300,MATCH("Max "&amp;AH$1,Unified_Matrix!$1:$1,0)),INDEX(Unified_Matrix!$A:$ZZ,3,MATCH("Max "&amp;AH$1,Unified_Matrix!$1:$1,0)):INDEX(Unified_Matrix!$A:$ZZ,300,MATCH("Max "&amp;AH$1,Unified_Matrix!$1:$1,0)),"&lt;"&amp;AH2,INDEX(Unified_Matrix!$A:$ZZ,3,MATCH("Max "&amp;AH$1,Unified_Matrix!$1:$1,0)):INDEX(Unified_Matrix!$A:$ZZ,300,MATCH("Max "&amp;AH$1,Unified_Matrix!$1:$1,0)),"&gt;0")</f>
        <v/>
      </c>
      <c r="AI4" s="19">
        <f>_xlfn.MAXIFS(INDEX(Unified_Matrix!$A:$ZZ,3,MATCH("Max "&amp;AI$1,Unified_Matrix!$1:$1,0)):INDEX(Unified_Matrix!$A:$ZZ,300,MATCH("Max "&amp;AI$1,Unified_Matrix!$1:$1,0)),INDEX(Unified_Matrix!$A:$ZZ,3,MATCH("Max "&amp;AI$1,Unified_Matrix!$1:$1,0)):INDEX(Unified_Matrix!$A:$ZZ,300,MATCH("Max "&amp;AI$1,Unified_Matrix!$1:$1,0)),"&lt;"&amp;AI2,INDEX(Unified_Matrix!$A:$ZZ,3,MATCH("Max "&amp;AI$1,Unified_Matrix!$1:$1,0)):INDEX(Unified_Matrix!$A:$ZZ,300,MATCH("Max "&amp;AI$1,Unified_Matrix!$1:$1,0)),"&gt;0")</f>
        <v/>
      </c>
      <c r="AJ4" s="19">
        <f>_xlfn.MAXIFS(INDEX(Unified_Matrix!$A:$ZZ,3,MATCH("Max "&amp;AJ$1,Unified_Matrix!$1:$1,0)):INDEX(Unified_Matrix!$A:$ZZ,300,MATCH("Max "&amp;AJ$1,Unified_Matrix!$1:$1,0)),INDEX(Unified_Matrix!$A:$ZZ,3,MATCH("Max "&amp;AJ$1,Unified_Matrix!$1:$1,0)):INDEX(Unified_Matrix!$A:$ZZ,300,MATCH("Max "&amp;AJ$1,Unified_Matrix!$1:$1,0)),"&lt;"&amp;AJ2,INDEX(Unified_Matrix!$A:$ZZ,3,MATCH("Max "&amp;AJ$1,Unified_Matrix!$1:$1,0)):INDEX(Unified_Matrix!$A:$ZZ,300,MATCH("Max "&amp;AJ$1,Unified_Matrix!$1:$1,0)),"&gt;0")</f>
        <v/>
      </c>
      <c r="AK4" s="19">
        <f>_xlfn.MAXIFS(INDEX(Unified_Matrix!$A:$ZZ,3,MATCH("Max "&amp;AK$1,Unified_Matrix!$1:$1,0)):INDEX(Unified_Matrix!$A:$ZZ,300,MATCH("Max "&amp;AK$1,Unified_Matrix!$1:$1,0)),INDEX(Unified_Matrix!$A:$ZZ,3,MATCH("Max "&amp;AK$1,Unified_Matrix!$1:$1,0)):INDEX(Unified_Matrix!$A:$ZZ,300,MATCH("Max "&amp;AK$1,Unified_Matrix!$1:$1,0)),"&lt;"&amp;AK2,INDEX(Unified_Matrix!$A:$ZZ,3,MATCH("Max "&amp;AK$1,Unified_Matrix!$1:$1,0)):INDEX(Unified_Matrix!$A:$ZZ,300,MATCH("Max "&amp;AK$1,Unified_Matrix!$1:$1,0)),"&gt;0")</f>
        <v/>
      </c>
      <c r="AL4" s="19">
        <f>_xlfn.MAXIFS(INDEX(Unified_Matrix!$A:$ZZ,3,MATCH("Max "&amp;AL$1,Unified_Matrix!$1:$1,0)):INDEX(Unified_Matrix!$A:$ZZ,300,MATCH("Max "&amp;AL$1,Unified_Matrix!$1:$1,0)),INDEX(Unified_Matrix!$A:$ZZ,3,MATCH("Max "&amp;AL$1,Unified_Matrix!$1:$1,0)):INDEX(Unified_Matrix!$A:$ZZ,300,MATCH("Max "&amp;AL$1,Unified_Matrix!$1:$1,0)),"&lt;"&amp;AL2,INDEX(Unified_Matrix!$A:$ZZ,3,MATCH("Max "&amp;AL$1,Unified_Matrix!$1:$1,0)):INDEX(Unified_Matrix!$A:$ZZ,300,MATCH("Max "&amp;AL$1,Unified_Matrix!$1:$1,0)),"&gt;0")</f>
        <v/>
      </c>
      <c r="AM4" s="19">
        <f>_xlfn.MAXIFS(INDEX(Unified_Matrix!$A:$ZZ,3,MATCH("Max "&amp;AM$1,Unified_Matrix!$1:$1,0)):INDEX(Unified_Matrix!$A:$ZZ,300,MATCH("Max "&amp;AM$1,Unified_Matrix!$1:$1,0)),INDEX(Unified_Matrix!$A:$ZZ,3,MATCH("Max "&amp;AM$1,Unified_Matrix!$1:$1,0)):INDEX(Unified_Matrix!$A:$ZZ,300,MATCH("Max "&amp;AM$1,Unified_Matrix!$1:$1,0)),"&lt;"&amp;AM2,INDEX(Unified_Matrix!$A:$ZZ,3,MATCH("Max "&amp;AM$1,Unified_Matrix!$1:$1,0)):INDEX(Unified_Matrix!$A:$ZZ,300,MATCH("Max "&amp;AM$1,Unified_Matrix!$1:$1,0)),"&gt;0")</f>
        <v/>
      </c>
      <c r="AN4" s="19">
        <f>_xlfn.MAXIFS(INDEX(Unified_Matrix!$A:$ZZ,3,MATCH("Max "&amp;AN$1,Unified_Matrix!$1:$1,0)):INDEX(Unified_Matrix!$A:$ZZ,300,MATCH("Max "&amp;AN$1,Unified_Matrix!$1:$1,0)),INDEX(Unified_Matrix!$A:$ZZ,3,MATCH("Max "&amp;AN$1,Unified_Matrix!$1:$1,0)):INDEX(Unified_Matrix!$A:$ZZ,300,MATCH("Max "&amp;AN$1,Unified_Matrix!$1:$1,0)),"&lt;"&amp;AN2,INDEX(Unified_Matrix!$A:$ZZ,3,MATCH("Max "&amp;AN$1,Unified_Matrix!$1:$1,0)):INDEX(Unified_Matrix!$A:$ZZ,300,MATCH("Max "&amp;AN$1,Unified_Matrix!$1:$1,0)),"&gt;0")</f>
        <v/>
      </c>
      <c r="AO4" s="19">
        <f>_xlfn.MAXIFS(INDEX(Unified_Matrix!$A:$ZZ,3,MATCH("Max "&amp;AO$1,Unified_Matrix!$1:$1,0)):INDEX(Unified_Matrix!$A:$ZZ,300,MATCH("Max "&amp;AO$1,Unified_Matrix!$1:$1,0)),INDEX(Unified_Matrix!$A:$ZZ,3,MATCH("Max "&amp;AO$1,Unified_Matrix!$1:$1,0)):INDEX(Unified_Matrix!$A:$ZZ,300,MATCH("Max "&amp;AO$1,Unified_Matrix!$1:$1,0)),"&lt;"&amp;AO2,INDEX(Unified_Matrix!$A:$ZZ,3,MATCH("Max "&amp;AO$1,Unified_Matrix!$1:$1,0)):INDEX(Unified_Matrix!$A:$ZZ,300,MATCH("Max "&amp;AO$1,Unified_Matrix!$1:$1,0)),"&gt;0")</f>
        <v/>
      </c>
      <c r="AP4" s="19">
        <f>_xlfn.MAXIFS(INDEX(Unified_Matrix!$A:$ZZ,3,MATCH("Max "&amp;AP$1,Unified_Matrix!$1:$1,0)):INDEX(Unified_Matrix!$A:$ZZ,300,MATCH("Max "&amp;AP$1,Unified_Matrix!$1:$1,0)),INDEX(Unified_Matrix!$A:$ZZ,3,MATCH("Max "&amp;AP$1,Unified_Matrix!$1:$1,0)):INDEX(Unified_Matrix!$A:$ZZ,300,MATCH("Max "&amp;AP$1,Unified_Matrix!$1:$1,0)),"&lt;"&amp;AP2,INDEX(Unified_Matrix!$A:$ZZ,3,MATCH("Max "&amp;AP$1,Unified_Matrix!$1:$1,0)):INDEX(Unified_Matrix!$A:$ZZ,300,MATCH("Max "&amp;AP$1,Unified_Matrix!$1:$1,0)),"&gt;0")</f>
        <v/>
      </c>
      <c r="AQ4" s="19">
        <f>_xlfn.MAXIFS(INDEX(Unified_Matrix!$A:$ZZ,3,MATCH("Max "&amp;AQ$1,Unified_Matrix!$1:$1,0)):INDEX(Unified_Matrix!$A:$ZZ,300,MATCH("Max "&amp;AQ$1,Unified_Matrix!$1:$1,0)),INDEX(Unified_Matrix!$A:$ZZ,3,MATCH("Max "&amp;AQ$1,Unified_Matrix!$1:$1,0)):INDEX(Unified_Matrix!$A:$ZZ,300,MATCH("Max "&amp;AQ$1,Unified_Matrix!$1:$1,0)),"&lt;"&amp;AQ2,INDEX(Unified_Matrix!$A:$ZZ,3,MATCH("Max "&amp;AQ$1,Unified_Matrix!$1:$1,0)):INDEX(Unified_Matrix!$A:$ZZ,300,MATCH("Max "&amp;AQ$1,Unified_Matrix!$1:$1,0)),"&gt;0")</f>
        <v/>
      </c>
      <c r="AR4" s="19">
        <f>_xlfn.MAXIFS(INDEX(Unified_Matrix!$A:$ZZ,3,MATCH("Max "&amp;AR$1,Unified_Matrix!$1:$1,0)):INDEX(Unified_Matrix!$A:$ZZ,300,MATCH("Max "&amp;AR$1,Unified_Matrix!$1:$1,0)),INDEX(Unified_Matrix!$A:$ZZ,3,MATCH("Max "&amp;AR$1,Unified_Matrix!$1:$1,0)):INDEX(Unified_Matrix!$A:$ZZ,300,MATCH("Max "&amp;AR$1,Unified_Matrix!$1:$1,0)),"&lt;"&amp;AR2,INDEX(Unified_Matrix!$A:$ZZ,3,MATCH("Max "&amp;AR$1,Unified_Matrix!$1:$1,0)):INDEX(Unified_Matrix!$A:$ZZ,300,MATCH("Max "&amp;AR$1,Unified_Matrix!$1:$1,0)),"&gt;0")</f>
        <v/>
      </c>
      <c r="AS4" s="19">
        <f>_xlfn.MAXIFS(INDEX(Unified_Matrix!$A:$ZZ,3,MATCH("Max "&amp;AS$1,Unified_Matrix!$1:$1,0)):INDEX(Unified_Matrix!$A:$ZZ,300,MATCH("Max "&amp;AS$1,Unified_Matrix!$1:$1,0)),INDEX(Unified_Matrix!$A:$ZZ,3,MATCH("Max "&amp;AS$1,Unified_Matrix!$1:$1,0)):INDEX(Unified_Matrix!$A:$ZZ,300,MATCH("Max "&amp;AS$1,Unified_Matrix!$1:$1,0)),"&lt;"&amp;AS2,INDEX(Unified_Matrix!$A:$ZZ,3,MATCH("Max "&amp;AS$1,Unified_Matrix!$1:$1,0)):INDEX(Unified_Matrix!$A:$ZZ,300,MATCH("Max "&amp;AS$1,Unified_Matrix!$1:$1,0)),"&gt;0")</f>
        <v/>
      </c>
      <c r="AT4" s="19">
        <f>_xlfn.MAXIFS(INDEX(Unified_Matrix!$A:$ZZ,3,MATCH("Max "&amp;AT$1,Unified_Matrix!$1:$1,0)):INDEX(Unified_Matrix!$A:$ZZ,300,MATCH("Max "&amp;AT$1,Unified_Matrix!$1:$1,0)),INDEX(Unified_Matrix!$A:$ZZ,3,MATCH("Max "&amp;AT$1,Unified_Matrix!$1:$1,0)):INDEX(Unified_Matrix!$A:$ZZ,300,MATCH("Max "&amp;AT$1,Unified_Matrix!$1:$1,0)),"&lt;"&amp;AT2,INDEX(Unified_Matrix!$A:$ZZ,3,MATCH("Max "&amp;AT$1,Unified_Matrix!$1:$1,0)):INDEX(Unified_Matrix!$A:$ZZ,300,MATCH("Max "&amp;AT$1,Unified_Matrix!$1:$1,0)),"&gt;0")</f>
        <v/>
      </c>
    </row>
    <row r="5" ht="97.5"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f t="array" ref="K5">IF(K4=0,"",_xlfn.TEXTJOIN(CHAR(10),TRUE,IF((INDEX(Unified_Matrix!$A:$ZZ,3,MATCH("Max "&amp;K$1,Unified_Matrix!$1:$1,0)):INDEX(Unified_Matrix!$A:$ZZ,300,MATCH("Max "&amp;K$1,Unified_Matrix!$1:$1,0))=K4)*(INDEX(Unified_Matrix!$A:$ZZ,3,MATCH("Max "&amp;K$1,Unified_Matrix!$1:$1,0)):INDEX(Unified_Matrix!$A:$ZZ,300,MATCH("Max "&amp;K$1,Unified_Matrix!$1:$1,0))&gt;0),INDEX(Unified_Matrix!$A:$ZZ,3,MATCH("Evolution_Name",Unified_Matrix!$1:$1,0)):INDEX(Unified_Matrix!$A:$ZZ,300,MATCH("Evolution_Name",Unified_Matrix!$1:$1,0)),"")))</f>
        <v/>
      </c>
      <c r="L5" s="20">
        <f t="array" ref="L5">IF(L4=0,"",_xlfn.TEXTJOIN(CHAR(10),TRUE,IF((INDEX(Unified_Matrix!$A:$ZZ,3,MATCH("Max "&amp;L$1,Unified_Matrix!$1:$1,0)):INDEX(Unified_Matrix!$A:$ZZ,300,MATCH("Max "&amp;L$1,Unified_Matrix!$1:$1,0))=L4)*(INDEX(Unified_Matrix!$A:$ZZ,3,MATCH("Max "&amp;L$1,Unified_Matrix!$1:$1,0)):INDEX(Unified_Matrix!$A:$ZZ,300,MATCH("Max "&amp;L$1,Unified_Matrix!$1:$1,0))&gt;0),INDEX(Unified_Matrix!$A:$ZZ,3,MATCH("Evolution_Name",Unified_Matrix!$1:$1,0)):INDEX(Unified_Matrix!$A:$ZZ,300,MATCH("Evolution_Name",Unified_Matrix!$1:$1,0)),"")))</f>
        <v/>
      </c>
      <c r="M5" s="20">
        <f t="array" ref="M5">IF(M4=0,"",_xlfn.TEXTJOIN(CHAR(10),TRUE,IF((INDEX(Unified_Matrix!$A:$ZZ,3,MATCH("Max "&amp;M$1,Unified_Matrix!$1:$1,0)):INDEX(Unified_Matrix!$A:$ZZ,300,MATCH("Max "&amp;M$1,Unified_Matrix!$1:$1,0))=M4)*(INDEX(Unified_Matrix!$A:$ZZ,3,MATCH("Max "&amp;M$1,Unified_Matrix!$1:$1,0)):INDEX(Unified_Matrix!$A:$ZZ,300,MATCH("Max "&amp;M$1,Unified_Matrix!$1:$1,0))&gt;0),INDEX(Unified_Matrix!$A:$ZZ,3,MATCH("Evolution_Name",Unified_Matrix!$1:$1,0)):INDEX(Unified_Matrix!$A:$ZZ,300,MATCH("Evolution_Name",Unified_Matrix!$1:$1,0)),"")))</f>
        <v/>
      </c>
      <c r="N5" s="20">
        <f t="array" ref="N5">IF(N4=0,"",_xlfn.TEXTJOIN(CHAR(10),TRUE,IF((INDEX(Unified_Matrix!$A:$ZZ,3,MATCH("Max "&amp;N$1,Unified_Matrix!$1:$1,0)):INDEX(Unified_Matrix!$A:$ZZ,300,MATCH("Max "&amp;N$1,Unified_Matrix!$1:$1,0))=N4)*(INDEX(Unified_Matrix!$A:$ZZ,3,MATCH("Max "&amp;N$1,Unified_Matrix!$1:$1,0)):INDEX(Unified_Matrix!$A:$ZZ,300,MATCH("Max "&amp;N$1,Unified_Matrix!$1:$1,0))&gt;0),INDEX(Unified_Matrix!$A:$ZZ,3,MATCH("Evolution_Name",Unified_Matrix!$1:$1,0)):INDEX(Unified_Matrix!$A:$ZZ,300,MATCH("Evolution_Name",Unified_Matrix!$1:$1,0)),"")))</f>
        <v/>
      </c>
      <c r="O5" s="20">
        <f t="array" ref="O5">IF(O4=0,"",_xlfn.TEXTJOIN(CHAR(10),TRUE,IF((INDEX(Unified_Matrix!$A:$ZZ,3,MATCH("Max "&amp;O$1,Unified_Matrix!$1:$1,0)):INDEX(Unified_Matrix!$A:$ZZ,300,MATCH("Max "&amp;O$1,Unified_Matrix!$1:$1,0))=O4)*(INDEX(Unified_Matrix!$A:$ZZ,3,MATCH("Max "&amp;O$1,Unified_Matrix!$1:$1,0)):INDEX(Unified_Matrix!$A:$ZZ,300,MATCH("Max "&amp;O$1,Unified_Matrix!$1:$1,0))&gt;0),INDEX(Unified_Matrix!$A:$ZZ,3,MATCH("Evolution_Name",Unified_Matrix!$1:$1,0)):INDEX(Unified_Matrix!$A:$ZZ,300,MATCH("Evolution_Name",Unified_Matrix!$1:$1,0)),"")))</f>
        <v/>
      </c>
      <c r="P5" s="20">
        <f t="array" ref="P5">IF(P4=0,"",_xlfn.TEXTJOIN(CHAR(10),TRUE,IF((INDEX(Unified_Matrix!$A:$ZZ,3,MATCH("Max "&amp;P$1,Unified_Matrix!$1:$1,0)):INDEX(Unified_Matrix!$A:$ZZ,300,MATCH("Max "&amp;P$1,Unified_Matrix!$1:$1,0))=P4)*(INDEX(Unified_Matrix!$A:$ZZ,3,MATCH("Max "&amp;P$1,Unified_Matrix!$1:$1,0)):INDEX(Unified_Matrix!$A:$ZZ,300,MATCH("Max "&amp;P$1,Unified_Matrix!$1:$1,0))&gt;0),INDEX(Unified_Matrix!$A:$ZZ,3,MATCH("Evolution_Name",Unified_Matrix!$1:$1,0)):INDEX(Unified_Matrix!$A:$ZZ,300,MATCH("Evolution_Name",Unified_Matrix!$1:$1,0)),"")))</f>
        <v/>
      </c>
      <c r="Q5" s="20">
        <f t="array" ref="Q5">IF(Q4=0,"",_xlfn.TEXTJOIN(CHAR(10),TRUE,IF((INDEX(Unified_Matrix!$A:$ZZ,3,MATCH("Max "&amp;Q$1,Unified_Matrix!$1:$1,0)):INDEX(Unified_Matrix!$A:$ZZ,300,MATCH("Max "&amp;Q$1,Unified_Matrix!$1:$1,0))=Q4)*(INDEX(Unified_Matrix!$A:$ZZ,3,MATCH("Max "&amp;Q$1,Unified_Matrix!$1:$1,0)):INDEX(Unified_Matrix!$A:$ZZ,300,MATCH("Max "&amp;Q$1,Unified_Matrix!$1:$1,0))&gt;0),INDEX(Unified_Matrix!$A:$ZZ,3,MATCH("Evolution_Name",Unified_Matrix!$1:$1,0)):INDEX(Unified_Matrix!$A:$ZZ,300,MATCH("Evolution_Name",Unified_Matrix!$1:$1,0)),"")))</f>
        <v/>
      </c>
      <c r="R5" s="20">
        <f t="array" ref="R5">IF(R4=0,"",_xlfn.TEXTJOIN(CHAR(10),TRUE,IF((INDEX(Unified_Matrix!$A:$ZZ,3,MATCH("Max "&amp;R$1,Unified_Matrix!$1:$1,0)):INDEX(Unified_Matrix!$A:$ZZ,300,MATCH("Max "&amp;R$1,Unified_Matrix!$1:$1,0))=R4)*(INDEX(Unified_Matrix!$A:$ZZ,3,MATCH("Max "&amp;R$1,Unified_Matrix!$1:$1,0)):INDEX(Unified_Matrix!$A:$ZZ,300,MATCH("Max "&amp;R$1,Unified_Matrix!$1:$1,0))&gt;0),INDEX(Unified_Matrix!$A:$ZZ,3,MATCH("Evolution_Name",Unified_Matrix!$1:$1,0)):INDEX(Unified_Matrix!$A:$ZZ,300,MATCH("Evolution_Name",Unified_Matrix!$1:$1,0)),"")))</f>
        <v/>
      </c>
      <c r="S5" s="20">
        <f t="array" ref="S5">IF(S4=0,"",_xlfn.TEXTJOIN(CHAR(10),TRUE,IF((INDEX(Unified_Matrix!$A:$ZZ,3,MATCH("Max "&amp;S$1,Unified_Matrix!$1:$1,0)):INDEX(Unified_Matrix!$A:$ZZ,300,MATCH("Max "&amp;S$1,Unified_Matrix!$1:$1,0))=S4)*(INDEX(Unified_Matrix!$A:$ZZ,3,MATCH("Max "&amp;S$1,Unified_Matrix!$1:$1,0)):INDEX(Unified_Matrix!$A:$ZZ,300,MATCH("Max "&amp;S$1,Unified_Matrix!$1:$1,0))&gt;0),INDEX(Unified_Matrix!$A:$ZZ,3,MATCH("Evolution_Name",Unified_Matrix!$1:$1,0)):INDEX(Unified_Matrix!$A:$ZZ,300,MATCH("Evolution_Name",Unified_Matrix!$1:$1,0)),"")))</f>
        <v/>
      </c>
      <c r="T5" s="20">
        <f t="array" ref="T5">IF(T4=0,"",_xlfn.TEXTJOIN(CHAR(10),TRUE,IF((INDEX(Unified_Matrix!$A:$ZZ,3,MATCH("Max "&amp;T$1,Unified_Matrix!$1:$1,0)):INDEX(Unified_Matrix!$A:$ZZ,300,MATCH("Max "&amp;T$1,Unified_Matrix!$1:$1,0))=T4)*(INDEX(Unified_Matrix!$A:$ZZ,3,MATCH("Max "&amp;T$1,Unified_Matrix!$1:$1,0)):INDEX(Unified_Matrix!$A:$ZZ,300,MATCH("Max "&amp;T$1,Unified_Matrix!$1:$1,0))&gt;0),INDEX(Unified_Matrix!$A:$ZZ,3,MATCH("Evolution_Name",Unified_Matrix!$1:$1,0)):INDEX(Unified_Matrix!$A:$ZZ,300,MATCH("Evolution_Name",Unified_Matrix!$1:$1,0)),"")))</f>
        <v/>
      </c>
      <c r="U5" s="20">
        <f t="array" ref="U5">IF(U4=0,"",_xlfn.TEXTJOIN(CHAR(10),TRUE,IF((INDEX(Unified_Matrix!$A:$ZZ,3,MATCH("Max "&amp;U$1,Unified_Matrix!$1:$1,0)):INDEX(Unified_Matrix!$A:$ZZ,300,MATCH("Max "&amp;U$1,Unified_Matrix!$1:$1,0))=U4)*(INDEX(Unified_Matrix!$A:$ZZ,3,MATCH("Max "&amp;U$1,Unified_Matrix!$1:$1,0)):INDEX(Unified_Matrix!$A:$ZZ,300,MATCH("Max "&amp;U$1,Unified_Matrix!$1:$1,0))&gt;0),INDEX(Unified_Matrix!$A:$ZZ,3,MATCH("Evolution_Name",Unified_Matrix!$1:$1,0)):INDEX(Unified_Matrix!$A:$ZZ,300,MATCH("Evolution_Name",Unified_Matrix!$1:$1,0)),"")))</f>
        <v/>
      </c>
      <c r="V5" s="20">
        <f t="array" ref="V5">IF(V4=0,"",_xlfn.TEXTJOIN(CHAR(10),TRUE,IF((INDEX(Unified_Matrix!$A:$ZZ,3,MATCH("Max "&amp;V$1,Unified_Matrix!$1:$1,0)):INDEX(Unified_Matrix!$A:$ZZ,300,MATCH("Max "&amp;V$1,Unified_Matrix!$1:$1,0))=V4)*(INDEX(Unified_Matrix!$A:$ZZ,3,MATCH("Max "&amp;V$1,Unified_Matrix!$1:$1,0)):INDEX(Unified_Matrix!$A:$ZZ,300,MATCH("Max "&amp;V$1,Unified_Matrix!$1:$1,0))&gt;0),INDEX(Unified_Matrix!$A:$ZZ,3,MATCH("Evolution_Name",Unified_Matrix!$1:$1,0)):INDEX(Unified_Matrix!$A:$ZZ,300,MATCH("Evolution_Name",Unified_Matrix!$1:$1,0)),"")))</f>
        <v/>
      </c>
      <c r="W5" s="20">
        <f t="array" ref="W5">IF(W4=0,"",_xlfn.TEXTJOIN(CHAR(10),TRUE,IF((INDEX(Unified_Matrix!$A:$ZZ,3,MATCH("Max "&amp;W$1,Unified_Matrix!$1:$1,0)):INDEX(Unified_Matrix!$A:$ZZ,300,MATCH("Max "&amp;W$1,Unified_Matrix!$1:$1,0))=W4)*(INDEX(Unified_Matrix!$A:$ZZ,3,MATCH("Max "&amp;W$1,Unified_Matrix!$1:$1,0)):INDEX(Unified_Matrix!$A:$ZZ,300,MATCH("Max "&amp;W$1,Unified_Matrix!$1:$1,0))&gt;0),INDEX(Unified_Matrix!$A:$ZZ,3,MATCH("Evolution_Name",Unified_Matrix!$1:$1,0)):INDEX(Unified_Matrix!$A:$ZZ,300,MATCH("Evolution_Name",Unified_Matrix!$1:$1,0)),"")))</f>
        <v/>
      </c>
      <c r="X5" s="20">
        <f t="array" ref="X5">IF(X4=0,"",_xlfn.TEXTJOIN(CHAR(10),TRUE,IF((INDEX(Unified_Matrix!$A:$ZZ,3,MATCH("Max "&amp;X$1,Unified_Matrix!$1:$1,0)):INDEX(Unified_Matrix!$A:$ZZ,300,MATCH("Max "&amp;X$1,Unified_Matrix!$1:$1,0))=X4)*(INDEX(Unified_Matrix!$A:$ZZ,3,MATCH("Max "&amp;X$1,Unified_Matrix!$1:$1,0)):INDEX(Unified_Matrix!$A:$ZZ,300,MATCH("Max "&amp;X$1,Unified_Matrix!$1:$1,0))&gt;0),INDEX(Unified_Matrix!$A:$ZZ,3,MATCH("Evolution_Name",Unified_Matrix!$1:$1,0)):INDEX(Unified_Matrix!$A:$ZZ,300,MATCH("Evolution_Name",Unified_Matrix!$1:$1,0)),"")))</f>
        <v/>
      </c>
      <c r="Y5" s="20">
        <f t="array" ref="Y5">IF(Y4=0,"",_xlfn.TEXTJOIN(CHAR(10),TRUE,IF((INDEX(Unified_Matrix!$A:$ZZ,3,MATCH("Max "&amp;Y$1,Unified_Matrix!$1:$1,0)):INDEX(Unified_Matrix!$A:$ZZ,300,MATCH("Max "&amp;Y$1,Unified_Matrix!$1:$1,0))=Y4)*(INDEX(Unified_Matrix!$A:$ZZ,3,MATCH("Max "&amp;Y$1,Unified_Matrix!$1:$1,0)):INDEX(Unified_Matrix!$A:$ZZ,300,MATCH("Max "&amp;Y$1,Unified_Matrix!$1:$1,0))&gt;0),INDEX(Unified_Matrix!$A:$ZZ,3,MATCH("Evolution_Name",Unified_Matrix!$1:$1,0)):INDEX(Unified_Matrix!$A:$ZZ,300,MATCH("Evolution_Name",Unified_Matrix!$1:$1,0)),"")))</f>
        <v/>
      </c>
      <c r="Z5" s="20">
        <f t="array" ref="Z5">IF(Z4=0,"",_xlfn.TEXTJOIN(CHAR(10),TRUE,IF((INDEX(Unified_Matrix!$A:$ZZ,3,MATCH("Max "&amp;Z$1,Unified_Matrix!$1:$1,0)):INDEX(Unified_Matrix!$A:$ZZ,300,MATCH("Max "&amp;Z$1,Unified_Matrix!$1:$1,0))=Z4)*(INDEX(Unified_Matrix!$A:$ZZ,3,MATCH("Max "&amp;Z$1,Unified_Matrix!$1:$1,0)):INDEX(Unified_Matrix!$A:$ZZ,300,MATCH("Max "&amp;Z$1,Unified_Matrix!$1:$1,0))&gt;0),INDEX(Unified_Matrix!$A:$ZZ,3,MATCH("Evolution_Name",Unified_Matrix!$1:$1,0)):INDEX(Unified_Matrix!$A:$ZZ,300,MATCH("Evolution_Name",Unified_Matrix!$1:$1,0)),"")))</f>
        <v/>
      </c>
      <c r="AA5" s="20">
        <f t="array" ref="AA5">IF(AA4=0,"",_xlfn.TEXTJOIN(CHAR(10),TRUE,IF((INDEX(Unified_Matrix!$A:$ZZ,3,MATCH("Max "&amp;AA$1,Unified_Matrix!$1:$1,0)):INDEX(Unified_Matrix!$A:$ZZ,300,MATCH("Max "&amp;AA$1,Unified_Matrix!$1:$1,0))=AA4)*(INDEX(Unified_Matrix!$A:$ZZ,3,MATCH("Max "&amp;AA$1,Unified_Matrix!$1:$1,0)):INDEX(Unified_Matrix!$A:$ZZ,300,MATCH("Max "&amp;AA$1,Unified_Matrix!$1:$1,0))&gt;0),INDEX(Unified_Matrix!$A:$ZZ,3,MATCH("Evolution_Name",Unified_Matrix!$1:$1,0)):INDEX(Unified_Matrix!$A:$ZZ,300,MATCH("Evolution_Name",Unified_Matrix!$1:$1,0)),"")))</f>
        <v/>
      </c>
      <c r="AB5" s="20">
        <f t="array" ref="AB5">IF(AB4=0,"",_xlfn.TEXTJOIN(CHAR(10),TRUE,IF((INDEX(Unified_Matrix!$A:$ZZ,3,MATCH("Max "&amp;AB$1,Unified_Matrix!$1:$1,0)):INDEX(Unified_Matrix!$A:$ZZ,300,MATCH("Max "&amp;AB$1,Unified_Matrix!$1:$1,0))=AB4)*(INDEX(Unified_Matrix!$A:$ZZ,3,MATCH("Max "&amp;AB$1,Unified_Matrix!$1:$1,0)):INDEX(Unified_Matrix!$A:$ZZ,300,MATCH("Max "&amp;AB$1,Unified_Matrix!$1:$1,0))&gt;0),INDEX(Unified_Matrix!$A:$ZZ,3,MATCH("Evolution_Name",Unified_Matrix!$1:$1,0)):INDEX(Unified_Matrix!$A:$ZZ,300,MATCH("Evolution_Name",Unified_Matrix!$1:$1,0)),"")))</f>
        <v/>
      </c>
      <c r="AC5" s="20">
        <f t="array" ref="AC5">IF(AC4=0,"",_xlfn.TEXTJOIN(CHAR(10),TRUE,IF((INDEX(Unified_Matrix!$A:$ZZ,3,MATCH("Max "&amp;AC$1,Unified_Matrix!$1:$1,0)):INDEX(Unified_Matrix!$A:$ZZ,300,MATCH("Max "&amp;AC$1,Unified_Matrix!$1:$1,0))=AC4)*(INDEX(Unified_Matrix!$A:$ZZ,3,MATCH("Max "&amp;AC$1,Unified_Matrix!$1:$1,0)):INDEX(Unified_Matrix!$A:$ZZ,300,MATCH("Max "&amp;AC$1,Unified_Matrix!$1:$1,0))&gt;0),INDEX(Unified_Matrix!$A:$ZZ,3,MATCH("Evolution_Name",Unified_Matrix!$1:$1,0)):INDEX(Unified_Matrix!$A:$ZZ,300,MATCH("Evolution_Name",Unified_Matrix!$1:$1,0)),"")))</f>
        <v/>
      </c>
      <c r="AD5" s="20">
        <f t="array" ref="AD5">IF(AD4=0,"",_xlfn.TEXTJOIN(CHAR(10),TRUE,IF((INDEX(Unified_Matrix!$A:$ZZ,3,MATCH("Max "&amp;AD$1,Unified_Matrix!$1:$1,0)):INDEX(Unified_Matrix!$A:$ZZ,300,MATCH("Max "&amp;AD$1,Unified_Matrix!$1:$1,0))=AD4)*(INDEX(Unified_Matrix!$A:$ZZ,3,MATCH("Max "&amp;AD$1,Unified_Matrix!$1:$1,0)):INDEX(Unified_Matrix!$A:$ZZ,300,MATCH("Max "&amp;AD$1,Unified_Matrix!$1:$1,0))&gt;0),INDEX(Unified_Matrix!$A:$ZZ,3,MATCH("Evolution_Name",Unified_Matrix!$1:$1,0)):INDEX(Unified_Matrix!$A:$ZZ,300,MATCH("Evolution_Name",Unified_Matrix!$1:$1,0)),"")))</f>
        <v/>
      </c>
      <c r="AE5" s="20">
        <f t="array" ref="AE5">IF(AE4=0,"",_xlfn.TEXTJOIN(CHAR(10),TRUE,IF((INDEX(Unified_Matrix!$A:$ZZ,3,MATCH("Max "&amp;AE$1,Unified_Matrix!$1:$1,0)):INDEX(Unified_Matrix!$A:$ZZ,300,MATCH("Max "&amp;AE$1,Unified_Matrix!$1:$1,0))=AE4)*(INDEX(Unified_Matrix!$A:$ZZ,3,MATCH("Max "&amp;AE$1,Unified_Matrix!$1:$1,0)):INDEX(Unified_Matrix!$A:$ZZ,300,MATCH("Max "&amp;AE$1,Unified_Matrix!$1:$1,0))&gt;0),INDEX(Unified_Matrix!$A:$ZZ,3,MATCH("Evolution_Name",Unified_Matrix!$1:$1,0)):INDEX(Unified_Matrix!$A:$ZZ,300,MATCH("Evolution_Name",Unified_Matrix!$1:$1,0)),"")))</f>
        <v/>
      </c>
      <c r="AF5" s="20">
        <f t="array" ref="AF5">IF(AF4=0,"",_xlfn.TEXTJOIN(CHAR(10),TRUE,IF((INDEX(Unified_Matrix!$A:$ZZ,3,MATCH("Max "&amp;AF$1,Unified_Matrix!$1:$1,0)):INDEX(Unified_Matrix!$A:$ZZ,300,MATCH("Max "&amp;AF$1,Unified_Matrix!$1:$1,0))=AF4)*(INDEX(Unified_Matrix!$A:$ZZ,3,MATCH("Max "&amp;AF$1,Unified_Matrix!$1:$1,0)):INDEX(Unified_Matrix!$A:$ZZ,300,MATCH("Max "&amp;AF$1,Unified_Matrix!$1:$1,0))&gt;0),INDEX(Unified_Matrix!$A:$ZZ,3,MATCH("Evolution_Name",Unified_Matrix!$1:$1,0)):INDEX(Unified_Matrix!$A:$ZZ,300,MATCH("Evolution_Name",Unified_Matrix!$1:$1,0)),"")))</f>
        <v/>
      </c>
      <c r="AG5" s="20">
        <f t="array" ref="AG5">IF(AG4=0,"",_xlfn.TEXTJOIN(CHAR(10),TRUE,IF((INDEX(Unified_Matrix!$A:$ZZ,3,MATCH("Max "&amp;AG$1,Unified_Matrix!$1:$1,0)):INDEX(Unified_Matrix!$A:$ZZ,300,MATCH("Max "&amp;AG$1,Unified_Matrix!$1:$1,0))=AG4)*(INDEX(Unified_Matrix!$A:$ZZ,3,MATCH("Max "&amp;AG$1,Unified_Matrix!$1:$1,0)):INDEX(Unified_Matrix!$A:$ZZ,300,MATCH("Max "&amp;AG$1,Unified_Matrix!$1:$1,0))&gt;0),INDEX(Unified_Matrix!$A:$ZZ,3,MATCH("Evolution_Name",Unified_Matrix!$1:$1,0)):INDEX(Unified_Matrix!$A:$ZZ,300,MATCH("Evolution_Name",Unified_Matrix!$1:$1,0)),"")))</f>
        <v/>
      </c>
      <c r="AH5" s="20">
        <f t="array" ref="AH5">IF(AH4=0,"",_xlfn.TEXTJOIN(CHAR(10),TRUE,IF((INDEX(Unified_Matrix!$A:$ZZ,3,MATCH("Max "&amp;AH$1,Unified_Matrix!$1:$1,0)):INDEX(Unified_Matrix!$A:$ZZ,300,MATCH("Max "&amp;AH$1,Unified_Matrix!$1:$1,0))=AH4)*(INDEX(Unified_Matrix!$A:$ZZ,3,MATCH("Max "&amp;AH$1,Unified_Matrix!$1:$1,0)):INDEX(Unified_Matrix!$A:$ZZ,300,MATCH("Max "&amp;AH$1,Unified_Matrix!$1:$1,0))&gt;0),INDEX(Unified_Matrix!$A:$ZZ,3,MATCH("Evolution_Name",Unified_Matrix!$1:$1,0)):INDEX(Unified_Matrix!$A:$ZZ,300,MATCH("Evolution_Name",Unified_Matrix!$1:$1,0)),"")))</f>
        <v/>
      </c>
      <c r="AI5" s="20">
        <f t="array" ref="AI5">IF(AI4=0,"",_xlfn.TEXTJOIN(CHAR(10),TRUE,IF((INDEX(Unified_Matrix!$A:$ZZ,3,MATCH("Max "&amp;AI$1,Unified_Matrix!$1:$1,0)):INDEX(Unified_Matrix!$A:$ZZ,300,MATCH("Max "&amp;AI$1,Unified_Matrix!$1:$1,0))=AI4)*(INDEX(Unified_Matrix!$A:$ZZ,3,MATCH("Max "&amp;AI$1,Unified_Matrix!$1:$1,0)):INDEX(Unified_Matrix!$A:$ZZ,300,MATCH("Max "&amp;AI$1,Unified_Matrix!$1:$1,0))&gt;0),INDEX(Unified_Matrix!$A:$ZZ,3,MATCH("Evolution_Name",Unified_Matrix!$1:$1,0)):INDEX(Unified_Matrix!$A:$ZZ,300,MATCH("Evolution_Name",Unified_Matrix!$1:$1,0)),"")))</f>
        <v/>
      </c>
      <c r="AJ5" s="20">
        <f t="array" ref="AJ5">IF(AJ4=0,"",_xlfn.TEXTJOIN(CHAR(10),TRUE,IF((INDEX(Unified_Matrix!$A:$ZZ,3,MATCH("Max "&amp;AJ$1,Unified_Matrix!$1:$1,0)):INDEX(Unified_Matrix!$A:$ZZ,300,MATCH("Max "&amp;AJ$1,Unified_Matrix!$1:$1,0))=AJ4)*(INDEX(Unified_Matrix!$A:$ZZ,3,MATCH("Max "&amp;AJ$1,Unified_Matrix!$1:$1,0)):INDEX(Unified_Matrix!$A:$ZZ,300,MATCH("Max "&amp;AJ$1,Unified_Matrix!$1:$1,0))&gt;0),INDEX(Unified_Matrix!$A:$ZZ,3,MATCH("Evolution_Name",Unified_Matrix!$1:$1,0)):INDEX(Unified_Matrix!$A:$ZZ,300,MATCH("Evolution_Name",Unified_Matrix!$1:$1,0)),"")))</f>
        <v/>
      </c>
      <c r="AK5" s="20">
        <f t="array" ref="AK5">IF(AK4=0,"",_xlfn.TEXTJOIN(CHAR(10),TRUE,IF((INDEX(Unified_Matrix!$A:$ZZ,3,MATCH("Max "&amp;AK$1,Unified_Matrix!$1:$1,0)):INDEX(Unified_Matrix!$A:$ZZ,300,MATCH("Max "&amp;AK$1,Unified_Matrix!$1:$1,0))=AK4)*(INDEX(Unified_Matrix!$A:$ZZ,3,MATCH("Max "&amp;AK$1,Unified_Matrix!$1:$1,0)):INDEX(Unified_Matrix!$A:$ZZ,300,MATCH("Max "&amp;AK$1,Unified_Matrix!$1:$1,0))&gt;0),INDEX(Unified_Matrix!$A:$ZZ,3,MATCH("Evolution_Name",Unified_Matrix!$1:$1,0)):INDEX(Unified_Matrix!$A:$ZZ,300,MATCH("Evolution_Name",Unified_Matrix!$1:$1,0)),"")))</f>
        <v/>
      </c>
      <c r="AL5" s="20">
        <f t="array" ref="AL5">IF(AL4=0,"",_xlfn.TEXTJOIN(CHAR(10),TRUE,IF((INDEX(Unified_Matrix!$A:$ZZ,3,MATCH("Max "&amp;AL$1,Unified_Matrix!$1:$1,0)):INDEX(Unified_Matrix!$A:$ZZ,300,MATCH("Max "&amp;AL$1,Unified_Matrix!$1:$1,0))=AL4)*(INDEX(Unified_Matrix!$A:$ZZ,3,MATCH("Max "&amp;AL$1,Unified_Matrix!$1:$1,0)):INDEX(Unified_Matrix!$A:$ZZ,300,MATCH("Max "&amp;AL$1,Unified_Matrix!$1:$1,0))&gt;0),INDEX(Unified_Matrix!$A:$ZZ,3,MATCH("Evolution_Name",Unified_Matrix!$1:$1,0)):INDEX(Unified_Matrix!$A:$ZZ,300,MATCH("Evolution_Name",Unified_Matrix!$1:$1,0)),"")))</f>
        <v/>
      </c>
      <c r="AM5" s="20">
        <f t="array" ref="AM5">IF(AM4=0,"",_xlfn.TEXTJOIN(CHAR(10),TRUE,IF((INDEX(Unified_Matrix!$A:$ZZ,3,MATCH("Max "&amp;AM$1,Unified_Matrix!$1:$1,0)):INDEX(Unified_Matrix!$A:$ZZ,300,MATCH("Max "&amp;AM$1,Unified_Matrix!$1:$1,0))=AM4)*(INDEX(Unified_Matrix!$A:$ZZ,3,MATCH("Max "&amp;AM$1,Unified_Matrix!$1:$1,0)):INDEX(Unified_Matrix!$A:$ZZ,300,MATCH("Max "&amp;AM$1,Unified_Matrix!$1:$1,0))&gt;0),INDEX(Unified_Matrix!$A:$ZZ,3,MATCH("Evolution_Name",Unified_Matrix!$1:$1,0)):INDEX(Unified_Matrix!$A:$ZZ,300,MATCH("Evolution_Name",Unified_Matrix!$1:$1,0)),"")))</f>
        <v/>
      </c>
      <c r="AN5" s="20">
        <f t="array" ref="AN5">IF(AN4=0,"",_xlfn.TEXTJOIN(CHAR(10),TRUE,IF((INDEX(Unified_Matrix!$A:$ZZ,3,MATCH("Max "&amp;AN$1,Unified_Matrix!$1:$1,0)):INDEX(Unified_Matrix!$A:$ZZ,300,MATCH("Max "&amp;AN$1,Unified_Matrix!$1:$1,0))=AN4)*(INDEX(Unified_Matrix!$A:$ZZ,3,MATCH("Max "&amp;AN$1,Unified_Matrix!$1:$1,0)):INDEX(Unified_Matrix!$A:$ZZ,300,MATCH("Max "&amp;AN$1,Unified_Matrix!$1:$1,0))&gt;0),INDEX(Unified_Matrix!$A:$ZZ,3,MATCH("Evolution_Name",Unified_Matrix!$1:$1,0)):INDEX(Unified_Matrix!$A:$ZZ,300,MATCH("Evolution_Name",Unified_Matrix!$1:$1,0)),"")))</f>
        <v/>
      </c>
      <c r="AO5" s="20">
        <f t="array" ref="AO5">IF(AO4=0,"",_xlfn.TEXTJOIN(CHAR(10),TRUE,IF((INDEX(Unified_Matrix!$A:$ZZ,3,MATCH("Max "&amp;AO$1,Unified_Matrix!$1:$1,0)):INDEX(Unified_Matrix!$A:$ZZ,300,MATCH("Max "&amp;AO$1,Unified_Matrix!$1:$1,0))=AO4)*(INDEX(Unified_Matrix!$A:$ZZ,3,MATCH("Max "&amp;AO$1,Unified_Matrix!$1:$1,0)):INDEX(Unified_Matrix!$A:$ZZ,300,MATCH("Max "&amp;AO$1,Unified_Matrix!$1:$1,0))&gt;0),INDEX(Unified_Matrix!$A:$ZZ,3,MATCH("Evolution_Name",Unified_Matrix!$1:$1,0)):INDEX(Unified_Matrix!$A:$ZZ,300,MATCH("Evolution_Name",Unified_Matrix!$1:$1,0)),"")))</f>
        <v/>
      </c>
      <c r="AP5" s="20">
        <f t="array" ref="AP5">IF(AP4=0,"",_xlfn.TEXTJOIN(CHAR(10),TRUE,IF((INDEX(Unified_Matrix!$A:$ZZ,3,MATCH("Max "&amp;AP$1,Unified_Matrix!$1:$1,0)):INDEX(Unified_Matrix!$A:$ZZ,300,MATCH("Max "&amp;AP$1,Unified_Matrix!$1:$1,0))=AP4)*(INDEX(Unified_Matrix!$A:$ZZ,3,MATCH("Max "&amp;AP$1,Unified_Matrix!$1:$1,0)):INDEX(Unified_Matrix!$A:$ZZ,300,MATCH("Max "&amp;AP$1,Unified_Matrix!$1:$1,0))&gt;0),INDEX(Unified_Matrix!$A:$ZZ,3,MATCH("Evolution_Name",Unified_Matrix!$1:$1,0)):INDEX(Unified_Matrix!$A:$ZZ,300,MATCH("Evolution_Name",Unified_Matrix!$1:$1,0)),"")))</f>
        <v/>
      </c>
      <c r="AQ5" s="20">
        <f t="array" ref="AQ5">IF(AQ4=0,"",_xlfn.TEXTJOIN(CHAR(10),TRUE,IF((INDEX(Unified_Matrix!$A:$ZZ,3,MATCH("Max "&amp;AQ$1,Unified_Matrix!$1:$1,0)):INDEX(Unified_Matrix!$A:$ZZ,300,MATCH("Max "&amp;AQ$1,Unified_Matrix!$1:$1,0))=AQ4)*(INDEX(Unified_Matrix!$A:$ZZ,3,MATCH("Max "&amp;AQ$1,Unified_Matrix!$1:$1,0)):INDEX(Unified_Matrix!$A:$ZZ,300,MATCH("Max "&amp;AQ$1,Unified_Matrix!$1:$1,0))&gt;0),INDEX(Unified_Matrix!$A:$ZZ,3,MATCH("Evolution_Name",Unified_Matrix!$1:$1,0)):INDEX(Unified_Matrix!$A:$ZZ,300,MATCH("Evolution_Name",Unified_Matrix!$1:$1,0)),"")))</f>
        <v/>
      </c>
      <c r="AR5" s="20">
        <f t="array" ref="AR5">IF(AR4=0,"",_xlfn.TEXTJOIN(CHAR(10),TRUE,IF((INDEX(Unified_Matrix!$A:$ZZ,3,MATCH("Max "&amp;AR$1,Unified_Matrix!$1:$1,0)):INDEX(Unified_Matrix!$A:$ZZ,300,MATCH("Max "&amp;AR$1,Unified_Matrix!$1:$1,0))=AR4)*(INDEX(Unified_Matrix!$A:$ZZ,3,MATCH("Max "&amp;AR$1,Unified_Matrix!$1:$1,0)):INDEX(Unified_Matrix!$A:$ZZ,300,MATCH("Max "&amp;AR$1,Unified_Matrix!$1:$1,0))&gt;0),INDEX(Unified_Matrix!$A:$ZZ,3,MATCH("Evolution_Name",Unified_Matrix!$1:$1,0)):INDEX(Unified_Matrix!$A:$ZZ,300,MATCH("Evolution_Name",Unified_Matrix!$1:$1,0)),"")))</f>
        <v/>
      </c>
      <c r="AS5" s="20">
        <f t="array" ref="AS5">IF(AS4=0,"",_xlfn.TEXTJOIN(CHAR(10),TRUE,IF((INDEX(Unified_Matrix!$A:$ZZ,3,MATCH("Max "&amp;AS$1,Unified_Matrix!$1:$1,0)):INDEX(Unified_Matrix!$A:$ZZ,300,MATCH("Max "&amp;AS$1,Unified_Matrix!$1:$1,0))=AS4)*(INDEX(Unified_Matrix!$A:$ZZ,3,MATCH("Max "&amp;AS$1,Unified_Matrix!$1:$1,0)):INDEX(Unified_Matrix!$A:$ZZ,300,MATCH("Max "&amp;AS$1,Unified_Matrix!$1:$1,0))&gt;0),INDEX(Unified_Matrix!$A:$ZZ,3,MATCH("Evolution_Name",Unified_Matrix!$1:$1,0)):INDEX(Unified_Matrix!$A:$ZZ,300,MATCH("Evolution_Name",Unified_Matrix!$1:$1,0)),"")))</f>
        <v/>
      </c>
      <c r="AT5" s="20">
        <f t="array" ref="AT5">IF(AT4=0,"",_xlfn.TEXTJOIN(CHAR(10),TRUE,IF((INDEX(Unified_Matrix!$A:$ZZ,3,MATCH("Max "&amp;AT$1,Unified_Matrix!$1:$1,0)):INDEX(Unified_Matrix!$A:$ZZ,300,MATCH("Max "&amp;AT$1,Unified_Matrix!$1:$1,0))=AT4)*(INDEX(Unified_Matrix!$A:$ZZ,3,MATCH("Max "&amp;AT$1,Unified_Matrix!$1:$1,0)):INDEX(Unified_Matrix!$A:$ZZ,300,MATCH("Max "&amp;AT$1,Unified_Matrix!$1:$1,0))&gt;0),INDEX(Unified_Matrix!$A:$ZZ,3,MATCH("Evolution_Name",Unified_Matrix!$1:$1,0)):INDEX(Unified_Matrix!$A:$ZZ,300,MATCH("Evolution_Name",Unified_Matrix!$1:$1,0)),"")))</f>
        <v/>
      </c>
    </row>
    <row r="6">
      <c r="H6" s="17" t="inlineStr">
        <is>
          <t>3위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f>_xlfn.MAXIFS(INDEX(Unified_Matrix!$A:$ZZ,3,MATCH("Max "&amp;K$1,Unified_Matrix!$1:$1,0)):INDEX(Unified_Matrix!$A:$ZZ,300,MATCH("Max "&amp;K$1,Unified_Matrix!$1:$1,0)),INDEX(Unified_Matrix!$A:$ZZ,3,MATCH("Max "&amp;K$1,Unified_Matrix!$1:$1,0)):INDEX(Unified_Matrix!$A:$ZZ,300,MATCH("Max "&amp;K$1,Unified_Matrix!$1:$1,0)),"&lt;"&amp;K4,INDEX(Unified_Matrix!$A:$ZZ,3,MATCH("Max "&amp;K$1,Unified_Matrix!$1:$1,0)):INDEX(Unified_Matrix!$A:$ZZ,300,MATCH("Max "&amp;K$1,Unified_Matrix!$1:$1,0)),"&gt;0")</f>
        <v/>
      </c>
      <c r="L6" s="20">
        <f>_xlfn.MAXIFS(INDEX(Unified_Matrix!$A:$ZZ,3,MATCH("Max "&amp;L$1,Unified_Matrix!$1:$1,0)):INDEX(Unified_Matrix!$A:$ZZ,300,MATCH("Max "&amp;L$1,Unified_Matrix!$1:$1,0)),INDEX(Unified_Matrix!$A:$ZZ,3,MATCH("Max "&amp;L$1,Unified_Matrix!$1:$1,0)):INDEX(Unified_Matrix!$A:$ZZ,300,MATCH("Max "&amp;L$1,Unified_Matrix!$1:$1,0)),"&lt;"&amp;L4,INDEX(Unified_Matrix!$A:$ZZ,3,MATCH("Max "&amp;L$1,Unified_Matrix!$1:$1,0)):INDEX(Unified_Matrix!$A:$ZZ,300,MATCH("Max "&amp;L$1,Unified_Matrix!$1:$1,0)),"&gt;0")</f>
        <v/>
      </c>
      <c r="M6" s="20">
        <f>_xlfn.MAXIFS(INDEX(Unified_Matrix!$A:$ZZ,3,MATCH("Max "&amp;M$1,Unified_Matrix!$1:$1,0)):INDEX(Unified_Matrix!$A:$ZZ,300,MATCH("Max "&amp;M$1,Unified_Matrix!$1:$1,0)),INDEX(Unified_Matrix!$A:$ZZ,3,MATCH("Max "&amp;M$1,Unified_Matrix!$1:$1,0)):INDEX(Unified_Matrix!$A:$ZZ,300,MATCH("Max "&amp;M$1,Unified_Matrix!$1:$1,0)),"&lt;"&amp;M4,INDEX(Unified_Matrix!$A:$ZZ,3,MATCH("Max "&amp;M$1,Unified_Matrix!$1:$1,0)):INDEX(Unified_Matrix!$A:$ZZ,300,MATCH("Max "&amp;M$1,Unified_Matrix!$1:$1,0)),"&gt;0")</f>
        <v/>
      </c>
      <c r="N6" s="20">
        <f>_xlfn.MAXIFS(INDEX(Unified_Matrix!$A:$ZZ,3,MATCH("Max "&amp;N$1,Unified_Matrix!$1:$1,0)):INDEX(Unified_Matrix!$A:$ZZ,300,MATCH("Max "&amp;N$1,Unified_Matrix!$1:$1,0)),INDEX(Unified_Matrix!$A:$ZZ,3,MATCH("Max "&amp;N$1,Unified_Matrix!$1:$1,0)):INDEX(Unified_Matrix!$A:$ZZ,300,MATCH("Max "&amp;N$1,Unified_Matrix!$1:$1,0)),"&lt;"&amp;N4,INDEX(Unified_Matrix!$A:$ZZ,3,MATCH("Max "&amp;N$1,Unified_Matrix!$1:$1,0)):INDEX(Unified_Matrix!$A:$ZZ,300,MATCH("Max "&amp;N$1,Unified_Matrix!$1:$1,0)),"&gt;0")</f>
        <v/>
      </c>
      <c r="O6" s="20">
        <f>_xlfn.MAXIFS(INDEX(Unified_Matrix!$A:$ZZ,3,MATCH("Max "&amp;O$1,Unified_Matrix!$1:$1,0)):INDEX(Unified_Matrix!$A:$ZZ,300,MATCH("Max "&amp;O$1,Unified_Matrix!$1:$1,0)),INDEX(Unified_Matrix!$A:$ZZ,3,MATCH("Max "&amp;O$1,Unified_Matrix!$1:$1,0)):INDEX(Unified_Matrix!$A:$ZZ,300,MATCH("Max "&amp;O$1,Unified_Matrix!$1:$1,0)),"&lt;"&amp;O4,INDEX(Unified_Matrix!$A:$ZZ,3,MATCH("Max "&amp;O$1,Unified_Matrix!$1:$1,0)):INDEX(Unified_Matrix!$A:$ZZ,300,MATCH("Max "&amp;O$1,Unified_Matrix!$1:$1,0)),"&gt;0")</f>
        <v/>
      </c>
      <c r="P6" s="20">
        <f>_xlfn.MAXIFS(INDEX(Unified_Matrix!$A:$ZZ,3,MATCH("Max "&amp;P$1,Unified_Matrix!$1:$1,0)):INDEX(Unified_Matrix!$A:$ZZ,300,MATCH("Max "&amp;P$1,Unified_Matrix!$1:$1,0)),INDEX(Unified_Matrix!$A:$ZZ,3,MATCH("Max "&amp;P$1,Unified_Matrix!$1:$1,0)):INDEX(Unified_Matrix!$A:$ZZ,300,MATCH("Max "&amp;P$1,Unified_Matrix!$1:$1,0)),"&lt;"&amp;P4,INDEX(Unified_Matrix!$A:$ZZ,3,MATCH("Max "&amp;P$1,Unified_Matrix!$1:$1,0)):INDEX(Unified_Matrix!$A:$ZZ,300,MATCH("Max "&amp;P$1,Unified_Matrix!$1:$1,0)),"&gt;0")</f>
        <v/>
      </c>
      <c r="Q6" s="20">
        <f>_xlfn.MAXIFS(INDEX(Unified_Matrix!$A:$ZZ,3,MATCH("Max "&amp;Q$1,Unified_Matrix!$1:$1,0)):INDEX(Unified_Matrix!$A:$ZZ,300,MATCH("Max "&amp;Q$1,Unified_Matrix!$1:$1,0)),INDEX(Unified_Matrix!$A:$ZZ,3,MATCH("Max "&amp;Q$1,Unified_Matrix!$1:$1,0)):INDEX(Unified_Matrix!$A:$ZZ,300,MATCH("Max "&amp;Q$1,Unified_Matrix!$1:$1,0)),"&lt;"&amp;Q4,INDEX(Unified_Matrix!$A:$ZZ,3,MATCH("Max "&amp;Q$1,Unified_Matrix!$1:$1,0)):INDEX(Unified_Matrix!$A:$ZZ,300,MATCH("Max "&amp;Q$1,Unified_Matrix!$1:$1,0)),"&gt;0")</f>
        <v/>
      </c>
      <c r="R6" s="20">
        <f>_xlfn.MAXIFS(INDEX(Unified_Matrix!$A:$ZZ,3,MATCH("Max "&amp;R$1,Unified_Matrix!$1:$1,0)):INDEX(Unified_Matrix!$A:$ZZ,300,MATCH("Max "&amp;R$1,Unified_Matrix!$1:$1,0)),INDEX(Unified_Matrix!$A:$ZZ,3,MATCH("Max "&amp;R$1,Unified_Matrix!$1:$1,0)):INDEX(Unified_Matrix!$A:$ZZ,300,MATCH("Max "&amp;R$1,Unified_Matrix!$1:$1,0)),"&lt;"&amp;R4,INDEX(Unified_Matrix!$A:$ZZ,3,MATCH("Max "&amp;R$1,Unified_Matrix!$1:$1,0)):INDEX(Unified_Matrix!$A:$ZZ,300,MATCH("Max "&amp;R$1,Unified_Matrix!$1:$1,0)),"&gt;0")</f>
        <v/>
      </c>
      <c r="S6" s="20">
        <f>_xlfn.MAXIFS(INDEX(Unified_Matrix!$A:$ZZ,3,MATCH("Max "&amp;S$1,Unified_Matrix!$1:$1,0)):INDEX(Unified_Matrix!$A:$ZZ,300,MATCH("Max "&amp;S$1,Unified_Matrix!$1:$1,0)),INDEX(Unified_Matrix!$A:$ZZ,3,MATCH("Max "&amp;S$1,Unified_Matrix!$1:$1,0)):INDEX(Unified_Matrix!$A:$ZZ,300,MATCH("Max "&amp;S$1,Unified_Matrix!$1:$1,0)),"&lt;"&amp;S4,INDEX(Unified_Matrix!$A:$ZZ,3,MATCH("Max "&amp;S$1,Unified_Matrix!$1:$1,0)):INDEX(Unified_Matrix!$A:$ZZ,300,MATCH("Max "&amp;S$1,Unified_Matrix!$1:$1,0)),"&gt;0")</f>
        <v/>
      </c>
      <c r="T6" s="20">
        <f>_xlfn.MAXIFS(INDEX(Unified_Matrix!$A:$ZZ,3,MATCH("Max "&amp;T$1,Unified_Matrix!$1:$1,0)):INDEX(Unified_Matrix!$A:$ZZ,300,MATCH("Max "&amp;T$1,Unified_Matrix!$1:$1,0)),INDEX(Unified_Matrix!$A:$ZZ,3,MATCH("Max "&amp;T$1,Unified_Matrix!$1:$1,0)):INDEX(Unified_Matrix!$A:$ZZ,300,MATCH("Max "&amp;T$1,Unified_Matrix!$1:$1,0)),"&lt;"&amp;T4,INDEX(Unified_Matrix!$A:$ZZ,3,MATCH("Max "&amp;T$1,Unified_Matrix!$1:$1,0)):INDEX(Unified_Matrix!$A:$ZZ,300,MATCH("Max "&amp;T$1,Unified_Matrix!$1:$1,0)),"&gt;0")</f>
        <v/>
      </c>
      <c r="U6" s="20">
        <f>_xlfn.MAXIFS(INDEX(Unified_Matrix!$A:$ZZ,3,MATCH("Max "&amp;U$1,Unified_Matrix!$1:$1,0)):INDEX(Unified_Matrix!$A:$ZZ,300,MATCH("Max "&amp;U$1,Unified_Matrix!$1:$1,0)),INDEX(Unified_Matrix!$A:$ZZ,3,MATCH("Max "&amp;U$1,Unified_Matrix!$1:$1,0)):INDEX(Unified_Matrix!$A:$ZZ,300,MATCH("Max "&amp;U$1,Unified_Matrix!$1:$1,0)),"&lt;"&amp;U4,INDEX(Unified_Matrix!$A:$ZZ,3,MATCH("Max "&amp;U$1,Unified_Matrix!$1:$1,0)):INDEX(Unified_Matrix!$A:$ZZ,300,MATCH("Max "&amp;U$1,Unified_Matrix!$1:$1,0)),"&gt;0")</f>
        <v/>
      </c>
      <c r="V6" s="20">
        <f>_xlfn.MAXIFS(INDEX(Unified_Matrix!$A:$ZZ,3,MATCH("Max "&amp;V$1,Unified_Matrix!$1:$1,0)):INDEX(Unified_Matrix!$A:$ZZ,300,MATCH("Max "&amp;V$1,Unified_Matrix!$1:$1,0)),INDEX(Unified_Matrix!$A:$ZZ,3,MATCH("Max "&amp;V$1,Unified_Matrix!$1:$1,0)):INDEX(Unified_Matrix!$A:$ZZ,300,MATCH("Max "&amp;V$1,Unified_Matrix!$1:$1,0)),"&lt;"&amp;V4,INDEX(Unified_Matrix!$A:$ZZ,3,MATCH("Max "&amp;V$1,Unified_Matrix!$1:$1,0)):INDEX(Unified_Matrix!$A:$ZZ,300,MATCH("Max "&amp;V$1,Unified_Matrix!$1:$1,0)),"&gt;0")</f>
        <v/>
      </c>
      <c r="W6" s="20">
        <f>_xlfn.MAXIFS(INDEX(Unified_Matrix!$A:$ZZ,3,MATCH("Max "&amp;W$1,Unified_Matrix!$1:$1,0)):INDEX(Unified_Matrix!$A:$ZZ,300,MATCH("Max "&amp;W$1,Unified_Matrix!$1:$1,0)),INDEX(Unified_Matrix!$A:$ZZ,3,MATCH("Max "&amp;W$1,Unified_Matrix!$1:$1,0)):INDEX(Unified_Matrix!$A:$ZZ,300,MATCH("Max "&amp;W$1,Unified_Matrix!$1:$1,0)),"&lt;"&amp;W4,INDEX(Unified_Matrix!$A:$ZZ,3,MATCH("Max "&amp;W$1,Unified_Matrix!$1:$1,0)):INDEX(Unified_Matrix!$A:$ZZ,300,MATCH("Max "&amp;W$1,Unified_Matrix!$1:$1,0)),"&gt;0")</f>
        <v/>
      </c>
      <c r="X6" s="20">
        <f>_xlfn.MAXIFS(INDEX(Unified_Matrix!$A:$ZZ,3,MATCH("Max "&amp;X$1,Unified_Matrix!$1:$1,0)):INDEX(Unified_Matrix!$A:$ZZ,300,MATCH("Max "&amp;X$1,Unified_Matrix!$1:$1,0)),INDEX(Unified_Matrix!$A:$ZZ,3,MATCH("Max "&amp;X$1,Unified_Matrix!$1:$1,0)):INDEX(Unified_Matrix!$A:$ZZ,300,MATCH("Max "&amp;X$1,Unified_Matrix!$1:$1,0)),"&lt;"&amp;X4,INDEX(Unified_Matrix!$A:$ZZ,3,MATCH("Max "&amp;X$1,Unified_Matrix!$1:$1,0)):INDEX(Unified_Matrix!$A:$ZZ,300,MATCH("Max "&amp;X$1,Unified_Matrix!$1:$1,0)),"&gt;0")</f>
        <v/>
      </c>
      <c r="Y6" s="20">
        <f>_xlfn.MAXIFS(INDEX(Unified_Matrix!$A:$ZZ,3,MATCH("Max "&amp;Y$1,Unified_Matrix!$1:$1,0)):INDEX(Unified_Matrix!$A:$ZZ,300,MATCH("Max "&amp;Y$1,Unified_Matrix!$1:$1,0)),INDEX(Unified_Matrix!$A:$ZZ,3,MATCH("Max "&amp;Y$1,Unified_Matrix!$1:$1,0)):INDEX(Unified_Matrix!$A:$ZZ,300,MATCH("Max "&amp;Y$1,Unified_Matrix!$1:$1,0)),"&lt;"&amp;Y4,INDEX(Unified_Matrix!$A:$ZZ,3,MATCH("Max "&amp;Y$1,Unified_Matrix!$1:$1,0)):INDEX(Unified_Matrix!$A:$ZZ,300,MATCH("Max "&amp;Y$1,Unified_Matrix!$1:$1,0)),"&gt;0")</f>
        <v/>
      </c>
      <c r="Z6" s="20">
        <f>_xlfn.MAXIFS(INDEX(Unified_Matrix!$A:$ZZ,3,MATCH("Max "&amp;Z$1,Unified_Matrix!$1:$1,0)):INDEX(Unified_Matrix!$A:$ZZ,300,MATCH("Max "&amp;Z$1,Unified_Matrix!$1:$1,0)),INDEX(Unified_Matrix!$A:$ZZ,3,MATCH("Max "&amp;Z$1,Unified_Matrix!$1:$1,0)):INDEX(Unified_Matrix!$A:$ZZ,300,MATCH("Max "&amp;Z$1,Unified_Matrix!$1:$1,0)),"&lt;"&amp;Z4,INDEX(Unified_Matrix!$A:$ZZ,3,MATCH("Max "&amp;Z$1,Unified_Matrix!$1:$1,0)):INDEX(Unified_Matrix!$A:$ZZ,300,MATCH("Max "&amp;Z$1,Unified_Matrix!$1:$1,0)),"&gt;0")</f>
        <v/>
      </c>
      <c r="AA6" s="20">
        <f>_xlfn.MAXIFS(INDEX(Unified_Matrix!$A:$ZZ,3,MATCH("Max "&amp;AA$1,Unified_Matrix!$1:$1,0)):INDEX(Unified_Matrix!$A:$ZZ,300,MATCH("Max "&amp;AA$1,Unified_Matrix!$1:$1,0)),INDEX(Unified_Matrix!$A:$ZZ,3,MATCH("Max "&amp;AA$1,Unified_Matrix!$1:$1,0)):INDEX(Unified_Matrix!$A:$ZZ,300,MATCH("Max "&amp;AA$1,Unified_Matrix!$1:$1,0)),"&lt;"&amp;AA4,INDEX(Unified_Matrix!$A:$ZZ,3,MATCH("Max "&amp;AA$1,Unified_Matrix!$1:$1,0)):INDEX(Unified_Matrix!$A:$ZZ,300,MATCH("Max "&amp;AA$1,Unified_Matrix!$1:$1,0)),"&gt;0")</f>
        <v/>
      </c>
      <c r="AB6" s="20">
        <f>_xlfn.MAXIFS(INDEX(Unified_Matrix!$A:$ZZ,3,MATCH("Max "&amp;AB$1,Unified_Matrix!$1:$1,0)):INDEX(Unified_Matrix!$A:$ZZ,300,MATCH("Max "&amp;AB$1,Unified_Matrix!$1:$1,0)),INDEX(Unified_Matrix!$A:$ZZ,3,MATCH("Max "&amp;AB$1,Unified_Matrix!$1:$1,0)):INDEX(Unified_Matrix!$A:$ZZ,300,MATCH("Max "&amp;AB$1,Unified_Matrix!$1:$1,0)),"&lt;"&amp;AB4,INDEX(Unified_Matrix!$A:$ZZ,3,MATCH("Max "&amp;AB$1,Unified_Matrix!$1:$1,0)):INDEX(Unified_Matrix!$A:$ZZ,300,MATCH("Max "&amp;AB$1,Unified_Matrix!$1:$1,0)),"&gt;0")</f>
        <v/>
      </c>
      <c r="AC6" s="20">
        <f>_xlfn.MAXIFS(INDEX(Unified_Matrix!$A:$ZZ,3,MATCH("Max "&amp;AC$1,Unified_Matrix!$1:$1,0)):INDEX(Unified_Matrix!$A:$ZZ,300,MATCH("Max "&amp;AC$1,Unified_Matrix!$1:$1,0)),INDEX(Unified_Matrix!$A:$ZZ,3,MATCH("Max "&amp;AC$1,Unified_Matrix!$1:$1,0)):INDEX(Unified_Matrix!$A:$ZZ,300,MATCH("Max "&amp;AC$1,Unified_Matrix!$1:$1,0)),"&lt;"&amp;AC4,INDEX(Unified_Matrix!$A:$ZZ,3,MATCH("Max "&amp;AC$1,Unified_Matrix!$1:$1,0)):INDEX(Unified_Matrix!$A:$ZZ,300,MATCH("Max "&amp;AC$1,Unified_Matrix!$1:$1,0)),"&gt;0")</f>
        <v/>
      </c>
      <c r="AD6" s="20">
        <f>_xlfn.MAXIFS(INDEX(Unified_Matrix!$A:$ZZ,3,MATCH("Max "&amp;AD$1,Unified_Matrix!$1:$1,0)):INDEX(Unified_Matrix!$A:$ZZ,300,MATCH("Max "&amp;AD$1,Unified_Matrix!$1:$1,0)),INDEX(Unified_Matrix!$A:$ZZ,3,MATCH("Max "&amp;AD$1,Unified_Matrix!$1:$1,0)):INDEX(Unified_Matrix!$A:$ZZ,300,MATCH("Max "&amp;AD$1,Unified_Matrix!$1:$1,0)),"&lt;"&amp;AD4,INDEX(Unified_Matrix!$A:$ZZ,3,MATCH("Max "&amp;AD$1,Unified_Matrix!$1:$1,0)):INDEX(Unified_Matrix!$A:$ZZ,300,MATCH("Max "&amp;AD$1,Unified_Matrix!$1:$1,0)),"&gt;0")</f>
        <v/>
      </c>
      <c r="AE6" s="20">
        <f>_xlfn.MAXIFS(INDEX(Unified_Matrix!$A:$ZZ,3,MATCH("Max "&amp;AE$1,Unified_Matrix!$1:$1,0)):INDEX(Unified_Matrix!$A:$ZZ,300,MATCH("Max "&amp;AE$1,Unified_Matrix!$1:$1,0)),INDEX(Unified_Matrix!$A:$ZZ,3,MATCH("Max "&amp;AE$1,Unified_Matrix!$1:$1,0)):INDEX(Unified_Matrix!$A:$ZZ,300,MATCH("Max "&amp;AE$1,Unified_Matrix!$1:$1,0)),"&lt;"&amp;AE4,INDEX(Unified_Matrix!$A:$ZZ,3,MATCH("Max "&amp;AE$1,Unified_Matrix!$1:$1,0)):INDEX(Unified_Matrix!$A:$ZZ,300,MATCH("Max "&amp;AE$1,Unified_Matrix!$1:$1,0)),"&gt;0")</f>
        <v/>
      </c>
      <c r="AF6" s="20">
        <f>_xlfn.MAXIFS(INDEX(Unified_Matrix!$A:$ZZ,3,MATCH("Max "&amp;AF$1,Unified_Matrix!$1:$1,0)):INDEX(Unified_Matrix!$A:$ZZ,300,MATCH("Max "&amp;AF$1,Unified_Matrix!$1:$1,0)),INDEX(Unified_Matrix!$A:$ZZ,3,MATCH("Max "&amp;AF$1,Unified_Matrix!$1:$1,0)):INDEX(Unified_Matrix!$A:$ZZ,300,MATCH("Max "&amp;AF$1,Unified_Matrix!$1:$1,0)),"&lt;"&amp;AF4,INDEX(Unified_Matrix!$A:$ZZ,3,MATCH("Max "&amp;AF$1,Unified_Matrix!$1:$1,0)):INDEX(Unified_Matrix!$A:$ZZ,300,MATCH("Max "&amp;AF$1,Unified_Matrix!$1:$1,0)),"&gt;0")</f>
        <v/>
      </c>
      <c r="AG6" s="20">
        <f>_xlfn.MAXIFS(INDEX(Unified_Matrix!$A:$ZZ,3,MATCH("Max "&amp;AG$1,Unified_Matrix!$1:$1,0)):INDEX(Unified_Matrix!$A:$ZZ,300,MATCH("Max "&amp;AG$1,Unified_Matrix!$1:$1,0)),INDEX(Unified_Matrix!$A:$ZZ,3,MATCH("Max "&amp;AG$1,Unified_Matrix!$1:$1,0)):INDEX(Unified_Matrix!$A:$ZZ,300,MATCH("Max "&amp;AG$1,Unified_Matrix!$1:$1,0)),"&lt;"&amp;AG4,INDEX(Unified_Matrix!$A:$ZZ,3,MATCH("Max "&amp;AG$1,Unified_Matrix!$1:$1,0)):INDEX(Unified_Matrix!$A:$ZZ,300,MATCH("Max "&amp;AG$1,Unified_Matrix!$1:$1,0)),"&gt;0")</f>
        <v/>
      </c>
      <c r="AH6" s="20">
        <f>_xlfn.MAXIFS(INDEX(Unified_Matrix!$A:$ZZ,3,MATCH("Max "&amp;AH$1,Unified_Matrix!$1:$1,0)):INDEX(Unified_Matrix!$A:$ZZ,300,MATCH("Max "&amp;AH$1,Unified_Matrix!$1:$1,0)),INDEX(Unified_Matrix!$A:$ZZ,3,MATCH("Max "&amp;AH$1,Unified_Matrix!$1:$1,0)):INDEX(Unified_Matrix!$A:$ZZ,300,MATCH("Max "&amp;AH$1,Unified_Matrix!$1:$1,0)),"&lt;"&amp;AH4,INDEX(Unified_Matrix!$A:$ZZ,3,MATCH("Max "&amp;AH$1,Unified_Matrix!$1:$1,0)):INDEX(Unified_Matrix!$A:$ZZ,300,MATCH("Max "&amp;AH$1,Unified_Matrix!$1:$1,0)),"&gt;0")</f>
        <v/>
      </c>
      <c r="AI6" s="20">
        <f>_xlfn.MAXIFS(INDEX(Unified_Matrix!$A:$ZZ,3,MATCH("Max "&amp;AI$1,Unified_Matrix!$1:$1,0)):INDEX(Unified_Matrix!$A:$ZZ,300,MATCH("Max "&amp;AI$1,Unified_Matrix!$1:$1,0)),INDEX(Unified_Matrix!$A:$ZZ,3,MATCH("Max "&amp;AI$1,Unified_Matrix!$1:$1,0)):INDEX(Unified_Matrix!$A:$ZZ,300,MATCH("Max "&amp;AI$1,Unified_Matrix!$1:$1,0)),"&lt;"&amp;AI4,INDEX(Unified_Matrix!$A:$ZZ,3,MATCH("Max "&amp;AI$1,Unified_Matrix!$1:$1,0)):INDEX(Unified_Matrix!$A:$ZZ,300,MATCH("Max "&amp;AI$1,Unified_Matrix!$1:$1,0)),"&gt;0")</f>
        <v/>
      </c>
      <c r="AJ6" s="20">
        <f>_xlfn.MAXIFS(INDEX(Unified_Matrix!$A:$ZZ,3,MATCH("Max "&amp;AJ$1,Unified_Matrix!$1:$1,0)):INDEX(Unified_Matrix!$A:$ZZ,300,MATCH("Max "&amp;AJ$1,Unified_Matrix!$1:$1,0)),INDEX(Unified_Matrix!$A:$ZZ,3,MATCH("Max "&amp;AJ$1,Unified_Matrix!$1:$1,0)):INDEX(Unified_Matrix!$A:$ZZ,300,MATCH("Max "&amp;AJ$1,Unified_Matrix!$1:$1,0)),"&lt;"&amp;AJ4,INDEX(Unified_Matrix!$A:$ZZ,3,MATCH("Max "&amp;AJ$1,Unified_Matrix!$1:$1,0)):INDEX(Unified_Matrix!$A:$ZZ,300,MATCH("Max "&amp;AJ$1,Unified_Matrix!$1:$1,0)),"&gt;0")</f>
        <v/>
      </c>
      <c r="AK6" s="20">
        <f>_xlfn.MAXIFS(INDEX(Unified_Matrix!$A:$ZZ,3,MATCH("Max "&amp;AK$1,Unified_Matrix!$1:$1,0)):INDEX(Unified_Matrix!$A:$ZZ,300,MATCH("Max "&amp;AK$1,Unified_Matrix!$1:$1,0)),INDEX(Unified_Matrix!$A:$ZZ,3,MATCH("Max "&amp;AK$1,Unified_Matrix!$1:$1,0)):INDEX(Unified_Matrix!$A:$ZZ,300,MATCH("Max "&amp;AK$1,Unified_Matrix!$1:$1,0)),"&lt;"&amp;AK4,INDEX(Unified_Matrix!$A:$ZZ,3,MATCH("Max "&amp;AK$1,Unified_Matrix!$1:$1,0)):INDEX(Unified_Matrix!$A:$ZZ,300,MATCH("Max "&amp;AK$1,Unified_Matrix!$1:$1,0)),"&gt;0")</f>
        <v/>
      </c>
      <c r="AL6" s="20">
        <f>_xlfn.MAXIFS(INDEX(Unified_Matrix!$A:$ZZ,3,MATCH("Max "&amp;AL$1,Unified_Matrix!$1:$1,0)):INDEX(Unified_Matrix!$A:$ZZ,300,MATCH("Max "&amp;AL$1,Unified_Matrix!$1:$1,0)),INDEX(Unified_Matrix!$A:$ZZ,3,MATCH("Max "&amp;AL$1,Unified_Matrix!$1:$1,0)):INDEX(Unified_Matrix!$A:$ZZ,300,MATCH("Max "&amp;AL$1,Unified_Matrix!$1:$1,0)),"&lt;"&amp;AL4,INDEX(Unified_Matrix!$A:$ZZ,3,MATCH("Max "&amp;AL$1,Unified_Matrix!$1:$1,0)):INDEX(Unified_Matrix!$A:$ZZ,300,MATCH("Max "&amp;AL$1,Unified_Matrix!$1:$1,0)),"&gt;0")</f>
        <v/>
      </c>
      <c r="AM6" s="20">
        <f>_xlfn.MAXIFS(INDEX(Unified_Matrix!$A:$ZZ,3,MATCH("Max "&amp;AM$1,Unified_Matrix!$1:$1,0)):INDEX(Unified_Matrix!$A:$ZZ,300,MATCH("Max "&amp;AM$1,Unified_Matrix!$1:$1,0)),INDEX(Unified_Matrix!$A:$ZZ,3,MATCH("Max "&amp;AM$1,Unified_Matrix!$1:$1,0)):INDEX(Unified_Matrix!$A:$ZZ,300,MATCH("Max "&amp;AM$1,Unified_Matrix!$1:$1,0)),"&lt;"&amp;AM4,INDEX(Unified_Matrix!$A:$ZZ,3,MATCH("Max "&amp;AM$1,Unified_Matrix!$1:$1,0)):INDEX(Unified_Matrix!$A:$ZZ,300,MATCH("Max "&amp;AM$1,Unified_Matrix!$1:$1,0)),"&gt;0")</f>
        <v/>
      </c>
      <c r="AN6" s="20">
        <f>_xlfn.MAXIFS(INDEX(Unified_Matrix!$A:$ZZ,3,MATCH("Max "&amp;AN$1,Unified_Matrix!$1:$1,0)):INDEX(Unified_Matrix!$A:$ZZ,300,MATCH("Max "&amp;AN$1,Unified_Matrix!$1:$1,0)),INDEX(Unified_Matrix!$A:$ZZ,3,MATCH("Max "&amp;AN$1,Unified_Matrix!$1:$1,0)):INDEX(Unified_Matrix!$A:$ZZ,300,MATCH("Max "&amp;AN$1,Unified_Matrix!$1:$1,0)),"&lt;"&amp;AN4,INDEX(Unified_Matrix!$A:$ZZ,3,MATCH("Max "&amp;AN$1,Unified_Matrix!$1:$1,0)):INDEX(Unified_Matrix!$A:$ZZ,300,MATCH("Max "&amp;AN$1,Unified_Matrix!$1:$1,0)),"&gt;0")</f>
        <v/>
      </c>
      <c r="AO6" s="20">
        <f>_xlfn.MAXIFS(INDEX(Unified_Matrix!$A:$ZZ,3,MATCH("Max "&amp;AO$1,Unified_Matrix!$1:$1,0)):INDEX(Unified_Matrix!$A:$ZZ,300,MATCH("Max "&amp;AO$1,Unified_Matrix!$1:$1,0)),INDEX(Unified_Matrix!$A:$ZZ,3,MATCH("Max "&amp;AO$1,Unified_Matrix!$1:$1,0)):INDEX(Unified_Matrix!$A:$ZZ,300,MATCH("Max "&amp;AO$1,Unified_Matrix!$1:$1,0)),"&lt;"&amp;AO4,INDEX(Unified_Matrix!$A:$ZZ,3,MATCH("Max "&amp;AO$1,Unified_Matrix!$1:$1,0)):INDEX(Unified_Matrix!$A:$ZZ,300,MATCH("Max "&amp;AO$1,Unified_Matrix!$1:$1,0)),"&gt;0")</f>
        <v/>
      </c>
      <c r="AP6" s="20">
        <f>_xlfn.MAXIFS(INDEX(Unified_Matrix!$A:$ZZ,3,MATCH("Max "&amp;AP$1,Unified_Matrix!$1:$1,0)):INDEX(Unified_Matrix!$A:$ZZ,300,MATCH("Max "&amp;AP$1,Unified_Matrix!$1:$1,0)),INDEX(Unified_Matrix!$A:$ZZ,3,MATCH("Max "&amp;AP$1,Unified_Matrix!$1:$1,0)):INDEX(Unified_Matrix!$A:$ZZ,300,MATCH("Max "&amp;AP$1,Unified_Matrix!$1:$1,0)),"&lt;"&amp;AP4,INDEX(Unified_Matrix!$A:$ZZ,3,MATCH("Max "&amp;AP$1,Unified_Matrix!$1:$1,0)):INDEX(Unified_Matrix!$A:$ZZ,300,MATCH("Max "&amp;AP$1,Unified_Matrix!$1:$1,0)),"&gt;0")</f>
        <v/>
      </c>
      <c r="AQ6" s="20">
        <f>_xlfn.MAXIFS(INDEX(Unified_Matrix!$A:$ZZ,3,MATCH("Max "&amp;AQ$1,Unified_Matrix!$1:$1,0)):INDEX(Unified_Matrix!$A:$ZZ,300,MATCH("Max "&amp;AQ$1,Unified_Matrix!$1:$1,0)),INDEX(Unified_Matrix!$A:$ZZ,3,MATCH("Max "&amp;AQ$1,Unified_Matrix!$1:$1,0)):INDEX(Unified_Matrix!$A:$ZZ,300,MATCH("Max "&amp;AQ$1,Unified_Matrix!$1:$1,0)),"&lt;"&amp;AQ4,INDEX(Unified_Matrix!$A:$ZZ,3,MATCH("Max "&amp;AQ$1,Unified_Matrix!$1:$1,0)):INDEX(Unified_Matrix!$A:$ZZ,300,MATCH("Max "&amp;AQ$1,Unified_Matrix!$1:$1,0)),"&gt;0")</f>
        <v/>
      </c>
      <c r="AR6" s="20">
        <f>_xlfn.MAXIFS(INDEX(Unified_Matrix!$A:$ZZ,3,MATCH("Max "&amp;AR$1,Unified_Matrix!$1:$1,0)):INDEX(Unified_Matrix!$A:$ZZ,300,MATCH("Max "&amp;AR$1,Unified_Matrix!$1:$1,0)),INDEX(Unified_Matrix!$A:$ZZ,3,MATCH("Max "&amp;AR$1,Unified_Matrix!$1:$1,0)):INDEX(Unified_Matrix!$A:$ZZ,300,MATCH("Max "&amp;AR$1,Unified_Matrix!$1:$1,0)),"&lt;"&amp;AR4,INDEX(Unified_Matrix!$A:$ZZ,3,MATCH("Max "&amp;AR$1,Unified_Matrix!$1:$1,0)):INDEX(Unified_Matrix!$A:$ZZ,300,MATCH("Max "&amp;AR$1,Unified_Matrix!$1:$1,0)),"&gt;0")</f>
        <v/>
      </c>
      <c r="AS6" s="20">
        <f>_xlfn.MAXIFS(INDEX(Unified_Matrix!$A:$ZZ,3,MATCH("Max "&amp;AS$1,Unified_Matrix!$1:$1,0)):INDEX(Unified_Matrix!$A:$ZZ,300,MATCH("Max "&amp;AS$1,Unified_Matrix!$1:$1,0)),INDEX(Unified_Matrix!$A:$ZZ,3,MATCH("Max "&amp;AS$1,Unified_Matrix!$1:$1,0)):INDEX(Unified_Matrix!$A:$ZZ,300,MATCH("Max "&amp;AS$1,Unified_Matrix!$1:$1,0)),"&lt;"&amp;AS4,INDEX(Unified_Matrix!$A:$ZZ,3,MATCH("Max "&amp;AS$1,Unified_Matrix!$1:$1,0)):INDEX(Unified_Matrix!$A:$ZZ,300,MATCH("Max "&amp;AS$1,Unified_Matrix!$1:$1,0)),"&gt;0")</f>
        <v/>
      </c>
      <c r="AT6" s="20">
        <f>_xlfn.MAXIFS(INDEX(Unified_Matrix!$A:$ZZ,3,MATCH("Max "&amp;AT$1,Unified_Matrix!$1:$1,0)):INDEX(Unified_Matrix!$A:$ZZ,300,MATCH("Max "&amp;AT$1,Unified_Matrix!$1:$1,0)),INDEX(Unified_Matrix!$A:$ZZ,3,MATCH("Max "&amp;AT$1,Unified_Matrix!$1:$1,0)):INDEX(Unified_Matrix!$A:$ZZ,300,MATCH("Max "&amp;AT$1,Unified_Matrix!$1:$1,0)),"&lt;"&amp;AT4,INDEX(Unified_Matrix!$A:$ZZ,3,MATCH("Max "&amp;AT$1,Unified_Matrix!$1:$1,0)):INDEX(Unified_Matrix!$A:$ZZ,300,MATCH("Max "&amp;AT$1,Unified_Matrix!$1:$1,0)),"&gt;0")</f>
        <v/>
      </c>
    </row>
    <row r="7" ht="156" customHeight="1">
      <c r="H7" s="38" t="n"/>
      <c r="I7" s="18" t="inlineStr">
        <is>
          <t>진화명</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f t="array" ref="K7">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"&amp;K$1,Unified_Matrix!$1:$1,0))&gt;0),INDEX(Unified_Matrix!$A:$ZZ,3,MATCH("Evolution_Name",Unified_Matrix!$1:$1,0)):INDEX(Unified_Matrix!$A:$ZZ,300,MATCH("Evolution_Name",Unified_Matrix!$1:$1,0)),"")))</f>
        <v/>
      </c>
      <c r="L7" s="20">
        <f t="array" ref="L7">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"&amp;L$1,Unified_Matrix!$1:$1,0))&gt;0),INDEX(Unified_Matrix!$A:$ZZ,3,MATCH("Evolution_Name",Unified_Matrix!$1:$1,0)):INDEX(Unified_Matrix!$A:$ZZ,300,MATCH("Evolution_Name",Unified_Matrix!$1:$1,0)),"")))</f>
        <v/>
      </c>
      <c r="M7" s="20">
        <f t="array" ref="M7">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"&amp;M$1,Unified_Matrix!$1:$1,0))&gt;0),INDEX(Unified_Matrix!$A:$ZZ,3,MATCH("Evolution_Name",Unified_Matrix!$1:$1,0)):INDEX(Unified_Matrix!$A:$ZZ,300,MATCH("Evolution_Name",Unified_Matrix!$1:$1,0)),"")))</f>
        <v/>
      </c>
      <c r="N7" s="20">
        <f t="array" ref="N7">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"&amp;N$1,Unified_Matrix!$1:$1,0))&gt;0),INDEX(Unified_Matrix!$A:$ZZ,3,MATCH("Evolution_Name",Unified_Matrix!$1:$1,0)):INDEX(Unified_Matrix!$A:$ZZ,300,MATCH("Evolution_Name",Unified_Matrix!$1:$1,0)),"")))</f>
        <v/>
      </c>
      <c r="O7" s="20">
        <f t="array" ref="O7">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"&amp;O$1,Unified_Matrix!$1:$1,0))&gt;0),INDEX(Unified_Matrix!$A:$ZZ,3,MATCH("Evolution_Name",Unified_Matrix!$1:$1,0)):INDEX(Unified_Matrix!$A:$ZZ,300,MATCH("Evolution_Name",Unified_Matrix!$1:$1,0)),"")))</f>
        <v/>
      </c>
      <c r="P7" s="20">
        <f t="array" ref="P7">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"&amp;P$1,Unified_Matrix!$1:$1,0))&gt;0),INDEX(Unified_Matrix!$A:$ZZ,3,MATCH("Evolution_Name",Unified_Matrix!$1:$1,0)):INDEX(Unified_Matrix!$A:$ZZ,300,MATCH("Evolution_Name",Unified_Matrix!$1:$1,0)),"")))</f>
        <v/>
      </c>
      <c r="Q7" s="20">
        <f t="array" ref="Q7">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"&amp;Q$1,Unified_Matrix!$1:$1,0))&gt;0),INDEX(Unified_Matrix!$A:$ZZ,3,MATCH("Evolution_Name",Unified_Matrix!$1:$1,0)):INDEX(Unified_Matrix!$A:$ZZ,300,MATCH("Evolution_Name",Unified_Matrix!$1:$1,0)),"")))</f>
        <v/>
      </c>
      <c r="R7" s="20">
        <f t="array" ref="R7">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"&amp;R$1,Unified_Matrix!$1:$1,0))&gt;0),INDEX(Unified_Matrix!$A:$ZZ,3,MATCH("Evolution_Name",Unified_Matrix!$1:$1,0)):INDEX(Unified_Matrix!$A:$ZZ,300,MATCH("Evolution_Name",Unified_Matrix!$1:$1,0)),"")))</f>
        <v/>
      </c>
      <c r="S7" s="20">
        <f t="array" ref="S7">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7" s="20">
        <f t="array" ref="T7">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"&amp;T$1,Unified_Matrix!$1:$1,0))&gt;0),INDEX(Unified_Matrix!$A:$ZZ,3,MATCH("Evolution_Name",Unified_Matrix!$1:$1,0)):INDEX(Unified_Matrix!$A:$ZZ,300,MATCH("Evolution_Name",Unified_Matrix!$1:$1,0)),"")))</f>
        <v/>
      </c>
      <c r="U7" s="20">
        <f t="array" ref="U7">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7" s="20">
        <f t="array" ref="V7">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"&amp;V$1,Unified_Matrix!$1:$1,0))&gt;0),INDEX(Unified_Matrix!$A:$ZZ,3,MATCH("Evolution_Name",Unified_Matrix!$1:$1,0)):INDEX(Unified_Matrix!$A:$ZZ,300,MATCH("Evolution_Name",Unified_Matrix!$1:$1,0)),"")))</f>
        <v/>
      </c>
      <c r="W7" s="20">
        <f t="array" ref="W7">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"&amp;W$1,Unified_Matrix!$1:$1,0))&gt;0),INDEX(Unified_Matrix!$A:$ZZ,3,MATCH("Evolution_Name",Unified_Matrix!$1:$1,0)):INDEX(Unified_Matrix!$A:$ZZ,300,MATCH("Evolution_Name",Unified_Matrix!$1:$1,0)),"")))</f>
        <v/>
      </c>
      <c r="X7" s="20">
        <f t="array" ref="X7">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"&amp;X$1,Unified_Matrix!$1:$1,0))&gt;0),INDEX(Unified_Matrix!$A:$ZZ,3,MATCH("Evolution_Name",Unified_Matrix!$1:$1,0)):INDEX(Unified_Matrix!$A:$ZZ,300,MATCH("Evolution_Name",Unified_Matrix!$1:$1,0)),"")))</f>
        <v/>
      </c>
      <c r="Y7" s="20">
        <f t="array" ref="Y7">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"&amp;Y$1,Unified_Matrix!$1:$1,0))&gt;0),INDEX(Unified_Matrix!$A:$ZZ,3,MATCH("Evolution_Name",Unified_Matrix!$1:$1,0)):INDEX(Unified_Matrix!$A:$ZZ,300,MATCH("Evolution_Name",Unified_Matrix!$1:$1,0)),"")))</f>
        <v/>
      </c>
      <c r="Z7" s="20">
        <f t="array" ref="Z7">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7" s="20">
        <f t="array" ref="AA7">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7" s="20">
        <f t="array" ref="AB7">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"&amp;AB$1,Unified_Matrix!$1:$1,0))&gt;0),INDEX(Unified_Matrix!$A:$ZZ,3,MATCH("Evolution_Name",Unified_Matrix!$1:$1,0)):INDEX(Unified_Matrix!$A:$ZZ,300,MATCH("Evolution_Name",Unified_Matrix!$1:$1,0)),"")))</f>
        <v/>
      </c>
      <c r="AC7" s="20">
        <f t="array" ref="AC7">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"&amp;AC$1,Unified_Matrix!$1:$1,0))&gt;0),INDEX(Unified_Matrix!$A:$ZZ,3,MATCH("Evolution_Name",Unified_Matrix!$1:$1,0)):INDEX(Unified_Matrix!$A:$ZZ,300,MATCH("Evolution_Name",Unified_Matrix!$1:$1,0)),"")))</f>
        <v/>
      </c>
      <c r="AD7" s="20">
        <f t="array" ref="AD7">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"&amp;AD$1,Unified_Matrix!$1:$1,0))&gt;0),INDEX(Unified_Matrix!$A:$ZZ,3,MATCH("Evolution_Name",Unified_Matrix!$1:$1,0)):INDEX(Unified_Matrix!$A:$ZZ,300,MATCH("Evolution_Name",Unified_Matrix!$1:$1,0)),"")))</f>
        <v/>
      </c>
      <c r="AE7" s="20">
        <f t="array" ref="AE7">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"&amp;AE$1,Unified_Matrix!$1:$1,0))&gt;0),INDEX(Unified_Matrix!$A:$ZZ,3,MATCH("Evolution_Name",Unified_Matrix!$1:$1,0)):INDEX(Unified_Matrix!$A:$ZZ,300,MATCH("Evolution_Name",Unified_Matrix!$1:$1,0)),"")))</f>
        <v/>
      </c>
      <c r="AF7" s="20">
        <f t="array" ref="AF7">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"&amp;AF$1,Unified_Matrix!$1:$1,0))&gt;0),INDEX(Unified_Matrix!$A:$ZZ,3,MATCH("Evolution_Name",Unified_Matrix!$1:$1,0)):INDEX(Unified_Matrix!$A:$ZZ,300,MATCH("Evolution_Name",Unified_Matrix!$1:$1,0)),"")))</f>
        <v/>
      </c>
      <c r="AG7" s="20">
        <f t="array" ref="AG7">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"&amp;AG$1,Unified_Matrix!$1:$1,0))&gt;0),INDEX(Unified_Matrix!$A:$ZZ,3,MATCH("Evolution_Name",Unified_Matrix!$1:$1,0)):INDEX(Unified_Matrix!$A:$ZZ,300,MATCH("Evolution_Name",Unified_Matrix!$1:$1,0)),"")))</f>
        <v/>
      </c>
      <c r="AH7" s="20">
        <f t="array" ref="AH7">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"&amp;AH$1,Unified_Matrix!$1:$1,0))&gt;0),INDEX(Unified_Matrix!$A:$ZZ,3,MATCH("Evolution_Name",Unified_Matrix!$1:$1,0)):INDEX(Unified_Matrix!$A:$ZZ,300,MATCH("Evolution_Name",Unified_Matrix!$1:$1,0)),"")))</f>
        <v/>
      </c>
      <c r="AI7" s="20">
        <f t="array" ref="AI7">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"&amp;AI$1,Unified_Matrix!$1:$1,0))&gt;0),INDEX(Unified_Matrix!$A:$ZZ,3,MATCH("Evolution_Name",Unified_Matrix!$1:$1,0)):INDEX(Unified_Matrix!$A:$ZZ,300,MATCH("Evolution_Name",Unified_Matrix!$1:$1,0)),"")))</f>
        <v/>
      </c>
      <c r="AJ7" s="20">
        <f t="array" ref="AJ7">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"&amp;AJ$1,Unified_Matrix!$1:$1,0))&gt;0),INDEX(Unified_Matrix!$A:$ZZ,3,MATCH("Evolution_Name",Unified_Matrix!$1:$1,0)):INDEX(Unified_Matrix!$A:$ZZ,300,MATCH("Evolution_Name",Unified_Matrix!$1:$1,0)),"")))</f>
        <v/>
      </c>
      <c r="AK7" s="20">
        <f t="array" ref="AK7">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"&amp;AK$1,Unified_Matrix!$1:$1,0))&gt;0),INDEX(Unified_Matrix!$A:$ZZ,3,MATCH("Evolution_Name",Unified_Matrix!$1:$1,0)):INDEX(Unified_Matrix!$A:$ZZ,300,MATCH("Evolution_Name",Unified_Matrix!$1:$1,0)),"")))</f>
        <v/>
      </c>
      <c r="AL7" s="20">
        <f t="array" ref="AL7">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"&amp;AL$1,Unified_Matrix!$1:$1,0))&gt;0),INDEX(Unified_Matrix!$A:$ZZ,3,MATCH("Evolution_Name",Unified_Matrix!$1:$1,0)):INDEX(Unified_Matrix!$A:$ZZ,300,MATCH("Evolution_Name",Unified_Matrix!$1:$1,0)),"")))</f>
        <v/>
      </c>
      <c r="AM7" s="20">
        <f t="array" ref="AM7">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"&amp;AM$1,Unified_Matrix!$1:$1,0))&gt;0),INDEX(Unified_Matrix!$A:$ZZ,3,MATCH("Evolution_Name",Unified_Matrix!$1:$1,0)):INDEX(Unified_Matrix!$A:$ZZ,300,MATCH("Evolution_Name",Unified_Matrix!$1:$1,0)),"")))</f>
        <v/>
      </c>
      <c r="AN7" s="20">
        <f t="array" ref="AN7">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"&amp;AN$1,Unified_Matrix!$1:$1,0))&gt;0),INDEX(Unified_Matrix!$A:$ZZ,3,MATCH("Evolution_Name",Unified_Matrix!$1:$1,0)):INDEX(Unified_Matrix!$A:$ZZ,300,MATCH("Evolution_Name",Unified_Matrix!$1:$1,0)),"")))</f>
        <v/>
      </c>
      <c r="AO7" s="20">
        <f t="array" ref="AO7">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"&amp;AO$1,Unified_Matrix!$1:$1,0))&gt;0),INDEX(Unified_Matrix!$A:$ZZ,3,MATCH("Evolution_Name",Unified_Matrix!$1:$1,0)):INDEX(Unified_Matrix!$A:$ZZ,300,MATCH("Evolution_Name",Unified_Matrix!$1:$1,0)),"")))</f>
        <v/>
      </c>
      <c r="AP7" s="20">
        <f t="array" ref="AP7">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"&amp;AP$1,Unified_Matrix!$1:$1,0))&gt;0),INDEX(Unified_Matrix!$A:$ZZ,3,MATCH("Evolution_Name",Unified_Matrix!$1:$1,0)):INDEX(Unified_Matrix!$A:$ZZ,300,MATCH("Evolution_Name",Unified_Matrix!$1:$1,0)),"")))</f>
        <v/>
      </c>
      <c r="AQ7" s="20">
        <f t="array" ref="AQ7">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"&amp;AQ$1,Unified_Matrix!$1:$1,0))&gt;0),INDEX(Unified_Matrix!$A:$ZZ,3,MATCH("Evolution_Name",Unified_Matrix!$1:$1,0)):INDEX(Unified_Matrix!$A:$ZZ,300,MATCH("Evolution_Name",Unified_Matrix!$1:$1,0)),"")))</f>
        <v/>
      </c>
      <c r="AR7" s="20">
        <f t="array" ref="AR7">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"&amp;AR$1,Unified_Matrix!$1:$1,0))&gt;0),INDEX(Unified_Matrix!$A:$ZZ,3,MATCH("Evolution_Name",Unified_Matrix!$1:$1,0)):INDEX(Unified_Matrix!$A:$ZZ,300,MATCH("Evolution_Name",Unified_Matrix!$1:$1,0)),"")))</f>
        <v/>
      </c>
      <c r="AS7" s="20">
        <f t="array" ref="AS7">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"&amp;AS$1,Unified_Matrix!$1:$1,0))&gt;0),INDEX(Unified_Matrix!$A:$ZZ,3,MATCH("Evolution_Name",Unified_Matrix!$1:$1,0)):INDEX(Unified_Matrix!$A:$ZZ,300,MATCH("Evolution_Name",Unified_Matrix!$1:$1,0)),"")))</f>
        <v/>
      </c>
      <c r="AT7" s="20">
        <f t="array" ref="AT7">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"&amp;AT$1,Unified_Matrix!$1:$1,0))&gt;0),INDEX(Unified_Matrix!$A:$ZZ,3,MATCH("Evolution_Name",Unified_Matrix!$1:$1,0)):INDEX(Unified_Matrix!$A:$ZZ,300,MATCH("Evolution_Name",Unified_Matrix!$1:$1,0)),"")))</f>
        <v/>
      </c>
    </row>
    <row r="8">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row>
    <row r="9">
      <c r="H9" s="6" t="n"/>
      <c r="J9" s="8" t="inlineStr">
        <is>
          <t>Balance</t>
        </is>
      </c>
      <c r="K9" s="6" t="n"/>
      <c r="L9" s="6" t="n"/>
      <c r="M9" s="6" t="n"/>
      <c r="N9" s="6" t="n"/>
      <c r="O9" s="6" t="n"/>
      <c r="P9" s="6" t="n"/>
      <c r="Q9" s="6" t="n"/>
    </row>
    <row r="10" hidden="1" ht="33" customFormat="1" customHeight="1" s="7">
      <c r="H10" s="9" t="inlineStr">
        <is>
          <t>MAX수치
순위</t>
        </is>
      </c>
      <c r="I10" s="10" t="inlineStr">
        <is>
          <t>번호</t>
        </is>
      </c>
      <c r="J10" s="10" t="inlineStr">
        <is>
          <t>상한선</t>
        </is>
      </c>
      <c r="K10" s="10" t="inlineStr">
        <is>
          <t>진화명</t>
        </is>
      </c>
      <c r="L10" s="10" t="inlineStr">
        <is>
          <t>플러스 수치</t>
        </is>
      </c>
      <c r="M10" s="11" t="inlineStr">
        <is>
          <t>+OVR</t>
        </is>
      </c>
      <c r="N10" s="10" t="inlineStr">
        <is>
          <t>MAX OVR</t>
        </is>
      </c>
      <c r="O10" s="10" t="inlineStr">
        <is>
          <t>포지션 제한</t>
        </is>
      </c>
      <c r="P10" s="10" t="inlineStr">
        <is>
          <t>OVR 제한</t>
        </is>
      </c>
      <c r="Q10" s="10" t="inlineStr">
        <is>
          <t>기타 요구조건</t>
        </is>
      </c>
    </row>
    <row r="11" hidden="1" ht="24" customHeight="1">
      <c r="H11" s="39" t="inlineStr">
        <is>
          <t>1위</t>
        </is>
      </c>
      <c r="I11" s="12" t="n">
        <v>1</v>
      </c>
      <c r="J11" s="13">
        <f>_xlfn.MAXIFS(INDIRECT("Evo[Max "&amp;$J$9&amp;"]"),INDIRECT("Evo[Max "&amp;$J$9&amp;"]"),"&gt;0")</f>
        <v/>
      </c>
      <c r="K11" s="14">
        <f t="array" ref="K11">IFERROR(INDEX(Evo[Evolution_Name],_xlfn.AGGREGATE(15,6,(ROW(Evo[Evolution_Name])-MIN(ROW(Evo[Evolution_Name]))+1)/((INDIRECT("Evo[Max "&amp;$J$9&amp;"]")=$J11)*(INDIRECT("Evo[Max "&amp;$J$9&amp;"]")&gt;0)),$I11)),"")</f>
        <v/>
      </c>
      <c r="L11" s="13">
        <f t="array" ref="L11">IFERROR(INDEX(INDIRECT("Evo[+ "&amp;$J$9&amp;"]"),_xlfn.AGGREGATE(15,6,(ROW(Evo[Evolution_Name])-MIN(ROW(Evo[Evolution_Name]))+1)/((INDIRECT("Evo[Max "&amp;$J$9&amp;"]")=$J11)*(INDIRECT("Evo[Max "&amp;$J$9&amp;"]")&gt;0)),$I11)),"")</f>
        <v/>
      </c>
      <c r="M11" s="13">
        <f t="array" ref="M11">IFERROR(INDEX(INDIRECT("Evo[+ OVR]"),_xlfn.AGGREGATE(15,6,(ROW(Evo[Evolution_Name])-MIN(ROW(Evo[Evolution_Name]))+1)/((INDIRECT("Evo[Max "&amp;$J$9&amp;"]")=$J11)*(INDIRECT("Evo[Max "&amp;$J$9&amp;"]")&gt;0)),$I11)),"")</f>
        <v/>
      </c>
      <c r="N11" s="13">
        <f t="array" ref="N11">IFERROR(INDEX(INDIRECT("Evo[Max OVR]"),_xlfn.AGGREGATE(15,6,(ROW(Evo[Evolution_Name])-MIN(ROW(Evo[Evolution_Name]))+1)/((INDIRECT("Evo[Max "&amp;$J$9&amp;"]")=$J11)*(INDIRECT("Evo[Max "&amp;$J$9&amp;"]")&gt;0)),$I11)),"")</f>
        <v/>
      </c>
      <c r="O11" s="13">
        <f t="array" ref="O11">IFERROR(INDEX(INDIRECT("Evo[Req_Position]"),_xlfn.AGGREGATE(15,6,(ROW(Evo[Evolution_Name])-MIN(ROW(Evo[Evolution_Name]))+1)/((INDIRECT("Evo[Max "&amp;$J$9&amp;"]")=$J11)*(INDIRECT("Evo[Max "&amp;$J$9&amp;"]")&gt;0)),$I11)),"")</f>
        <v/>
      </c>
      <c r="P11" s="13">
        <f t="array" ref="P11">IFERROR(INDEX(INDIRECT("Evo[Req_OVR_Max]"),_xlfn.AGGREGATE(15,6,(ROW(Evo[Evolution_Name])-MIN(ROW(Evo[Evolution_Name]))+1)/((INDIRECT("Evo[Max "&amp;$J$9&amp;"]")=$J11)*(INDIRECT("Evo[Max "&amp;$J$9&amp;"]")&gt;0)),$I11)),"")</f>
        <v/>
      </c>
      <c r="Q11" s="13">
        <f t="array" ref="Q11">IFERROR(INDEX(INDIRECT("Evo[Req_Other]"),_xlfn.AGGREGATE(15,6,(ROW(Evo[Evolution_Name])-MIN(ROW(Evo[Evolution_Name]))+1)/((INDIRECT("Evo[Max "&amp;$J$9&amp;"]")=$J11)*(INDIRECT("Evo[Max "&amp;$J$9&amp;"]")&gt;0)),$I11)),"")</f>
        <v/>
      </c>
    </row>
    <row r="12" hidden="1" ht="36" customHeight="1">
      <c r="H12" s="40" t="n"/>
      <c r="I12" s="12" t="n">
        <v>2</v>
      </c>
      <c r="J12" s="13">
        <f>_xlfn.MAXIFS(INDIRECT("Evo[Max "&amp;$J$9&amp;"]"),INDIRECT("Evo[Max "&amp;$J$9&amp;"]"),"&gt;0")</f>
        <v/>
      </c>
      <c r="K12" s="14">
        <f t="array" ref="K12">IFERROR(INDEX(Evo[Evolution_Name],_xlfn.AGGREGATE(15,6,(ROW(Evo[Evolution_Name])-MIN(ROW(Evo[Evolution_Name]))+1)/((INDIRECT("Evo[Max "&amp;$J$9&amp;"]")=$J12)*(INDIRECT("Evo[Max "&amp;$J$9&amp;"]")&gt;0)),$I12)),"")</f>
        <v/>
      </c>
      <c r="L12" s="13">
        <f t="array" ref="L12">IFERROR(INDEX(INDIRECT("Evo[+ "&amp;$J$9&amp;"]"),_xlfn.AGGREGATE(15,6,(ROW(Evo[Evolution_Name])-MIN(ROW(Evo[Evolution_Name]))+1)/((INDIRECT("Evo[Max "&amp;$J$9&amp;"]")=$J12)*(INDIRECT("Evo[Max "&amp;$J$9&amp;"]")&gt;0)),$I12)),"")</f>
        <v/>
      </c>
      <c r="M12" s="13">
        <f t="array" ref="M12">IFERROR(INDEX(INDIRECT("Evo[+ OVR]"),_xlfn.AGGREGATE(15,6,(ROW(Evo[Evolution_Name])-MIN(ROW(Evo[Evolution_Name]))+1)/((INDIRECT("Evo[Max "&amp;$J$9&amp;"]")=$J12)*(INDIRECT("Evo[Max "&amp;$J$9&amp;"]")&gt;0)),$I12)),"")</f>
        <v/>
      </c>
      <c r="N12" s="13">
        <f t="array" ref="N12">IFERROR(INDEX(INDIRECT("Evo[Max OVR]"),_xlfn.AGGREGATE(15,6,(ROW(Evo[Evolution_Name])-MIN(ROW(Evo[Evolution_Name]))+1)/((INDIRECT("Evo[Max "&amp;$J$9&amp;"]")=$J12)*(INDIRECT("Evo[Max "&amp;$J$9&amp;"]")&gt;0)),$I12)),"")</f>
        <v/>
      </c>
      <c r="O12" s="13">
        <f t="array" ref="O12">IFERROR(INDEX(INDIRECT("Evo[Req_Position]"),_xlfn.AGGREGATE(15,6,(ROW(Evo[Evolution_Name])-MIN(ROW(Evo[Evolution_Name]))+1)/((INDIRECT("Evo[Max "&amp;$J$9&amp;"]")=$J12)*(INDIRECT("Evo[Max "&amp;$J$9&amp;"]")&gt;0)),$I12)),"")</f>
        <v/>
      </c>
      <c r="P12" s="13">
        <f t="array" ref="P12">IFERROR(INDEX(INDIRECT("Evo[Req_OVR_Max]"),_xlfn.AGGREGATE(15,6,(ROW(Evo[Evolution_Name])-MIN(ROW(Evo[Evolution_Name]))+1)/((INDIRECT("Evo[Max "&amp;$J$9&amp;"]")=$J12)*(INDIRECT("Evo[Max "&amp;$J$9&amp;"]")&gt;0)),$I12)),"")</f>
        <v/>
      </c>
      <c r="Q12" s="13">
        <f t="array" ref="Q12">IFERROR(INDEX(INDIRECT("Evo[Req_Other]"),_xlfn.AGGREGATE(15,6,(ROW(Evo[Evolution_Name])-MIN(ROW(Evo[Evolution_Name]))+1)/((INDIRECT("Evo[Max "&amp;$J$9&amp;"]")=$J12)*(INDIRECT("Evo[Max "&amp;$J$9&amp;"]")&gt;0)),$I12)),"")</f>
        <v/>
      </c>
    </row>
    <row r="13" hidden="1">
      <c r="H13" s="40" t="n"/>
      <c r="I13" s="12" t="n">
        <v>3</v>
      </c>
      <c r="J13" s="13">
        <f>_xlfn.MAXIFS(INDIRECT("Evo[Max "&amp;$J$9&amp;"]"),INDIRECT("Evo[Max "&amp;$J$9&amp;"]"),"&gt;0")</f>
        <v/>
      </c>
      <c r="K13" s="14">
        <f t="array" ref="K13">IFERROR(INDEX(Evo[Evolution_Name],_xlfn.AGGREGATE(15,6,(ROW(Evo[Evolution_Name])-MIN(ROW(Evo[Evolution_Name]))+1)/((INDIRECT("Evo[Max "&amp;$J$9&amp;"]")=$J13)*(INDIRECT("Evo[Max "&amp;$J$9&amp;"]")&gt;0)),$I13)),"")</f>
        <v/>
      </c>
      <c r="L13" s="13">
        <f t="array" ref="L13">IFERROR(INDEX(INDIRECT("Evo[+ "&amp;$J$9&amp;"]"),_xlfn.AGGREGATE(15,6,(ROW(Evo[Evolution_Name])-MIN(ROW(Evo[Evolution_Name]))+1)/((INDIRECT("Evo[Max "&amp;$J$9&amp;"]")=$J13)*(INDIRECT("Evo[Max "&amp;$J$9&amp;"]")&gt;0)),$I13)),"")</f>
        <v/>
      </c>
      <c r="M13" s="13">
        <f t="array" ref="M13">IFERROR(INDEX(INDIRECT("Evo[+ OVR]"),_xlfn.AGGREGATE(15,6,(ROW(Evo[Evolution_Name])-MIN(ROW(Evo[Evolution_Name]))+1)/((INDIRECT("Evo[Max "&amp;$J$9&amp;"]")=$J13)*(INDIRECT("Evo[Max "&amp;$J$9&amp;"]")&gt;0)),$I13)),"")</f>
        <v/>
      </c>
      <c r="N13" s="13">
        <f t="array" ref="N13">IFERROR(INDEX(INDIRECT("Evo[Max OVR]"),_xlfn.AGGREGATE(15,6,(ROW(Evo[Evolution_Name])-MIN(ROW(Evo[Evolution_Name]))+1)/((INDIRECT("Evo[Max "&amp;$J$9&amp;"]")=$J13)*(INDIRECT("Evo[Max "&amp;$J$9&amp;"]")&gt;0)),$I13)),"")</f>
        <v/>
      </c>
      <c r="O13" s="13">
        <f t="array" ref="O13">IFERROR(INDEX(INDIRECT("Evo[Req_Position]"),_xlfn.AGGREGATE(15,6,(ROW(Evo[Evolution_Name])-MIN(ROW(Evo[Evolution_Name]))+1)/((INDIRECT("Evo[Max "&amp;$J$9&amp;"]")=$J13)*(INDIRECT("Evo[Max "&amp;$J$9&amp;"]")&gt;0)),$I13)),"")</f>
        <v/>
      </c>
      <c r="P13" s="13">
        <f t="array" ref="P13">IFERROR(INDEX(INDIRECT("Evo[Req_OVR_Max]"),_xlfn.AGGREGATE(15,6,(ROW(Evo[Evolution_Name])-MIN(ROW(Evo[Evolution_Name]))+1)/((INDIRECT("Evo[Max "&amp;$J$9&amp;"]")=$J13)*(INDIRECT("Evo[Max "&amp;$J$9&amp;"]")&gt;0)),$I13)),"")</f>
        <v/>
      </c>
      <c r="Q13" s="13">
        <f t="array" ref="Q13">IFERROR(INDEX(INDIRECT("Evo[Req_Other]"),_xlfn.AGGREGATE(15,6,(ROW(Evo[Evolution_Name])-MIN(ROW(Evo[Evolution_Name]))+1)/((INDIRECT("Evo[Max "&amp;$J$9&amp;"]")=$J13)*(INDIRECT("Evo[Max "&amp;$J$9&amp;"]")&gt;0)),$I13)),"")</f>
        <v/>
      </c>
    </row>
    <row r="14" hidden="1">
      <c r="H14" s="40" t="n"/>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H15" s="38" t="n"/>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6">
    <mergeCell ref="H11:H15"/>
    <mergeCell ref="H21:H25"/>
    <mergeCell ref="H4:H5"/>
    <mergeCell ref="H6:H7"/>
    <mergeCell ref="H16:H20"/>
    <mergeCell ref="H2:H3"/>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Lucky Number Seven - EA SPORTS FC 26</t>
        </is>
      </c>
      <c r="D2" t="inlineStr">
        <is>
          <t>https://www.fut.gg/evolutions/1987-lucky-number-seven/</t>
        </is>
      </c>
      <c r="G2" t="inlineStr">
        <is>
          <t>88</t>
        </is>
      </c>
      <c r="K2" t="inlineStr">
        <is>
          <t>World Tour Silver Stars</t>
        </is>
      </c>
      <c r="L2" t="inlineStr">
        <is>
          <t>World Tour Silver Stars</t>
        </is>
      </c>
      <c r="X2" t="n">
        <v>2</v>
      </c>
      <c r="AT2" t="n">
        <v>14</v>
      </c>
      <c r="AU2" t="n">
        <v>95</v>
      </c>
      <c r="BB2" t="n">
        <v>14</v>
      </c>
      <c r="BC2" t="n">
        <v>92</v>
      </c>
      <c r="BD2" t="n">
        <v>14</v>
      </c>
      <c r="BE2" t="n">
        <v>93</v>
      </c>
      <c r="BP2" t="n">
        <v>14</v>
      </c>
      <c r="BQ2" t="n">
        <v>90</v>
      </c>
      <c r="BV2" t="n">
        <v>7</v>
      </c>
      <c r="BW2" t="n">
        <v>93</v>
      </c>
      <c r="CJ2" t="n">
        <v>7</v>
      </c>
      <c r="CK2" t="n">
        <v>92</v>
      </c>
      <c r="CN2" t="n">
        <v>7</v>
      </c>
      <c r="CO2" t="n">
        <v>92</v>
      </c>
      <c r="CW2"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2" t="inlineStr">
        <is>
          <t>Excluded Rarity World Tour Silver Stars Overall Max. 88 Details Submit by in 10 days Expiry in 17 days Coins Cost Free Points Cost Free</t>
        </is>
      </c>
      <c r="CY2" t="inlineStr">
        <is>
          <t>Excluded Rarity World Tour Silver Stars Overall Max. 88 Details Submit by in 10 days Expiry in 17 days Coins Cost Free Points Cost Free</t>
        </is>
      </c>
      <c r="CZ2" t="inlineStr">
        <is>
          <t>Lucky Number Seven NEW 3</t>
        </is>
      </c>
      <c r="DA2" t="inlineStr">
        <is>
          <t>Lucky Number Seven NEW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10 days in 17 days 26% 74%</t>
        </is>
      </c>
    </row>
    <row r="3">
      <c r="A3" t="inlineStr">
        <is>
          <t>Current</t>
        </is>
      </c>
      <c r="B3" t="inlineStr">
        <is>
          <t>Current Evolutions</t>
        </is>
      </c>
      <c r="C3" t="inlineStr">
        <is>
          <t>Fullback Takeover - EA SPORTS FC 26</t>
        </is>
      </c>
      <c r="D3" t="inlineStr">
        <is>
          <t>https://www.fut.gg/evolutions/1985-fullback-takeover/</t>
        </is>
      </c>
      <c r="G3" t="inlineStr">
        <is>
          <t>89</t>
        </is>
      </c>
      <c r="I3" t="inlineStr">
        <is>
          <t>RB</t>
        </is>
      </c>
      <c r="J3" t="inlineStr">
        <is>
          <t>CB</t>
        </is>
      </c>
      <c r="K3" t="inlineStr">
        <is>
          <t>World Tour Silver Stars Max Pos. 3</t>
        </is>
      </c>
      <c r="L3" t="inlineStr">
        <is>
          <t>World Tour Silver Stars Max Pos. 3</t>
        </is>
      </c>
      <c r="S3" t="inlineStr">
        <is>
          <t>10</t>
        </is>
      </c>
      <c r="T3" t="inlineStr">
        <is>
          <t>2</t>
        </is>
      </c>
      <c r="U3" t="inlineStr">
        <is>
          <t>3</t>
        </is>
      </c>
      <c r="X3" t="n">
        <v>30</v>
      </c>
      <c r="Y3" t="n">
        <v>90</v>
      </c>
      <c r="AD3" t="n">
        <v>15</v>
      </c>
      <c r="AE3" t="n">
        <v>87</v>
      </c>
      <c r="AL3" t="n">
        <v>20</v>
      </c>
      <c r="AM3" t="n">
        <v>89</v>
      </c>
      <c r="AN3" t="n">
        <v>20</v>
      </c>
      <c r="AO3" t="n">
        <v>92</v>
      </c>
      <c r="BN3" t="n">
        <v>10</v>
      </c>
      <c r="BO3" t="n">
        <v>88</v>
      </c>
      <c r="BP3" t="n">
        <v>10</v>
      </c>
      <c r="BQ3" t="n">
        <v>86</v>
      </c>
      <c r="BR3" t="n">
        <v>10</v>
      </c>
      <c r="BS3" t="n">
        <v>88</v>
      </c>
      <c r="BX3" t="n">
        <v>10</v>
      </c>
      <c r="BY3" t="n">
        <v>88</v>
      </c>
      <c r="BZ3" t="n">
        <v>40</v>
      </c>
      <c r="CA3" t="n">
        <v>91</v>
      </c>
      <c r="CB3" t="n">
        <v>20</v>
      </c>
      <c r="CC3" t="n">
        <v>83</v>
      </c>
      <c r="CD3" t="n">
        <v>20</v>
      </c>
      <c r="CE3" t="n">
        <v>91</v>
      </c>
      <c r="CF3" t="n">
        <v>20</v>
      </c>
      <c r="CG3" t="n">
        <v>90</v>
      </c>
      <c r="CH3" t="n">
        <v>20</v>
      </c>
      <c r="CI3" t="n">
        <v>93</v>
      </c>
      <c r="CJ3" t="n">
        <v>15</v>
      </c>
      <c r="CK3" t="n">
        <v>88</v>
      </c>
      <c r="CL3" t="n">
        <v>20</v>
      </c>
      <c r="CM3" t="n">
        <v>92</v>
      </c>
      <c r="CN3" t="n">
        <v>30</v>
      </c>
      <c r="CO3" t="n">
        <v>88</v>
      </c>
      <c r="CP3" t="n">
        <v>15</v>
      </c>
      <c r="CQ3" t="n">
        <v>86</v>
      </c>
      <c r="CT3" t="n">
        <v>4</v>
      </c>
      <c r="CU3" t="n">
        <v>4</v>
      </c>
      <c r="CW3"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3" t="inlineStr">
        <is>
          <t>Excluded Rarity World Tour Silver Stars Max Pos. 3 Overall Max. 89 Position RB Excluded Position CB Max PS 10 Max PS+ 2 Details Submit by in 9 days Expiry in 16 days Coins Cost 35,000 Points Cost 200</t>
        </is>
      </c>
      <c r="CY3" t="inlineStr">
        <is>
          <t>Excluded Rarity World Tour Silver Stars Max Pos. 3 Overall Max. 89 Position RB Excluded Position CB Max PS 10 Max PS+ 2 Details Submit by in 9 days Expiry in 16 days Coins Cost 35,000 Points Cost 200</t>
        </is>
      </c>
      <c r="CZ3" t="inlineStr">
        <is>
          <t>Fullback Takeover 35,000 200</t>
        </is>
      </c>
      <c r="DA3"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9 days in 16 days 22% 78%</t>
        </is>
      </c>
    </row>
    <row r="4">
      <c r="A4" t="inlineStr">
        <is>
          <t>Current</t>
        </is>
      </c>
      <c r="B4" t="inlineStr">
        <is>
          <t>Current Evolutions</t>
        </is>
      </c>
      <c r="C4" t="inlineStr">
        <is>
          <t>Gear 5 - EA SPORTS FC 26</t>
        </is>
      </c>
      <c r="D4" t="inlineStr">
        <is>
          <t>https://www.fut.gg/evolutions/1984-gear-5/</t>
        </is>
      </c>
      <c r="G4" t="inlineStr">
        <is>
          <t>89</t>
        </is>
      </c>
      <c r="K4" t="inlineStr">
        <is>
          <t>World Tour Silver Stars</t>
        </is>
      </c>
      <c r="L4" t="inlineStr">
        <is>
          <t>World Tour Silver Stars</t>
        </is>
      </c>
      <c r="S4" t="inlineStr">
        <is>
          <t>10</t>
        </is>
      </c>
      <c r="T4" t="inlineStr">
        <is>
          <t>2</t>
        </is>
      </c>
      <c r="X4" t="n">
        <v>10</v>
      </c>
      <c r="Y4" t="n">
        <v>91</v>
      </c>
      <c r="AL4" t="n">
        <v>5</v>
      </c>
      <c r="AM4" t="n">
        <v>89</v>
      </c>
      <c r="AN4" t="n">
        <v>10</v>
      </c>
      <c r="AO4" t="n">
        <v>89</v>
      </c>
      <c r="AP4" t="n">
        <v>5</v>
      </c>
      <c r="AQ4" t="n">
        <v>91</v>
      </c>
      <c r="AR4" t="n">
        <v>5</v>
      </c>
      <c r="AS4" t="n">
        <v>89</v>
      </c>
      <c r="AT4" t="n">
        <v>5</v>
      </c>
      <c r="AU4" t="n">
        <v>88</v>
      </c>
      <c r="AV4" t="n">
        <v>5</v>
      </c>
      <c r="AW4" t="n">
        <v>87</v>
      </c>
      <c r="AX4" t="n">
        <v>5</v>
      </c>
      <c r="AY4" t="n">
        <v>86</v>
      </c>
      <c r="BB4" t="n">
        <v>10</v>
      </c>
      <c r="BC4" t="n">
        <v>91</v>
      </c>
      <c r="BD4" t="n">
        <v>10</v>
      </c>
      <c r="BE4" t="n">
        <v>86</v>
      </c>
      <c r="BH4" t="n">
        <v>5</v>
      </c>
      <c r="BI4" t="n">
        <v>90</v>
      </c>
      <c r="BJ4" t="n">
        <v>5</v>
      </c>
      <c r="BK4" t="n">
        <v>90</v>
      </c>
      <c r="BL4" t="n">
        <v>5</v>
      </c>
      <c r="BM4" t="n">
        <v>90</v>
      </c>
      <c r="BN4" t="n">
        <v>5</v>
      </c>
      <c r="BO4" t="n">
        <v>92</v>
      </c>
      <c r="BP4" t="n">
        <v>5</v>
      </c>
      <c r="BQ4" t="n">
        <v>92</v>
      </c>
      <c r="BR4" t="n">
        <v>5</v>
      </c>
      <c r="BS4" t="n">
        <v>90</v>
      </c>
      <c r="BT4" t="n">
        <v>5</v>
      </c>
      <c r="BU4" t="n">
        <v>91</v>
      </c>
      <c r="BV4" t="n">
        <v>5</v>
      </c>
      <c r="BW4" t="n">
        <v>92</v>
      </c>
      <c r="BX4" t="n">
        <v>5</v>
      </c>
      <c r="BY4" t="n">
        <v>87</v>
      </c>
      <c r="BZ4" t="n">
        <v>5</v>
      </c>
      <c r="CA4" t="n">
        <v>88</v>
      </c>
      <c r="CB4" t="n">
        <v>5</v>
      </c>
      <c r="CC4" t="n">
        <v>85</v>
      </c>
      <c r="CD4" t="n">
        <v>5</v>
      </c>
      <c r="CE4" t="n">
        <v>86</v>
      </c>
      <c r="CF4" t="n">
        <v>5</v>
      </c>
      <c r="CG4" t="n">
        <v>86</v>
      </c>
      <c r="CH4" t="n">
        <v>10</v>
      </c>
      <c r="CI4" t="n">
        <v>90</v>
      </c>
      <c r="CJ4" t="n">
        <v>5</v>
      </c>
      <c r="CK4" t="n">
        <v>90</v>
      </c>
      <c r="CL4" t="n">
        <v>5</v>
      </c>
      <c r="CM4" t="n">
        <v>90</v>
      </c>
      <c r="CN4" t="n">
        <v>5</v>
      </c>
      <c r="CO4" t="n">
        <v>86</v>
      </c>
      <c r="CP4" t="n">
        <v>5</v>
      </c>
      <c r="CQ4" t="n">
        <v>86</v>
      </c>
      <c r="CR4" t="n">
        <v>4</v>
      </c>
      <c r="CT4" t="n">
        <v>8</v>
      </c>
      <c r="CW4"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4" t="inlineStr">
        <is>
          <t>Excluded Rarity World Tour Silver Stars Overall Max. 89 Max PS 10 Max PS+ 2 Details Submit by in 8 days Expiry in 15 days Coins Cost 75,000 Points Cost 400</t>
        </is>
      </c>
      <c r="CY4" t="inlineStr">
        <is>
          <t>Excluded Rarity World Tour Silver Stars Overall Max. 89 Max PS 10 Max PS+ 2 Details Submit by in 8 days Expiry in 15 days Coins Cost 75,000 Points Cost 400</t>
        </is>
      </c>
      <c r="CZ4" t="inlineStr">
        <is>
          <t>Gear 5 75,000 400</t>
        </is>
      </c>
      <c r="DA4"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8 days in 15 days 8% 92%</t>
        </is>
      </c>
    </row>
    <row r="5">
      <c r="A5" t="inlineStr">
        <is>
          <t>Current</t>
        </is>
      </c>
      <c r="B5" t="inlineStr">
        <is>
          <t>Current Evolutions</t>
        </is>
      </c>
      <c r="C5" t="inlineStr">
        <is>
          <t>Steel Guard - EA SPORTS FC 26</t>
        </is>
      </c>
      <c r="D5" t="inlineStr">
        <is>
          <t>https://www.fut.gg/evolutions/1980-steel-guard/</t>
        </is>
      </c>
      <c r="G5" t="inlineStr">
        <is>
          <t>74</t>
        </is>
      </c>
      <c r="K5" t="inlineStr">
        <is>
          <t>World Tour Silver Stars</t>
        </is>
      </c>
      <c r="L5" t="inlineStr">
        <is>
          <t>World Tour Silver Stars</t>
        </is>
      </c>
      <c r="S5" t="inlineStr">
        <is>
          <t>10</t>
        </is>
      </c>
      <c r="T5" t="inlineStr">
        <is>
          <t>2</t>
        </is>
      </c>
      <c r="AL5" t="n">
        <v>1</v>
      </c>
      <c r="AM5" t="n">
        <v>80</v>
      </c>
      <c r="AN5" t="n">
        <v>1</v>
      </c>
      <c r="AO5" t="n">
        <v>80</v>
      </c>
      <c r="BB5" t="n">
        <v>2</v>
      </c>
      <c r="BC5" t="n">
        <v>72</v>
      </c>
      <c r="BH5" t="n">
        <v>4</v>
      </c>
      <c r="BI5" t="n">
        <v>78</v>
      </c>
      <c r="BZ5" t="n">
        <v>4</v>
      </c>
      <c r="CA5" t="n">
        <v>80</v>
      </c>
      <c r="CB5" t="n">
        <v>2</v>
      </c>
      <c r="CC5" t="n">
        <v>76</v>
      </c>
      <c r="CD5" t="n">
        <v>4</v>
      </c>
      <c r="CE5" t="n">
        <v>80</v>
      </c>
      <c r="CF5" t="n">
        <v>2</v>
      </c>
      <c r="CG5" t="n">
        <v>80</v>
      </c>
      <c r="CH5" t="n">
        <v>4</v>
      </c>
      <c r="CI5" t="n">
        <v>78</v>
      </c>
      <c r="CJ5" t="n">
        <v>2</v>
      </c>
      <c r="CK5" t="n">
        <v>75</v>
      </c>
      <c r="CL5" t="n">
        <v>1</v>
      </c>
      <c r="CM5" t="n">
        <v>78</v>
      </c>
      <c r="CN5" t="n">
        <v>1</v>
      </c>
      <c r="CO5" t="n">
        <v>78</v>
      </c>
      <c r="CP5" t="n">
        <v>1</v>
      </c>
      <c r="CQ5" t="n">
        <v>75</v>
      </c>
      <c r="CW5"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5" t="inlineStr">
        <is>
          <t>Excluded Rarity World Tour Silver Stars Overall Max. 74 Max PS 10 Max PS+ 2 Details Submit by in 7 days Expiry in 14 days Coins Cost Free Points Cost Free</t>
        </is>
      </c>
      <c r="CY5" t="inlineStr">
        <is>
          <t>Excluded Rarity World Tour Silver Stars Overall Max. 74 Max PS 10 Max PS+ 2 Details Submit by in 7 days Expiry in 14 days Coins Cost Free Points Cost Free</t>
        </is>
      </c>
      <c r="CZ5" t="inlineStr">
        <is>
          <t>Steel Guard 3</t>
        </is>
      </c>
      <c r="DA5"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7 days in 14 days 7% 93%</t>
        </is>
      </c>
    </row>
    <row r="6">
      <c r="A6" t="inlineStr">
        <is>
          <t>Current</t>
        </is>
      </c>
      <c r="B6" t="inlineStr">
        <is>
          <t>Current Evolutions</t>
        </is>
      </c>
      <c r="C6" t="inlineStr">
        <is>
          <t>Lightning Wingback - EA SPORTS FC 26</t>
        </is>
      </c>
      <c r="D6" t="inlineStr">
        <is>
          <t>https://www.fut.gg/evolutions/1978-lightning-wingback/</t>
        </is>
      </c>
      <c r="G6" t="inlineStr">
        <is>
          <t>89</t>
        </is>
      </c>
      <c r="I6" t="inlineStr">
        <is>
          <t>LB</t>
        </is>
      </c>
      <c r="J6" t="inlineStr">
        <is>
          <t>CB</t>
        </is>
      </c>
      <c r="K6" t="inlineStr">
        <is>
          <t>World Tour Silver Stars</t>
        </is>
      </c>
      <c r="L6" t="inlineStr">
        <is>
          <t>World Tour Silver Stars</t>
        </is>
      </c>
      <c r="S6" t="inlineStr">
        <is>
          <t>10</t>
        </is>
      </c>
      <c r="T6" t="inlineStr">
        <is>
          <t>2</t>
        </is>
      </c>
      <c r="X6" t="n">
        <v>60</v>
      </c>
      <c r="Y6" t="n">
        <v>91</v>
      </c>
      <c r="AL6" t="n">
        <v>30</v>
      </c>
      <c r="AM6" t="n">
        <v>93</v>
      </c>
      <c r="AN6" t="n">
        <v>60</v>
      </c>
      <c r="AO6" t="n">
        <v>93</v>
      </c>
      <c r="AP6" t="n">
        <v>100</v>
      </c>
      <c r="AQ6" t="n">
        <v>90</v>
      </c>
      <c r="AT6" t="n">
        <v>50</v>
      </c>
      <c r="AU6" t="n">
        <v>94</v>
      </c>
      <c r="BD6" t="n">
        <v>30</v>
      </c>
      <c r="BE6" t="n">
        <v>94</v>
      </c>
      <c r="BH6" t="n">
        <v>30</v>
      </c>
      <c r="BI6" t="n">
        <v>92</v>
      </c>
      <c r="BJ6" t="n">
        <v>50</v>
      </c>
      <c r="BK6" t="n">
        <v>93</v>
      </c>
      <c r="BN6" t="n">
        <v>30</v>
      </c>
      <c r="BO6" t="n">
        <v>90</v>
      </c>
      <c r="BP6" t="n">
        <v>30</v>
      </c>
      <c r="BQ6" t="n">
        <v>90</v>
      </c>
      <c r="BR6" t="n">
        <v>30</v>
      </c>
      <c r="BS6" t="n">
        <v>93</v>
      </c>
      <c r="BT6" t="n">
        <v>30</v>
      </c>
      <c r="BU6" t="n">
        <v>90</v>
      </c>
      <c r="BV6" t="n">
        <v>30</v>
      </c>
      <c r="BW6" t="n">
        <v>89</v>
      </c>
      <c r="BX6" t="n">
        <v>30</v>
      </c>
      <c r="BY6" t="n">
        <v>89</v>
      </c>
      <c r="BZ6" t="n">
        <v>35</v>
      </c>
      <c r="CA6" t="n">
        <v>92</v>
      </c>
      <c r="CB6" t="n">
        <v>35</v>
      </c>
      <c r="CC6" t="n">
        <v>92</v>
      </c>
      <c r="CD6" t="n">
        <v>35</v>
      </c>
      <c r="CE6" t="n">
        <v>90</v>
      </c>
      <c r="CF6" t="n">
        <v>70</v>
      </c>
      <c r="CG6" t="n">
        <v>87</v>
      </c>
      <c r="CH6" t="n">
        <v>35</v>
      </c>
      <c r="CI6" t="n">
        <v>95</v>
      </c>
      <c r="CJ6" t="n">
        <v>20</v>
      </c>
      <c r="CK6" t="n">
        <v>90</v>
      </c>
      <c r="CL6" t="n">
        <v>20</v>
      </c>
      <c r="CM6" t="n">
        <v>94</v>
      </c>
      <c r="CN6" t="n">
        <v>25</v>
      </c>
      <c r="CO6" t="n">
        <v>91</v>
      </c>
      <c r="CP6" t="n">
        <v>50</v>
      </c>
      <c r="CQ6" t="n">
        <v>92</v>
      </c>
      <c r="CT6" t="n">
        <v>4</v>
      </c>
      <c r="CW6"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6" t="inlineStr">
        <is>
          <t>Excluded Rarity World Tour Silver Stars Overall Max. 89 Position LB Excluded Position CB Max PS 10 Max PS+ 2 Details Submit by in 6 days Expiry in 13 days Coins Cost 50,000 Points Cost 300</t>
        </is>
      </c>
      <c r="CY6" t="inlineStr">
        <is>
          <t>Excluded Rarity World Tour Silver Stars Overall Max. 89 Position LB Excluded Position CB Max PS 10 Max PS+ 2 Details Submit by in 6 days Expiry in 13 days Coins Cost 50,000 Points Cost 300</t>
        </is>
      </c>
      <c r="CZ6" t="inlineStr">
        <is>
          <t>Lightning Wingback 50,000 300</t>
        </is>
      </c>
      <c r="DA6"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6 days in 13 days 90% 10%</t>
        </is>
      </c>
    </row>
    <row r="7">
      <c r="A7" t="inlineStr">
        <is>
          <t>Current</t>
        </is>
      </c>
      <c r="B7" t="inlineStr">
        <is>
          <t>Current Evolutions</t>
        </is>
      </c>
      <c r="C7" t="inlineStr">
        <is>
          <t>Curve Your Enthusiasm - EA SPORTS FC 26</t>
        </is>
      </c>
      <c r="D7" t="inlineStr">
        <is>
          <t>https://www.fut.gg/evolutions/1976-curve-your-enthusiasm/</t>
        </is>
      </c>
      <c r="G7" t="inlineStr">
        <is>
          <t>88</t>
        </is>
      </c>
      <c r="K7" t="inlineStr">
        <is>
          <t>World Tour Silver Stars</t>
        </is>
      </c>
      <c r="L7" t="inlineStr">
        <is>
          <t>World Tour Silver Stars</t>
        </is>
      </c>
      <c r="S7" t="inlineStr">
        <is>
          <t>10</t>
        </is>
      </c>
      <c r="AP7" t="n">
        <v>6</v>
      </c>
      <c r="AQ7" t="n">
        <v>90</v>
      </c>
      <c r="AR7" t="n">
        <v>10</v>
      </c>
      <c r="AS7" t="n">
        <v>92</v>
      </c>
      <c r="AT7" t="n">
        <v>3</v>
      </c>
      <c r="AU7" t="n">
        <v>90</v>
      </c>
      <c r="AV7" t="n">
        <v>5</v>
      </c>
      <c r="AW7" t="n">
        <v>92</v>
      </c>
      <c r="BL7" t="n">
        <v>8</v>
      </c>
      <c r="BM7" t="n">
        <v>95</v>
      </c>
      <c r="CW7"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7" t="inlineStr">
        <is>
          <t>Excluded Rarity World Tour Silver Stars Overall Max. 88 Max PS 10 Details Submit by in 5 days Expiry in 12 days Coins Cost Free Points Cost Free</t>
        </is>
      </c>
      <c r="CY7" t="inlineStr">
        <is>
          <t>Excluded Rarity World Tour Silver Stars Overall Max. 88 Max PS 10 Details Submit by in 5 days Expiry in 12 days Coins Cost Free Points Cost Free</t>
        </is>
      </c>
      <c r="CZ7" t="inlineStr">
        <is>
          <t>Curve Your Enthusiasm 5</t>
        </is>
      </c>
      <c r="DA7"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5 days in 12 days 30% 70%</t>
        </is>
      </c>
    </row>
    <row r="8">
      <c r="A8" t="inlineStr">
        <is>
          <t>Current</t>
        </is>
      </c>
      <c r="B8" t="inlineStr">
        <is>
          <t>Current Evolutions</t>
        </is>
      </c>
      <c r="C8" t="inlineStr">
        <is>
          <t>Cut In, Say Less - EA SPORTS FC 26</t>
        </is>
      </c>
      <c r="D8" t="inlineStr">
        <is>
          <t>https://www.fut.gg/evolutions/1967-cut-in-say-less/</t>
        </is>
      </c>
      <c r="G8" t="inlineStr">
        <is>
          <t>90</t>
        </is>
      </c>
      <c r="I8" t="inlineStr">
        <is>
          <t>RM, RW</t>
        </is>
      </c>
      <c r="K8" t="inlineStr">
        <is>
          <t>World Tour Silver Stars</t>
        </is>
      </c>
      <c r="L8" t="inlineStr">
        <is>
          <t>World Tour Silver Stars</t>
        </is>
      </c>
      <c r="S8" t="inlineStr">
        <is>
          <t>10</t>
        </is>
      </c>
      <c r="T8" t="inlineStr">
        <is>
          <t>2</t>
        </is>
      </c>
      <c r="X8" t="n">
        <v>34</v>
      </c>
      <c r="Y8" t="n">
        <v>92</v>
      </c>
      <c r="AL8" t="n">
        <v>34</v>
      </c>
      <c r="AM8" t="n">
        <v>93</v>
      </c>
      <c r="AN8" t="n">
        <v>34</v>
      </c>
      <c r="AO8" t="n">
        <v>91</v>
      </c>
      <c r="AR8" t="n">
        <v>17</v>
      </c>
      <c r="AS8" t="n">
        <v>92</v>
      </c>
      <c r="AT8" t="n">
        <v>17</v>
      </c>
      <c r="AU8" t="n">
        <v>91</v>
      </c>
      <c r="AV8" t="n">
        <v>17</v>
      </c>
      <c r="AW8" t="n">
        <v>90</v>
      </c>
      <c r="AX8" t="n">
        <v>17</v>
      </c>
      <c r="AY8" t="n">
        <v>86</v>
      </c>
      <c r="BB8" t="n">
        <v>34</v>
      </c>
      <c r="BC8" t="n">
        <v>93</v>
      </c>
      <c r="BD8" t="n">
        <v>34</v>
      </c>
      <c r="BE8" t="n">
        <v>90</v>
      </c>
      <c r="BH8" t="n">
        <v>17</v>
      </c>
      <c r="BI8" t="n">
        <v>92</v>
      </c>
      <c r="BJ8" t="n">
        <v>17</v>
      </c>
      <c r="BK8" t="n">
        <v>91</v>
      </c>
      <c r="BL8" t="n">
        <v>17</v>
      </c>
      <c r="BM8" t="n">
        <v>94</v>
      </c>
      <c r="BN8" t="n">
        <v>17</v>
      </c>
      <c r="BO8" t="n">
        <v>94</v>
      </c>
      <c r="BP8" t="n">
        <v>17</v>
      </c>
      <c r="BQ8" t="n">
        <v>92</v>
      </c>
      <c r="BR8" t="n">
        <v>17</v>
      </c>
      <c r="BS8" t="n">
        <v>91</v>
      </c>
      <c r="BT8" t="n">
        <v>17</v>
      </c>
      <c r="BU8" t="n">
        <v>91</v>
      </c>
      <c r="BV8" t="n">
        <v>17</v>
      </c>
      <c r="BW8" t="n">
        <v>92</v>
      </c>
      <c r="BX8" t="n">
        <v>17</v>
      </c>
      <c r="BY8" t="n">
        <v>91</v>
      </c>
      <c r="CR8" t="n">
        <v>4</v>
      </c>
      <c r="CS8" t="n">
        <v>5</v>
      </c>
      <c r="CW8"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8" t="inlineStr">
        <is>
          <t>Excluded Rarity World Tour Silver Stars Overall Max. 90 Position RM, RW Max PS 10 Max PS+ 2 Details Submit by in 4 days Expiry in 11 days Coins Cost 100,000 Points Cost 500</t>
        </is>
      </c>
      <c r="CY8" t="inlineStr">
        <is>
          <t>Excluded Rarity World Tour Silver Stars Overall Max. 90 Position RM, RW Max PS 10 Max PS+ 2 Details Submit by in 4 days Expiry in 11 days Coins Cost 100,000 Points Cost 500</t>
        </is>
      </c>
      <c r="CZ8" t="inlineStr">
        <is>
          <t>Cut In, Say Less 100,000 500</t>
        </is>
      </c>
      <c r="DA8"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4 days in 11 days 64% 36%</t>
        </is>
      </c>
    </row>
    <row r="9">
      <c r="A9" t="inlineStr">
        <is>
          <t>Current</t>
        </is>
      </c>
      <c r="B9" t="inlineStr">
        <is>
          <t>Current Evolutions</t>
        </is>
      </c>
      <c r="C9" t="inlineStr">
        <is>
          <t>Chrome Finishers - EA SPORTS FC 26</t>
        </is>
      </c>
      <c r="D9" t="inlineStr">
        <is>
          <t>https://www.fut.gg/evolutions/1964-chrome-finishers/</t>
        </is>
      </c>
      <c r="G9" t="inlineStr">
        <is>
          <t>74</t>
        </is>
      </c>
      <c r="K9" t="inlineStr">
        <is>
          <t>World Tour Silver Stars</t>
        </is>
      </c>
      <c r="L9" t="inlineStr">
        <is>
          <t>World Tour Silver Stars</t>
        </is>
      </c>
      <c r="S9" t="inlineStr">
        <is>
          <t>10</t>
        </is>
      </c>
      <c r="T9" t="inlineStr">
        <is>
          <t>2</t>
        </is>
      </c>
      <c r="AL9" t="n">
        <v>1</v>
      </c>
      <c r="AM9" t="n">
        <v>85</v>
      </c>
      <c r="AN9" t="n">
        <v>1</v>
      </c>
      <c r="AO9" t="n">
        <v>85</v>
      </c>
      <c r="AR9" t="n">
        <v>3</v>
      </c>
      <c r="AS9" t="n">
        <v>77</v>
      </c>
      <c r="AT9" t="n">
        <v>3</v>
      </c>
      <c r="AU9" t="n">
        <v>75</v>
      </c>
      <c r="AV9" t="n">
        <v>3</v>
      </c>
      <c r="AW9" t="n">
        <v>78</v>
      </c>
      <c r="AX9" t="n">
        <v>4</v>
      </c>
      <c r="AY9" t="n">
        <v>73</v>
      </c>
      <c r="AZ9" t="n">
        <v>2</v>
      </c>
      <c r="BA9" t="n">
        <v>70</v>
      </c>
      <c r="BB9" t="n">
        <v>1</v>
      </c>
      <c r="BC9" t="n">
        <v>76</v>
      </c>
      <c r="BH9" t="n">
        <v>1</v>
      </c>
      <c r="BI9" t="n">
        <v>78</v>
      </c>
      <c r="BJ9" t="n">
        <v>1</v>
      </c>
      <c r="BK9" t="n">
        <v>75</v>
      </c>
      <c r="BL9" t="n">
        <v>1</v>
      </c>
      <c r="BM9" t="n">
        <v>71</v>
      </c>
      <c r="BN9" t="n">
        <v>2</v>
      </c>
      <c r="BO9" t="n">
        <v>74</v>
      </c>
      <c r="BP9" t="n">
        <v>2</v>
      </c>
      <c r="BQ9" t="n">
        <v>73</v>
      </c>
      <c r="BX9" t="n">
        <v>2</v>
      </c>
      <c r="BY9" t="n">
        <v>78</v>
      </c>
      <c r="CL9" t="n">
        <v>2</v>
      </c>
      <c r="CM9" t="n">
        <v>80</v>
      </c>
      <c r="CW9" t="inlineStr">
        <is>
          <t>+2 Volleys 73 +2 Finishing 77 +2 Long Shots 78 +2 Shot Power 75 +1 Short Pass 78 +2 Stamina 80 +1 Curve 71 +2 Penalties 70 +1 Acceleration 85 +1 Vision 76 +2 Balance 73 +1 Long Pass 75 +1 Sprint Speed 85 +2 Composure 78 +2 Agility 74 2 8 Level 1 Kielland 74 CM PAC 70 SHO 71 PAS 70 DRI 71 DEF 69 PHY 69 R 2 ★ 2 Kielland 74 CM PAC 70 SHO 72 PAS 70 DRI 71 DEF 69 PHY 69 R 2 ★ 2 UPGRADES +2 Volleys 73 +1 Finishing 77 +1 Long Shots 78 +1 Shot Power 75 2 8</t>
        </is>
      </c>
      <c r="CX9" t="inlineStr">
        <is>
          <t>Excluded Rarity World Tour Silver Stars Overall Max. 74 Max PS 10 Max PS+ 2 Details Submit by in 3 days Expiry in 10 days Coins Cost Free Points Cost Free</t>
        </is>
      </c>
      <c r="CY9" t="inlineStr">
        <is>
          <t>Excluded Rarity World Tour Silver Stars Overall Max. 74 Max PS 10 Max PS+ 2 Details Submit by in 3 days Expiry in 10 days Coins Cost Free Points Cost Free</t>
        </is>
      </c>
      <c r="CZ9" t="inlineStr">
        <is>
          <t>Chrome Finishers 3</t>
        </is>
      </c>
      <c r="DA9" t="inlineStr">
        <is>
          <t>Chrome Finishers 3 Sleek, polished, and built to shine under pressure. Clean strikes, smooth movement, and just enough flash to make every finish look better than it probably was. Aliseda 72 LM PAC 86 SHO 69 PAS 66 DRI 74 DEF 36 PHY 61 ST LW L 4 ★ 4 LM 71.1 Aliseda 72 LM PAC 86 SHO 70 PAS 67 DRI 74 DEF 36 PHY 61 ST LW L 4 ★ 4 LM 76.7 REQUIREMENTS Excluded Rarity World Tour Silver Stars Overall Max. 74 Max PS 10 Max PS+ 2 UPGRADES +2 Volleys 73 +2 Finishing 77 +2 Long Shots 78 +2 Shot Power 75 +1 Short Pass 78 +2 Stamina 80 +1 Curve 71 +2 Penalties 70 +1 Acceleration 85 +1 Vision 76 +2 Balance 73 +1 Long Pass 75 +1 Sprint Speed 85 +2 Composure 78 +2 Agility 74 2 8 in 3 days in 10 days 6% 94%</t>
        </is>
      </c>
    </row>
    <row r="10">
      <c r="A10" t="inlineStr">
        <is>
          <t>Current</t>
        </is>
      </c>
      <c r="B10" t="inlineStr">
        <is>
          <t>Current Evolutions</t>
        </is>
      </c>
      <c r="C10" t="inlineStr">
        <is>
          <t>Flint &amp; Steel - EA SPORTS FC 26</t>
        </is>
      </c>
      <c r="D10" t="inlineStr">
        <is>
          <t>https://www.fut.gg/evolutions/1963-flint-steel/</t>
        </is>
      </c>
      <c r="G10" t="inlineStr">
        <is>
          <t>88</t>
        </is>
      </c>
      <c r="I10" t="inlineStr">
        <is>
          <t>CB</t>
        </is>
      </c>
      <c r="K10" t="inlineStr">
        <is>
          <t>World Tour Silver Stars</t>
        </is>
      </c>
      <c r="L10" t="inlineStr">
        <is>
          <t>World Tour Silver Stars</t>
        </is>
      </c>
      <c r="M10" t="inlineStr">
        <is>
          <t>89</t>
        </is>
      </c>
      <c r="S10" t="inlineStr">
        <is>
          <t>10</t>
        </is>
      </c>
      <c r="T10" t="inlineStr">
        <is>
          <t>2</t>
        </is>
      </c>
      <c r="X10" t="n">
        <v>30</v>
      </c>
      <c r="Y10" t="n">
        <v>90</v>
      </c>
      <c r="AD10" t="n">
        <v>10</v>
      </c>
      <c r="AE10" t="n">
        <v>83</v>
      </c>
      <c r="AL10" t="n">
        <v>20</v>
      </c>
      <c r="AM10" t="n">
        <v>90</v>
      </c>
      <c r="AN10" t="n">
        <v>10</v>
      </c>
      <c r="AO10" t="n">
        <v>90</v>
      </c>
      <c r="BN10" t="n">
        <v>20</v>
      </c>
      <c r="BO10" t="n">
        <v>88</v>
      </c>
      <c r="BP10" t="n">
        <v>20</v>
      </c>
      <c r="BQ10" t="n">
        <v>90</v>
      </c>
      <c r="BR10" t="n">
        <v>20</v>
      </c>
      <c r="BS10" t="n">
        <v>90</v>
      </c>
      <c r="BX10" t="n">
        <v>20</v>
      </c>
      <c r="BY10" t="n">
        <v>90</v>
      </c>
      <c r="BZ10" t="n">
        <v>15</v>
      </c>
      <c r="CA10" t="n">
        <v>88</v>
      </c>
      <c r="CB10" t="n">
        <v>40</v>
      </c>
      <c r="CC10" t="n">
        <v>95</v>
      </c>
      <c r="CD10" t="n">
        <v>15</v>
      </c>
      <c r="CE10" t="n">
        <v>89</v>
      </c>
      <c r="CF10" t="n">
        <v>15</v>
      </c>
      <c r="CG10" t="n">
        <v>88</v>
      </c>
      <c r="CH10" t="n">
        <v>15</v>
      </c>
      <c r="CI10" t="n">
        <v>88</v>
      </c>
      <c r="CJ10" t="n">
        <v>60</v>
      </c>
      <c r="CK10" t="n">
        <v>95</v>
      </c>
      <c r="CL10" t="n">
        <v>30</v>
      </c>
      <c r="CM10" t="n">
        <v>87</v>
      </c>
      <c r="CN10" t="n">
        <v>50</v>
      </c>
      <c r="CO10" t="n">
        <v>95</v>
      </c>
      <c r="CP10" t="n">
        <v>60</v>
      </c>
      <c r="CQ10" t="n">
        <v>92</v>
      </c>
      <c r="CT10" t="n">
        <v>3</v>
      </c>
      <c r="CU10" t="n">
        <v>4</v>
      </c>
      <c r="CW10" t="inlineStr">
        <is>
          <t>+15 OVR 90 +10 PAS 83 +3 WF 4 +40 Jumping 95 +40 Aggression 92 +10 Acceleration 90 +15 Defensive Awareness 89 +40 Heading Acc. 95 +15 Standing Tackle 88 +20 Agility 88 +20 Balance 90 +20 Composure 90 +20 Reactions 90 +50 Strength 95 +10 Sprint Speed 90 +30 Stamina 87 +15 Sliding Tackle 88 +15 Interceptions 88 2 8 Level 1 Bella-Kotchap 89 CB PAC 88 SHO 42 PAS 76 DRI 79 DEF 89 PHY 92 R 3 ★ 4 Bella-Kotchap 90 CB PAC 91 SHO 42 PAS 76 DRI 79 DEF 89 PHY 92 R 3 ★ 4 UPGRADES +15 OVR 90 +20 Jumping 95 +20 Aggression 92 +10 Acceleration 90 2 8</t>
        </is>
      </c>
      <c r="CX10" t="inlineStr">
        <is>
          <t>Excluded Rarity World Tour Silver Stars Overall Max. 88 Position CB Max PS 10 Max PS+ 2 Pace Max. 89 Details Submit by in 2 days Expiry in 9 days Coins Cost Free Points Cost Free</t>
        </is>
      </c>
      <c r="CY10" t="inlineStr">
        <is>
          <t>Excluded Rarity World Tour Silver Stars Overall Max. 88 Position CB Max PS 10 Max PS+ 2 Pace Max. 89 Details Submit by in 2 days Expiry in 9 days Coins Cost Free Points Cost Free</t>
        </is>
      </c>
      <c r="CZ10" t="inlineStr">
        <is>
          <t>Flint &amp; Steel</t>
        </is>
      </c>
      <c r="DA10" t="inlineStr">
        <is>
          <t>Flint &amp; Steel Forged in fire, built to dominate. A relentless force in every duel and a constant danger in the box. Burn 86 CB PAC 82 SHO 65 PAS 74 DRI 76 DEF 86 PHY 88 L 2 ★ 3 CB 81.1 Burn 90 CB PAC 88 SHO 65 PAS 83 DRI 80 DEF 89 PHY 92 L 2 ★ 4 CB 92.2 REQUIREMENTS Excluded Rarity World Tour Silver Stars Overall Max. 88 Position CB Max PS 10 Max PS+ 2 Pace Max. 89 UPGRADES +15 OVR 90 +10 PAS 83 +3 WF 4 +40 Jumping 95 +40 Aggression 92 +10 Acceleration 90 +15 Defensive Awareness 89 +40 Heading Acc. 95 +15 Standing Tackle 88 +20 Agility 88 +20 Balance 90 +20 Composure 90 +20 Reactions 90 +50 Strength 95 +10 Sprint Speed 90 +30 Stamina 87 +15 Sliding Tackle 88 +15 Interceptions 88 2 8 Show less in 2 days in 9 days 18% 82%</t>
        </is>
      </c>
    </row>
    <row r="11">
      <c r="A11" t="inlineStr">
        <is>
          <t>Current</t>
        </is>
      </c>
      <c r="B11" t="inlineStr">
        <is>
          <t>Current Evolutions</t>
        </is>
      </c>
      <c r="C11" t="inlineStr">
        <is>
          <t>Rapid Gains - EA SPORTS FC 26</t>
        </is>
      </c>
      <c r="D11" t="inlineStr">
        <is>
          <t>https://www.fut.gg/evolutions/1962-rapid-gains/</t>
        </is>
      </c>
      <c r="G11" t="inlineStr">
        <is>
          <t>88</t>
        </is>
      </c>
      <c r="K11" t="inlineStr">
        <is>
          <t>World Tour Silver Stars</t>
        </is>
      </c>
      <c r="L11" t="inlineStr">
        <is>
          <t>World Tour Silver Stars</t>
        </is>
      </c>
      <c r="S11" t="inlineStr">
        <is>
          <t>10</t>
        </is>
      </c>
      <c r="BN11" t="n">
        <v>20</v>
      </c>
      <c r="BO11" t="n">
        <v>90</v>
      </c>
      <c r="CN11" t="n">
        <v>20</v>
      </c>
      <c r="CO11" t="n">
        <v>95</v>
      </c>
      <c r="CW11" t="inlineStr">
        <is>
          <t>+10 Agility 90 +10 Strength 95 8 Level 1 Rodman 88 ST PAC 91 SHO 88 PAS 81 DRI 86 DEF 70 PHY 86 RM RW R 4 ★ 5 Rodman 88 ST PAC 91 SHO 88 PAS 81 DRI 86 DEF 70 PHY 91 RM RW R 4 ★ 5 UPGRADES +10 Agility 90 +10 Strength 95 8</t>
        </is>
      </c>
      <c r="CX11" t="inlineStr">
        <is>
          <t>Excluded Rarity World Tour Silver Stars Overall Max. 88 Max PS 10 Details Submit by in 15 hours Expiry in 8 days Coins Cost Free Points Cost Free</t>
        </is>
      </c>
      <c r="CY11" t="inlineStr">
        <is>
          <t>Excluded Rarity World Tour Silver Stars Overall Max. 88 Max PS 10 Details Submit by in 15 hours Expiry in 8 days Coins Cost Free Points Cost Free</t>
        </is>
      </c>
      <c r="CZ11" t="inlineStr">
        <is>
          <t>Rapid Gains 3</t>
        </is>
      </c>
      <c r="DA11" t="inlineStr">
        <is>
          <t>Rapid Gains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15 hours in 8 days 71% 29%</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77% of GG users upvoted this Evolution. Vote Now! 77% 23%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6">
      <c r="A16" t="inlineStr">
        <is>
          <t>Reward</t>
        </is>
      </c>
      <c r="B16" t="inlineStr">
        <is>
          <t>Objective</t>
        </is>
      </c>
      <c r="C16" t="inlineStr">
        <is>
          <t>Jockey+ &amp; Bruiser+ - EA SPORTS FC 26</t>
        </is>
      </c>
      <c r="D16" t="inlineStr">
        <is>
          <t>https://www.fut.gg/evolutions/1986-jockey-bruiser/</t>
        </is>
      </c>
      <c r="G16" t="inlineStr">
        <is>
          <t>89</t>
        </is>
      </c>
      <c r="K16" t="inlineStr">
        <is>
          <t>World Tour Silver Stars</t>
        </is>
      </c>
      <c r="L16" t="inlineStr">
        <is>
          <t>World Tour Silver Stars</t>
        </is>
      </c>
      <c r="T16" t="inlineStr">
        <is>
          <t>1</t>
        </is>
      </c>
      <c r="CW16" t="inlineStr">
        <is>
          <t>2 Level 1 Eto'o 89 ST PAC 92 SHO 90 PAS 79 DRI 87 DEF 45 PHY 80 R 4 ★ 4 Eto'o 89 ST PAC 92 SHO 90 PAS 79 DRI 87 DEF 45 PHY 80 R 4 ★ 4 UPGRADES 2</t>
        </is>
      </c>
      <c r="CX16" t="inlineStr">
        <is>
          <t>Excluded Rarity World Tour Silver Stars Overall Max. 89 Max PS+ 1 Details Submit by in 1 month Expiry in 1 month Coins Cost Free Points Cost Free</t>
        </is>
      </c>
      <c r="CY16" t="inlineStr">
        <is>
          <t>Excluded Rarity World Tour Silver Stars Overall Max. 89 Max PS+ 1 Details Submit by in 1 month Expiry in 1 month Coins Cost Free Points Cost Free</t>
        </is>
      </c>
      <c r="CZ16" t="inlineStr">
        <is>
          <t>Jockey+ &amp; Bruiser+ NEW</t>
        </is>
      </c>
      <c r="DA16" t="inlineStr">
        <is>
          <t>Jockey+ &amp; Bruiser+ NEW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 month in 1 month 11% 89%</t>
        </is>
      </c>
    </row>
    <row r="17">
      <c r="A17" t="inlineStr">
        <is>
          <t>Reward</t>
        </is>
      </c>
      <c r="B17" t="inlineStr">
        <is>
          <t>Objective</t>
        </is>
      </c>
      <c r="C17" t="inlineStr">
        <is>
          <t>Versatile Defender - EA SPORTS FC 26</t>
        </is>
      </c>
      <c r="D17" t="inlineStr">
        <is>
          <t>https://www.fut.gg/evolutions/1983-versatile-defender/</t>
        </is>
      </c>
      <c r="G17" t="inlineStr">
        <is>
          <t>89</t>
        </is>
      </c>
      <c r="I17" t="inlineStr">
        <is>
          <t>CB, LB, RB</t>
        </is>
      </c>
      <c r="K17" t="inlineStr">
        <is>
          <t>World Tour Silver Stars Min Pos. 2</t>
        </is>
      </c>
      <c r="L17" t="inlineStr">
        <is>
          <t>World Tour Silver Stars Min Pos. 2</t>
        </is>
      </c>
      <c r="S17" t="inlineStr">
        <is>
          <t>10</t>
        </is>
      </c>
      <c r="T17" t="inlineStr">
        <is>
          <t>2</t>
        </is>
      </c>
      <c r="X17" t="n">
        <v>8</v>
      </c>
      <c r="Y17" t="n">
        <v>90</v>
      </c>
      <c r="AL17" t="n">
        <v>12</v>
      </c>
      <c r="AM17" t="n">
        <v>90</v>
      </c>
      <c r="AN17" t="n">
        <v>12</v>
      </c>
      <c r="AO17" t="n">
        <v>90</v>
      </c>
      <c r="AV17" t="n">
        <v>6</v>
      </c>
      <c r="AW17" t="n">
        <v>86</v>
      </c>
      <c r="BB17" t="n">
        <v>8</v>
      </c>
      <c r="BC17" t="n">
        <v>88</v>
      </c>
      <c r="BD17" t="n">
        <v>6</v>
      </c>
      <c r="BE17" t="n">
        <v>88</v>
      </c>
      <c r="BH17" t="n">
        <v>8</v>
      </c>
      <c r="BI17" t="n">
        <v>90</v>
      </c>
      <c r="BN17" t="n">
        <v>12</v>
      </c>
      <c r="BO17" t="n">
        <v>86</v>
      </c>
      <c r="BP17" t="n">
        <v>16</v>
      </c>
      <c r="BQ17" t="n">
        <v>90</v>
      </c>
      <c r="BR17" t="n">
        <v>6</v>
      </c>
      <c r="BS17" t="n">
        <v>88</v>
      </c>
      <c r="BX17" t="n">
        <v>8</v>
      </c>
      <c r="BY17" t="n">
        <v>90</v>
      </c>
      <c r="BZ17" t="n">
        <v>8</v>
      </c>
      <c r="CA17" t="n">
        <v>92</v>
      </c>
      <c r="CB17" t="n">
        <v>5</v>
      </c>
      <c r="CC17" t="n">
        <v>88</v>
      </c>
      <c r="CD17" t="n">
        <v>8</v>
      </c>
      <c r="CE17" t="n">
        <v>91</v>
      </c>
      <c r="CH17" t="n">
        <v>6</v>
      </c>
      <c r="CI17" t="n">
        <v>90</v>
      </c>
      <c r="CJ17" t="n">
        <v>5</v>
      </c>
      <c r="CK17" t="n">
        <v>89</v>
      </c>
      <c r="CL17" t="n">
        <v>5</v>
      </c>
      <c r="CM17" t="n">
        <v>89</v>
      </c>
      <c r="CN17" t="n">
        <v>8</v>
      </c>
      <c r="CO17" t="n">
        <v>90</v>
      </c>
      <c r="CP17" t="n">
        <v>8</v>
      </c>
      <c r="CQ17" t="n">
        <v>90</v>
      </c>
      <c r="CT17" t="n">
        <v>4</v>
      </c>
      <c r="CW17"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17" t="inlineStr">
        <is>
          <t>Excluded Rarity World Tour Silver Stars Min Pos. 2 Overall Max. 89 Position CB, LB, RB Max PS 10 Max PS+ 2 Details Submit by in 8 days Expiry in 8 days Coins Cost Free Points Cost Free</t>
        </is>
      </c>
      <c r="CY17" t="inlineStr">
        <is>
          <t>Excluded Rarity World Tour Silver Stars Min Pos. 2 Overall Max. 89 Position CB, LB, RB Max PS 10 Max PS+ 2 Details Submit by in 8 days Expiry in 8 days Coins Cost Free Points Cost Free</t>
        </is>
      </c>
      <c r="CZ17" t="inlineStr">
        <is>
          <t>Versatile Defender</t>
        </is>
      </c>
      <c r="DA17"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8 days in 8 days 82% 18%</t>
        </is>
      </c>
    </row>
    <row r="18">
      <c r="A18" t="inlineStr">
        <is>
          <t>Reward</t>
        </is>
      </c>
      <c r="B18" t="inlineStr">
        <is>
          <t>Objective</t>
        </is>
      </c>
      <c r="C18" t="inlineStr">
        <is>
          <t>Technical+ and Finesse Shot - EA SPORTS FC 26</t>
        </is>
      </c>
      <c r="D18" t="inlineStr">
        <is>
          <t>https://www.fut.gg/evolutions/1982-technical-and-finesse-shot/</t>
        </is>
      </c>
      <c r="G18" t="inlineStr">
        <is>
          <t>89</t>
        </is>
      </c>
      <c r="K18" t="inlineStr">
        <is>
          <t>World Tour Silver Stars</t>
        </is>
      </c>
      <c r="L18" t="inlineStr">
        <is>
          <t>World Tour Silver Stars</t>
        </is>
      </c>
      <c r="S18" t="inlineStr">
        <is>
          <t>10</t>
        </is>
      </c>
      <c r="T18" t="inlineStr">
        <is>
          <t>2</t>
        </is>
      </c>
      <c r="CW18" t="inlineStr">
        <is>
          <t>3 7 Level 1 James 89 ST PAC 91 SHO 86 PAS 82 DRI 91 DEF 44 PHY 86 CAM R 4 ★ 5 James 89 ST PAC 91 SHO 86 PAS 82 DRI 91 DEF 44 PHY 86 CAM R 4 ★ 5 UPGRADES 3 7</t>
        </is>
      </c>
      <c r="CX18" t="inlineStr">
        <is>
          <t>Excluded Rarity World Tour Silver Stars Overall Max. 89 Max PS 10 Max PS+ 2 Details Submit by in 8 days Expiry in 8 days Coins Cost Free Points Cost Free</t>
        </is>
      </c>
      <c r="CY18" t="inlineStr">
        <is>
          <t>Excluded Rarity World Tour Silver Stars Overall Max. 89 Max PS 10 Max PS+ 2 Details Submit by in 8 days Expiry in 8 days Coins Cost Free Points Cost Free</t>
        </is>
      </c>
      <c r="CZ18" t="inlineStr">
        <is>
          <t>Technical+ and Finesse Shot</t>
        </is>
      </c>
      <c r="DA18"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8 days in 8 days 66% 34%</t>
        </is>
      </c>
    </row>
    <row r="19">
      <c r="A19" t="inlineStr">
        <is>
          <t>Reward</t>
        </is>
      </c>
      <c r="B19" t="inlineStr">
        <is>
          <t>Objective</t>
        </is>
      </c>
      <c r="C19" t="inlineStr">
        <is>
          <t>Anticipate+ and Intercept - EA SPORTS FC 26</t>
        </is>
      </c>
      <c r="D19" t="inlineStr">
        <is>
          <t>https://www.fut.gg/evolutions/1981-anticipate-and-intercept/</t>
        </is>
      </c>
      <c r="G19" t="inlineStr">
        <is>
          <t>89</t>
        </is>
      </c>
      <c r="K19" t="inlineStr">
        <is>
          <t>World Tour Silver Stars</t>
        </is>
      </c>
      <c r="L19" t="inlineStr">
        <is>
          <t>World Tour Silver Stars</t>
        </is>
      </c>
      <c r="S19" t="inlineStr">
        <is>
          <t>10</t>
        </is>
      </c>
      <c r="T19" t="inlineStr">
        <is>
          <t>2</t>
        </is>
      </c>
      <c r="CW19" t="inlineStr">
        <is>
          <t>2 8 Level 1 Matsukubo 89 CAM PAC 88 SHO 90 PAS 89 DRI 91 DEF 70 PHY 78 CM ST R 3 ★ 4 Matsukubo 89 CAM PAC 88 SHO 90 PAS 89 DRI 91 DEF 70 PHY 78 CM ST R 3 ★ 4 UPGRADES 2 8</t>
        </is>
      </c>
      <c r="CX19" t="inlineStr">
        <is>
          <t>Excluded Rarity World Tour Silver Stars Overall Max. 89 Max PS 10 Max PS+ 2 Details Submit by in 8 days Expiry in 8 days Coins Cost Free Points Cost Free</t>
        </is>
      </c>
      <c r="CY19" t="inlineStr">
        <is>
          <t>Excluded Rarity World Tour Silver Stars Overall Max. 89 Max PS 10 Max PS+ 2 Details Submit by in 8 days Expiry in 8 days Coins Cost Free Points Cost Free</t>
        </is>
      </c>
      <c r="CZ19" t="inlineStr">
        <is>
          <t>Anticipate+ and Intercept</t>
        </is>
      </c>
      <c r="DA19"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8 days in 8 days 32% 68%</t>
        </is>
      </c>
    </row>
    <row r="20">
      <c r="A20" t="inlineStr">
        <is>
          <t>Reward</t>
        </is>
      </c>
      <c r="B20" t="inlineStr">
        <is>
          <t>SBC</t>
        </is>
      </c>
      <c r="C20" t="inlineStr">
        <is>
          <t>Tiki Taka+ - EA SPORTS FC 26</t>
        </is>
      </c>
      <c r="D20" t="inlineStr">
        <is>
          <t>https://www.fut.gg/evolutions/1979-tiki-taka/</t>
        </is>
      </c>
      <c r="G20" t="inlineStr">
        <is>
          <t>89</t>
        </is>
      </c>
      <c r="K20" t="inlineStr">
        <is>
          <t>World Tour Silver Stars</t>
        </is>
      </c>
      <c r="L20" t="inlineStr">
        <is>
          <t>World Tour Silver Stars</t>
        </is>
      </c>
      <c r="T20" t="inlineStr">
        <is>
          <t>2</t>
        </is>
      </c>
      <c r="CW20" t="inlineStr">
        <is>
          <t>3 Level 1 Kerolin Nicoli 89 RM PAC 91 SHO 86 PAS 85 DRI 90 DEF 52 PHY 86 RW ST R 5 ★ 5 Kerolin Nicoli 89 RM PAC 91 SHO 86 PAS 85 DRI 90 DEF 52 PHY 86 RW ST R 5 ★ 5 UPGRADES 3</t>
        </is>
      </c>
      <c r="CX20" t="inlineStr">
        <is>
          <t>Excluded Rarity World Tour Silver Stars Overall Max. 89 Max PS+ 2 Details Submit by in 13 days Expiry in 13 days Coins Cost Free Points Cost Free</t>
        </is>
      </c>
      <c r="CY20" t="inlineStr">
        <is>
          <t>Excluded Rarity World Tour Silver Stars Overall Max. 89 Max PS+ 2 Details Submit by in 13 days Expiry in 13 days Coins Cost Free Points Cost Free</t>
        </is>
      </c>
      <c r="CZ20" t="inlineStr">
        <is>
          <t>Tiki Taka+</t>
        </is>
      </c>
      <c r="DA20"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13 days in 13 days 84% 16%</t>
        </is>
      </c>
    </row>
    <row r="21">
      <c r="A21" t="inlineStr">
        <is>
          <t>Reward</t>
        </is>
      </c>
      <c r="B21" t="inlineStr">
        <is>
          <t>Objective</t>
        </is>
      </c>
      <c r="C21" t="inlineStr">
        <is>
          <t>Far Reach - EA SPORTS FC 26</t>
        </is>
      </c>
      <c r="D21" t="inlineStr">
        <is>
          <t>https://www.fut.gg/evolutions/1977-far-reach/</t>
        </is>
      </c>
      <c r="G21" t="inlineStr">
        <is>
          <t>89</t>
        </is>
      </c>
      <c r="I21" t="inlineStr">
        <is>
          <t>GK</t>
        </is>
      </c>
      <c r="K21" t="inlineStr">
        <is>
          <t>World Tour Silver Stars</t>
        </is>
      </c>
      <c r="L21" t="inlineStr">
        <is>
          <t>World Tour Silver Stars</t>
        </is>
      </c>
      <c r="S21" t="inlineStr">
        <is>
          <t>7</t>
        </is>
      </c>
      <c r="CW21" t="inlineStr">
        <is>
          <t>8 Level 1 De Gea 89 GK DIV 89 HAN 82 KIC 76 REF 91 SPD 51 POS 88 R 2 ★ 4 De Gea 89 GK DIV 89 HAN 82 KIC 76 REF 91 SPD 51 POS 88 R 2 ★ 4 UPGRADES 8</t>
        </is>
      </c>
      <c r="CX21" t="inlineStr">
        <is>
          <t>Excluded Rarity World Tour Silver Stars Overall Max. 89 Position GK Max PS 7 Details Submit by in 2 days Expiry in 2 days Coins Cost Free Points Cost Free</t>
        </is>
      </c>
      <c r="CY21" t="inlineStr">
        <is>
          <t>Excluded Rarity World Tour Silver Stars Overall Max. 89 Position GK Max PS 7 Details Submit by in 2 days Expiry in 2 days Coins Cost Free Points Cost Free</t>
        </is>
      </c>
      <c r="CZ21" t="inlineStr">
        <is>
          <t>Far Reach</t>
        </is>
      </c>
      <c r="DA21" t="inlineStr">
        <is>
          <t>Far Reach Unlocked by completing the Score 5 task in the Double TOTS Bundesliga Flash Rush objective Hrádecký 85 GK DIV 86 HAN 84 KIC 70 REF 86 SPD 45 POS 84 R 1 ★ 3 GK 81.8 Hrádecký 85 GK DIV 86 HAN 84 KIC 70 REF 86 SPD 45 POS 84 R 1 ★ 3 GK 83.8 REQUIREMENTS Excluded Rarity World Tour Silver Stars Overall Max. 89 Position GK Max PS 7 UPGRADES 8 in 2 days in 2 days 13% 87%</t>
        </is>
      </c>
    </row>
    <row r="22">
      <c r="A22" t="inlineStr">
        <is>
          <t>Reward</t>
        </is>
      </c>
      <c r="B22" t="inlineStr">
        <is>
          <t>Objective</t>
        </is>
      </c>
      <c r="C22" t="inlineStr">
        <is>
          <t>Turbo Strength - EA SPORTS FC 26</t>
        </is>
      </c>
      <c r="D22" t="inlineStr">
        <is>
          <t>https://www.fut.gg/evolutions/1975-turbo-strength/</t>
        </is>
      </c>
      <c r="G22" t="inlineStr">
        <is>
          <t>89</t>
        </is>
      </c>
      <c r="K22" t="inlineStr">
        <is>
          <t>World Tour Silver Stars</t>
        </is>
      </c>
      <c r="L22" t="inlineStr">
        <is>
          <t>World Tour Silver Stars</t>
        </is>
      </c>
      <c r="X22" t="n">
        <v>2</v>
      </c>
      <c r="Z22" t="n">
        <v>8</v>
      </c>
      <c r="AA22" t="n">
        <v>91</v>
      </c>
      <c r="AJ22" t="n">
        <v>6</v>
      </c>
      <c r="AK22" t="n">
        <v>92</v>
      </c>
      <c r="CW22" t="inlineStr">
        <is>
          <t>+1 OVR +4 PAC 91 +3 PHY 92 Level 1 Bahoya 89 LM PAC 98 SHO 84 PAS 86 DRI 89 DEF 63 PHY 75 CAM ST LW R 5 ★ 5 Bahoya 90 LM PAC 98 SHO 84 PAS 86 DRI 89 DEF 63 PHY 78 CAM ST LW R 5 ★ 5 UPGRADES +1 OVR +4 PAC 91 +3 PHY 92</t>
        </is>
      </c>
      <c r="CX22" t="inlineStr">
        <is>
          <t>Excluded Rarity World Tour Silver Stars Overall Max. 89 Details Submit by in 5 days Expiry in 5 days Coins Cost Free Points Cost Free</t>
        </is>
      </c>
      <c r="CY22" t="inlineStr">
        <is>
          <t>Excluded Rarity World Tour Silver Stars Overall Max. 89 Details Submit by in 5 days Expiry in 5 days Coins Cost Free Points Cost Free</t>
        </is>
      </c>
      <c r="CZ22" t="inlineStr">
        <is>
          <t>Turbo Strength</t>
        </is>
      </c>
      <c r="DA22"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5 days in 5 days 87% 13%</t>
        </is>
      </c>
    </row>
    <row r="23">
      <c r="A23" t="inlineStr">
        <is>
          <t>Reward</t>
        </is>
      </c>
      <c r="B23" t="inlineStr">
        <is>
          <t>Objective</t>
        </is>
      </c>
      <c r="C23" t="inlineStr">
        <is>
          <t>Pass IQ - EA SPORTS FC 26</t>
        </is>
      </c>
      <c r="D23" t="inlineStr">
        <is>
          <t>https://www.fut.gg/evolutions/1974-pass-iq/</t>
        </is>
      </c>
      <c r="G23" t="inlineStr">
        <is>
          <t>89</t>
        </is>
      </c>
      <c r="K23" t="inlineStr">
        <is>
          <t>World Tour Silver Stars</t>
        </is>
      </c>
      <c r="L23" t="inlineStr">
        <is>
          <t>World Tour Silver Stars</t>
        </is>
      </c>
      <c r="BB23" t="n">
        <v>6</v>
      </c>
      <c r="BC23" t="n">
        <v>93</v>
      </c>
      <c r="BH23" t="n">
        <v>6</v>
      </c>
      <c r="BI23" t="n">
        <v>93</v>
      </c>
      <c r="CW23" t="inlineStr">
        <is>
          <t>+3 Vision 93 +3 Short Pass 93 Level 1 Bahoya 89 LM PAC 98 SHO 84 PAS 86 DRI 89 DEF 63 PHY 75 CAM ST LW R 5 ★ 5 Bahoya 89 LM PAC 98 SHO 84 PAS 87 DRI 89 DEF 63 PHY 75 CAM ST LW R 5 ★ 5 UPGRADES +3 Vision 93 +3 Short Pass 93</t>
        </is>
      </c>
      <c r="CX23" t="inlineStr">
        <is>
          <t>Excluded Rarity World Tour Silver Stars Overall Max. 89 Details Submit by in 5 days Expiry in 5 days Coins Cost Free Points Cost Free</t>
        </is>
      </c>
      <c r="CY23" t="inlineStr">
        <is>
          <t>Excluded Rarity World Tour Silver Stars Overall Max. 89 Details Submit by in 5 days Expiry in 5 days Coins Cost Free Points Cost Free</t>
        </is>
      </c>
      <c r="CZ23" t="inlineStr">
        <is>
          <t>Pass IQ 5</t>
        </is>
      </c>
      <c r="DA23"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5 days in 5 days 87% 13%</t>
        </is>
      </c>
    </row>
    <row r="24">
      <c r="A24" t="inlineStr">
        <is>
          <t>Reward</t>
        </is>
      </c>
      <c r="B24" t="inlineStr">
        <is>
          <t>Objective</t>
        </is>
      </c>
      <c r="C24" t="inlineStr">
        <is>
          <t>From Distance - EA SPORTS FC 26</t>
        </is>
      </c>
      <c r="D24" t="inlineStr">
        <is>
          <t>https://www.fut.gg/evolutions/1973-from-distance/</t>
        </is>
      </c>
      <c r="G24" t="inlineStr">
        <is>
          <t>89</t>
        </is>
      </c>
      <c r="K24" t="inlineStr">
        <is>
          <t>World Tour Silver Stars</t>
        </is>
      </c>
      <c r="L24" t="inlineStr">
        <is>
          <t>World Tour Silver Stars</t>
        </is>
      </c>
      <c r="S24" t="inlineStr">
        <is>
          <t>10</t>
        </is>
      </c>
      <c r="AT24" t="n">
        <v>16</v>
      </c>
      <c r="AU24" t="n">
        <v>93</v>
      </c>
      <c r="AV24" t="n">
        <v>16</v>
      </c>
      <c r="AW24" t="n">
        <v>93</v>
      </c>
      <c r="CW24"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4" t="inlineStr">
        <is>
          <t>Excluded Rarity World Tour Silver Stars Overall Max. 89 Max PS 10 Details Submit by in 5 days Expiry in 5 days Coins Cost Free Points Cost Free</t>
        </is>
      </c>
      <c r="CY24" t="inlineStr">
        <is>
          <t>Excluded Rarity World Tour Silver Stars Overall Max. 89 Max PS 10 Details Submit by in 5 days Expiry in 5 days Coins Cost Free Points Cost Free</t>
        </is>
      </c>
      <c r="CZ24" t="inlineStr">
        <is>
          <t>From Distance</t>
        </is>
      </c>
      <c r="DA24"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5 days in 5 days 85% 15%</t>
        </is>
      </c>
    </row>
    <row r="25">
      <c r="A25" t="inlineStr">
        <is>
          <t>Reward</t>
        </is>
      </c>
      <c r="B25" t="inlineStr">
        <is>
          <t>Objective</t>
        </is>
      </c>
      <c r="C25" t="inlineStr">
        <is>
          <t>Intercept &amp; Aerial Fortress - EA SPORTS FC 26</t>
        </is>
      </c>
      <c r="D25" t="inlineStr">
        <is>
          <t>https://www.fut.gg/evolutions/1972-intercept-aerial-fortress/</t>
        </is>
      </c>
      <c r="G25" t="inlineStr">
        <is>
          <t>89</t>
        </is>
      </c>
      <c r="K25" t="inlineStr">
        <is>
          <t>World Tour Silver Stars</t>
        </is>
      </c>
      <c r="L25" t="inlineStr">
        <is>
          <t>World Tour Silver Stars</t>
        </is>
      </c>
      <c r="S25" t="inlineStr">
        <is>
          <t>7</t>
        </is>
      </c>
      <c r="CW25" t="inlineStr">
        <is>
          <t>8 Level 1 Bahoya 89 LM PAC 98 SHO 84 PAS 86 DRI 89 DEF 63 PHY 75 CAM ST LW R 5 ★ 5 Bahoya 89 LM PAC 98 SHO 84 PAS 86 DRI 89 DEF 63 PHY 75 CAM ST LW R 5 ★ 5 UPGRADES 8</t>
        </is>
      </c>
      <c r="CX25" t="inlineStr">
        <is>
          <t>Excluded Rarity World Tour Silver Stars Overall Max. 89 Max PS 7 Details Submit by in 5 days Expiry in 5 days Coins Cost Free Points Cost Free</t>
        </is>
      </c>
      <c r="CY25" t="inlineStr">
        <is>
          <t>Excluded Rarity World Tour Silver Stars Overall Max. 89 Max PS 7 Details Submit by in 5 days Expiry in 5 days Coins Cost Free Points Cost Free</t>
        </is>
      </c>
      <c r="CZ25" t="inlineStr">
        <is>
          <t>Intercept &amp; Aerial Fortress</t>
        </is>
      </c>
      <c r="DA25"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5 days in 5 days 32% 68%</t>
        </is>
      </c>
    </row>
    <row r="26">
      <c r="A26" t="inlineStr">
        <is>
          <t>Reward</t>
        </is>
      </c>
      <c r="B26" t="inlineStr">
        <is>
          <t>Objective</t>
        </is>
      </c>
      <c r="C26" t="inlineStr">
        <is>
          <t>Speed to Finish - EA SPORTS FC 26</t>
        </is>
      </c>
      <c r="D26" t="inlineStr">
        <is>
          <t>https://www.fut.gg/evolutions/1971-speed-to-finish/</t>
        </is>
      </c>
      <c r="G26" t="inlineStr">
        <is>
          <t>89</t>
        </is>
      </c>
      <c r="K26" t="inlineStr">
        <is>
          <t>World Tour Silver Stars</t>
        </is>
      </c>
      <c r="L26" t="inlineStr">
        <is>
          <t>World Tour Silver Stars</t>
        </is>
      </c>
      <c r="S26" t="inlineStr">
        <is>
          <t>7</t>
        </is>
      </c>
      <c r="CW26" t="inlineStr">
        <is>
          <t>8 Level 1 Eto'o 89 ST PAC 92 SHO 90 PAS 79 DRI 87 DEF 45 PHY 80 R 4 ★ 4 Eto'o 89 ST PAC 92 SHO 90 PAS 79 DRI 87 DEF 45 PHY 80 R 4 ★ 4 UPGRADES 8</t>
        </is>
      </c>
      <c r="CX26" t="inlineStr">
        <is>
          <t>Excluded Rarity World Tour Silver Stars Overall Max. 89 Max PS 7 Details Submit by in 11 days Expiry in 11 days Coins Cost Free Points Cost Free</t>
        </is>
      </c>
      <c r="CY26" t="inlineStr">
        <is>
          <t>Excluded Rarity World Tour Silver Stars Overall Max. 89 Max PS 7 Details Submit by in 11 days Expiry in 11 days Coins Cost Free Points Cost Free</t>
        </is>
      </c>
      <c r="CZ26" t="inlineStr">
        <is>
          <t>Speed to Finish</t>
        </is>
      </c>
      <c r="DA26"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11 days in 11 days 62% 38%</t>
        </is>
      </c>
    </row>
    <row r="27">
      <c r="A27" t="inlineStr">
        <is>
          <t>Reward</t>
        </is>
      </c>
      <c r="B27" t="inlineStr">
        <is>
          <t>Objective</t>
        </is>
      </c>
      <c r="C27" t="inlineStr">
        <is>
          <t>Creative Playmaker - EA SPORTS FC 26</t>
        </is>
      </c>
      <c r="D27" t="inlineStr">
        <is>
          <t>https://www.fut.gg/evolutions/1970-creative-playmaker/</t>
        </is>
      </c>
      <c r="G27" t="inlineStr">
        <is>
          <t>89</t>
        </is>
      </c>
      <c r="K27" t="inlineStr">
        <is>
          <t>World Tour Silver Stars</t>
        </is>
      </c>
      <c r="L27" t="inlineStr">
        <is>
          <t>World Tour Silver Stars</t>
        </is>
      </c>
      <c r="S27" t="inlineStr">
        <is>
          <t>7</t>
        </is>
      </c>
      <c r="CW27" t="inlineStr">
        <is>
          <t>8 Level 1 Uzun 89 CAM PAC 88 SHO 90 PAS 88 DRI 92 DEF 40 PHY 83 CM ST R 4 ★ 4 Uzun 89 CAM PAC 88 SHO 90 PAS 88 DRI 92 DEF 40 PHY 83 CM ST R 4 ★ 4 UPGRADES 8</t>
        </is>
      </c>
      <c r="CX27" t="inlineStr">
        <is>
          <t>Excluded Rarity World Tour Silver Stars Overall Max. 89 Max PS 7 Details Submit by in 11 days Expiry in 11 days Coins Cost Free Points Cost Free</t>
        </is>
      </c>
      <c r="CY27" t="inlineStr">
        <is>
          <t>Excluded Rarity World Tour Silver Stars Overall Max. 89 Max PS 7 Details Submit by in 11 days Expiry in 11 days Coins Cost Free Points Cost Free</t>
        </is>
      </c>
      <c r="CZ27" t="inlineStr">
        <is>
          <t>Creative Playmaker</t>
        </is>
      </c>
      <c r="DA27"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11 days in 11 days 33% 67%</t>
        </is>
      </c>
    </row>
    <row r="28">
      <c r="A28" t="inlineStr">
        <is>
          <t>Reward</t>
        </is>
      </c>
      <c r="B28" t="inlineStr">
        <is>
          <t>Objective</t>
        </is>
      </c>
      <c r="C28" t="inlineStr">
        <is>
          <t>Long Ball Pass+ &amp; Pinged Pass - EA SPORTS FC 26</t>
        </is>
      </c>
      <c r="D28" t="inlineStr">
        <is>
          <t>https://www.fut.gg/evolutions/1969-long-ball-pass-pinged-pass/</t>
        </is>
      </c>
      <c r="G28" t="inlineStr">
        <is>
          <t>89</t>
        </is>
      </c>
      <c r="K28" t="inlineStr">
        <is>
          <t>World Tour Silver Stars</t>
        </is>
      </c>
      <c r="L28" t="inlineStr">
        <is>
          <t>World Tour Silver Stars</t>
        </is>
      </c>
      <c r="S28" t="inlineStr">
        <is>
          <t>10</t>
        </is>
      </c>
      <c r="T28" t="inlineStr">
        <is>
          <t>2</t>
        </is>
      </c>
      <c r="CW28" t="inlineStr">
        <is>
          <t>2 8 Level 1 Matsukubo 89 CAM PAC 88 SHO 90 PAS 89 DRI 91 DEF 70 PHY 78 CM ST R 3 ★ 4 Matsukubo 89 CAM PAC 88 SHO 90 PAS 89 DRI 91 DEF 70 PHY 78 CM ST R 3 ★ 4 UPGRADES 2 8</t>
        </is>
      </c>
      <c r="CX28" t="inlineStr">
        <is>
          <t>Excluded Rarity World Tour Silver Stars Overall Max. 89 Max PS 10 Max PS+ 2 Details Submit by in 5 days Expiry in 5 days Coins Cost Free Points Cost Free</t>
        </is>
      </c>
      <c r="CY28" t="inlineStr">
        <is>
          <t>Excluded Rarity World Tour Silver Stars Overall Max. 89 Max PS 10 Max PS+ 2 Details Submit by in 5 days Expiry in 5 days Coins Cost Free Points Cost Free</t>
        </is>
      </c>
      <c r="CZ28" t="inlineStr">
        <is>
          <t>Long Ball Pass+ &amp; Pinged Pass</t>
        </is>
      </c>
      <c r="DA28"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5 days in 5 days 10% 90%</t>
        </is>
      </c>
    </row>
    <row r="29">
      <c r="A29" t="inlineStr">
        <is>
          <t>Reward</t>
        </is>
      </c>
      <c r="B29" t="inlineStr">
        <is>
          <t>Objective</t>
        </is>
      </c>
      <c r="C29" t="inlineStr">
        <is>
          <t>Finesse Shot+ - EA SPORTS FC 26</t>
        </is>
      </c>
      <c r="D29" t="inlineStr">
        <is>
          <t>https://www.fut.gg/evolutions/1968-finesse-shot/</t>
        </is>
      </c>
      <c r="G29" t="inlineStr">
        <is>
          <t>89</t>
        </is>
      </c>
      <c r="K29" t="inlineStr">
        <is>
          <t>World Tour Silver Stars</t>
        </is>
      </c>
      <c r="L29" t="inlineStr">
        <is>
          <t>World Tour Silver Stars</t>
        </is>
      </c>
      <c r="T29" t="inlineStr">
        <is>
          <t>1</t>
        </is>
      </c>
      <c r="CW29" t="inlineStr">
        <is>
          <t>2 Level 1 De Ketelaere 89 CAM PAC 88 SHO 89 PAS 89 DRI 90 DEF 64 PHY 78 CM ST L 5 ★ 5 De Ketelaere 89 CAM PAC 88 SHO 89 PAS 89 DRI 90 DEF 64 PHY 78 CM ST L 5 ★ 5 UPGRADES 2</t>
        </is>
      </c>
      <c r="CX29" t="inlineStr">
        <is>
          <t>Excluded Rarity World Tour Silver Stars Overall Max. 89 Max PS+ 1 Details Submit by in 5 days Expiry in 5 days Coins Cost Free Points Cost Free</t>
        </is>
      </c>
      <c r="CY29" t="inlineStr">
        <is>
          <t>Excluded Rarity World Tour Silver Stars Overall Max. 89 Max PS+ 1 Details Submit by in 5 days Expiry in 5 days Coins Cost Free Points Cost Free</t>
        </is>
      </c>
      <c r="CZ29" t="inlineStr">
        <is>
          <t>Finesse Shot+</t>
        </is>
      </c>
      <c r="DA29"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5 days in 5 days 69% 31%</t>
        </is>
      </c>
    </row>
    <row r="30">
      <c r="A30" t="inlineStr">
        <is>
          <t>Reward</t>
        </is>
      </c>
      <c r="B30" t="inlineStr">
        <is>
          <t>Reward</t>
        </is>
      </c>
      <c r="C30" t="inlineStr">
        <is>
          <t>Welsh Wonder Strike [Store] - EA SPORTS FC 26</t>
        </is>
      </c>
      <c r="D30" t="inlineStr">
        <is>
          <t>https://www.fut.gg/evolutions/1960-welsh-wonder-strike-store/</t>
        </is>
      </c>
      <c r="G30" t="inlineStr">
        <is>
          <t>87</t>
        </is>
      </c>
      <c r="K30" t="inlineStr">
        <is>
          <t>World Tour Silver Stars</t>
        </is>
      </c>
      <c r="L30" t="inlineStr">
        <is>
          <t>World Tour Silver Stars</t>
        </is>
      </c>
      <c r="S30" t="inlineStr">
        <is>
          <t>10</t>
        </is>
      </c>
      <c r="T30" t="inlineStr">
        <is>
          <t>2</t>
        </is>
      </c>
      <c r="X30" t="n">
        <v>30</v>
      </c>
      <c r="Y30" t="n">
        <v>89</v>
      </c>
      <c r="AL30" t="n">
        <v>50</v>
      </c>
      <c r="AM30" t="n">
        <v>90</v>
      </c>
      <c r="AN30" t="n">
        <v>25</v>
      </c>
      <c r="AO30" t="n">
        <v>93</v>
      </c>
      <c r="AP30" t="n">
        <v>20</v>
      </c>
      <c r="AQ30" t="n">
        <v>89</v>
      </c>
      <c r="AR30" t="n">
        <v>20</v>
      </c>
      <c r="AS30" t="n">
        <v>90</v>
      </c>
      <c r="AT30" t="n">
        <v>40</v>
      </c>
      <c r="AU30" t="n">
        <v>90</v>
      </c>
      <c r="AV30" t="n">
        <v>20</v>
      </c>
      <c r="AW30" t="n">
        <v>90</v>
      </c>
      <c r="AX30" t="n">
        <v>20</v>
      </c>
      <c r="AY30" t="n">
        <v>93</v>
      </c>
      <c r="AZ30" t="n">
        <v>20</v>
      </c>
      <c r="BA30" t="n">
        <v>87</v>
      </c>
      <c r="BB30" t="n">
        <v>20</v>
      </c>
      <c r="BC30" t="n">
        <v>87</v>
      </c>
      <c r="BD30" t="n">
        <v>10</v>
      </c>
      <c r="BE30" t="n">
        <v>86</v>
      </c>
      <c r="BH30" t="n">
        <v>15</v>
      </c>
      <c r="BI30" t="n">
        <v>88</v>
      </c>
      <c r="BJ30" t="n">
        <v>10</v>
      </c>
      <c r="BK30" t="n">
        <v>87</v>
      </c>
      <c r="BL30" t="n">
        <v>15</v>
      </c>
      <c r="BM30" t="n">
        <v>89</v>
      </c>
      <c r="BN30" t="n">
        <v>25</v>
      </c>
      <c r="BO30" t="n">
        <v>88</v>
      </c>
      <c r="BP30" t="n">
        <v>25</v>
      </c>
      <c r="BQ30" t="n">
        <v>87</v>
      </c>
      <c r="BR30" t="n">
        <v>25</v>
      </c>
      <c r="BS30" t="n">
        <v>90</v>
      </c>
      <c r="BT30" t="n">
        <v>25</v>
      </c>
      <c r="BU30" t="n">
        <v>89</v>
      </c>
      <c r="BV30" t="n">
        <v>25</v>
      </c>
      <c r="BW30" t="n">
        <v>90</v>
      </c>
      <c r="BX30" t="n">
        <v>50</v>
      </c>
      <c r="BY30" t="n">
        <v>88</v>
      </c>
      <c r="CB30" t="n">
        <v>20</v>
      </c>
      <c r="CC30" t="n">
        <v>87</v>
      </c>
      <c r="CJ30" t="n">
        <v>30</v>
      </c>
      <c r="CK30" t="n">
        <v>92</v>
      </c>
      <c r="CW30"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0" t="inlineStr">
        <is>
          <t>Excluded Rarity World Tour Silver Stars Overall Max. 87 Max PS 10 Max PS+ 2 Details Submit by in 6 days Expiry in 6 days Coins Cost Free Points Cost Free</t>
        </is>
      </c>
      <c r="CY30" t="inlineStr">
        <is>
          <t>Excluded Rarity World Tour Silver Stars Overall Max. 87 Max PS 10 Max PS+ 2 Details Submit by in 6 days Expiry in 6 days Coins Cost Free Points Cost Free</t>
        </is>
      </c>
      <c r="CZ30" t="inlineStr">
        <is>
          <t>Welsh Wonder Strike [Store]</t>
        </is>
      </c>
      <c r="DA30"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6 days in 6 days 18% 82%</t>
        </is>
      </c>
    </row>
    <row r="31">
      <c r="A31" t="inlineStr">
        <is>
          <t>Reward</t>
        </is>
      </c>
      <c r="B31" t="inlineStr">
        <is>
          <t>Reward</t>
        </is>
      </c>
      <c r="C31" t="inlineStr">
        <is>
          <t>Il Capitano [Store] - EA SPORTS FC 26</t>
        </is>
      </c>
      <c r="D31" t="inlineStr">
        <is>
          <t>https://www.fut.gg/evolutions/1961-il-capitano-store/</t>
        </is>
      </c>
      <c r="G31" t="inlineStr">
        <is>
          <t>89</t>
        </is>
      </c>
      <c r="I31" t="inlineStr">
        <is>
          <t>CB</t>
        </is>
      </c>
      <c r="J31" t="inlineStr">
        <is>
          <t>CM</t>
        </is>
      </c>
      <c r="K31" t="inlineStr">
        <is>
          <t>World Tour Silver Stars</t>
        </is>
      </c>
      <c r="L31" t="inlineStr">
        <is>
          <t>World Tour Silver Stars</t>
        </is>
      </c>
      <c r="M31" t="inlineStr">
        <is>
          <t>90</t>
        </is>
      </c>
      <c r="S31" t="inlineStr">
        <is>
          <t>10</t>
        </is>
      </c>
      <c r="T31" t="inlineStr">
        <is>
          <t>2</t>
        </is>
      </c>
      <c r="X31" t="n">
        <v>60</v>
      </c>
      <c r="Y31" t="n">
        <v>91</v>
      </c>
      <c r="AL31" t="n">
        <v>60</v>
      </c>
      <c r="AM31" t="n">
        <v>87</v>
      </c>
      <c r="AN31" t="n">
        <v>30</v>
      </c>
      <c r="AO31" t="n">
        <v>88</v>
      </c>
      <c r="BB31" t="n">
        <v>30</v>
      </c>
      <c r="BC31" t="n">
        <v>70</v>
      </c>
      <c r="BH31" t="n">
        <v>60</v>
      </c>
      <c r="BI31" t="n">
        <v>90</v>
      </c>
      <c r="BJ31" t="n">
        <v>30</v>
      </c>
      <c r="BK31" t="n">
        <v>85</v>
      </c>
      <c r="BN31" t="n">
        <v>30</v>
      </c>
      <c r="BO31" t="n">
        <v>73</v>
      </c>
      <c r="BP31" t="n">
        <v>30</v>
      </c>
      <c r="BQ31" t="n">
        <v>80</v>
      </c>
      <c r="BR31" t="n">
        <v>30</v>
      </c>
      <c r="BS31" t="n">
        <v>95</v>
      </c>
      <c r="BT31" t="n">
        <v>30</v>
      </c>
      <c r="BU31" t="n">
        <v>75</v>
      </c>
      <c r="BV31" t="n">
        <v>30</v>
      </c>
      <c r="BW31" t="n">
        <v>75</v>
      </c>
      <c r="BX31" t="n">
        <v>30</v>
      </c>
      <c r="BY31" t="n">
        <v>91</v>
      </c>
      <c r="BZ31" t="n">
        <v>30</v>
      </c>
      <c r="CA31" t="n">
        <v>93</v>
      </c>
      <c r="CB31" t="n">
        <v>60</v>
      </c>
      <c r="CC31" t="n">
        <v>92</v>
      </c>
      <c r="CD31" t="n">
        <v>60</v>
      </c>
      <c r="CE31" t="n">
        <v>95</v>
      </c>
      <c r="CF31" t="n">
        <v>30</v>
      </c>
      <c r="CG31" t="n">
        <v>92</v>
      </c>
      <c r="CH31" t="n">
        <v>30</v>
      </c>
      <c r="CI31" t="n">
        <v>92</v>
      </c>
      <c r="CJ31" t="n">
        <v>30</v>
      </c>
      <c r="CK31" t="n">
        <v>90</v>
      </c>
      <c r="CL31" t="n">
        <v>30</v>
      </c>
      <c r="CM31" t="n">
        <v>90</v>
      </c>
      <c r="CN31" t="n">
        <v>30</v>
      </c>
      <c r="CO31" t="n">
        <v>92</v>
      </c>
      <c r="CP31" t="n">
        <v>30</v>
      </c>
      <c r="CQ31" t="n">
        <v>85</v>
      </c>
      <c r="CV31" t="inlineStr">
        <is>
          <t>CB Defender ++; CB Stopper ++; CB Wideback ++</t>
        </is>
      </c>
      <c r="CW31"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1" t="inlineStr">
        <is>
          <t>Excluded Rarity World Tour Silver Stars Overall Max. 89 Position CB Excluded Position CM Max PS 10 Max PS+ 2 Pace Max. 90 Details Submit by in 6 days Expiry in 6 days Coins Cost Free Points Cost Free</t>
        </is>
      </c>
      <c r="CY31" t="inlineStr">
        <is>
          <t>Excluded Rarity World Tour Silver Stars Overall Max. 89 Position CB Excluded Position CM Max PS 10 Max PS+ 2 Pace Max. 90 Details Submit by in 6 days Expiry in 6 days Coins Cost Free Points Cost Free</t>
        </is>
      </c>
      <c r="CZ31" t="inlineStr">
        <is>
          <t>Il Capitano [Store]</t>
        </is>
      </c>
      <c r="DA31"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6 days in 6 days 19% 81%</t>
        </is>
      </c>
    </row>
    <row r="32">
      <c r="A32" t="inlineStr">
        <is>
          <t>Reward</t>
        </is>
      </c>
      <c r="B32" t="inlineStr">
        <is>
          <t>Objective</t>
        </is>
      </c>
      <c r="C32" t="inlineStr">
        <is>
          <t>Gamechanger - EA SPORTS FC 26</t>
        </is>
      </c>
      <c r="D32" t="inlineStr">
        <is>
          <t>https://www.fut.gg/evolutions/1959-gamechanger/</t>
        </is>
      </c>
      <c r="G32" t="inlineStr">
        <is>
          <t>89</t>
        </is>
      </c>
      <c r="K32" t="inlineStr">
        <is>
          <t>World Tour Silver Stars</t>
        </is>
      </c>
      <c r="L32" t="inlineStr">
        <is>
          <t>World Tour Silver Stars</t>
        </is>
      </c>
      <c r="S32" t="inlineStr">
        <is>
          <t>7</t>
        </is>
      </c>
      <c r="CW32" t="inlineStr">
        <is>
          <t>8 Level 1 Matsukubo 89 CAM PAC 88 SHO 90 PAS 89 DRI 91 DEF 70 PHY 78 CM ST R 3 ★ 4 Matsukubo 89 CAM PAC 88 SHO 90 PAS 89 DRI 91 DEF 70 PHY 78 CM ST R 3 ★ 4 UPGRADES 8</t>
        </is>
      </c>
      <c r="CX32" t="inlineStr">
        <is>
          <t>Excluded Rarity World Tour Silver Stars Overall Max. 89 Max PS 7 Details Submit by in 16 hours Expiry in 16 hours Coins Cost Free Points Cost Free</t>
        </is>
      </c>
      <c r="CY32" t="inlineStr">
        <is>
          <t>Excluded Rarity World Tour Silver Stars Overall Max. 89 Max PS 7 Details Submit by in 16 hours Expiry in 16 hours Coins Cost Free Points Cost Free</t>
        </is>
      </c>
      <c r="CZ32" t="inlineStr">
        <is>
          <t>Gamechanger</t>
        </is>
      </c>
      <c r="DA32" t="inlineStr">
        <is>
          <t>Gamechanger Unlocked by completing the Score 5 task in the TOTS BWSL Flash Rush objective Coman 87 LM PAC 90 SHO 83 PAS 85 DRI 90 DEF 35 PHY 70 RM LW R 5 ★ 5 LM 86.4 Coman 87 LM PAC 90 SHO 83 PAS 85 DRI 90 DEF 35 PHY 70 RM LW R 5 ★ 5 RM 87.6 REQUIREMENTS Excluded Rarity World Tour Silver Stars Overall Max. 89 Max PS 7 UPGRADES 8 in 16 hours in 16 hours 30% 70%</t>
        </is>
      </c>
    </row>
    <row r="33">
      <c r="A33" t="inlineStr">
        <is>
          <t>Reward</t>
        </is>
      </c>
      <c r="B33" t="inlineStr">
        <is>
          <t>Objective</t>
        </is>
      </c>
      <c r="C33" t="inlineStr">
        <is>
          <t>Intercept - EA SPORTS FC 26</t>
        </is>
      </c>
      <c r="D33" t="inlineStr">
        <is>
          <t>https://www.fut.gg/evolutions/1958-intercept/</t>
        </is>
      </c>
      <c r="G33" t="inlineStr">
        <is>
          <t>89</t>
        </is>
      </c>
      <c r="K33" t="inlineStr">
        <is>
          <t>World Tour Silver Stars</t>
        </is>
      </c>
      <c r="L33" t="inlineStr">
        <is>
          <t>World Tour Silver Stars</t>
        </is>
      </c>
      <c r="S33" t="inlineStr">
        <is>
          <t>7</t>
        </is>
      </c>
      <c r="CW33" t="inlineStr">
        <is>
          <t>8 Level 1 Francisco Conceição 89 RM PAC 93 SHO 86 PAS 87 DRI 91 DEF 45 PHY 70 CAM RW L 4 ★ 3 Francisco Conceição 89 RM PAC 93 SHO 86 PAS 87 DRI 91 DEF 45 PHY 70 CAM RW L 4 ★ 3 UPGRADES 8</t>
        </is>
      </c>
      <c r="CX33" t="inlineStr">
        <is>
          <t>Excluded Rarity World Tour Silver Stars Overall Max. 89 Max PS 7 Details Submit by in 16 hours Expiry in 16 hours Coins Cost Free Points Cost Free</t>
        </is>
      </c>
      <c r="CY33" t="inlineStr">
        <is>
          <t>Excluded Rarity World Tour Silver Stars Overall Max. 89 Max PS 7 Details Submit by in 16 hours Expiry in 16 hours Coins Cost Free Points Cost Free</t>
        </is>
      </c>
      <c r="CZ33" t="inlineStr">
        <is>
          <t>Intercept</t>
        </is>
      </c>
      <c r="DA33" t="inlineStr">
        <is>
          <t>Intercept Unlocked by completing the Win 3 task in the TOTS BWSL Flash Rush objective António Silva 87 CB PAC 89 SHO 46 PAS 75 DRI 78 DEF 87 PHY 89 R 3 ★ 3 CB 86.6 António Silva 87 CB PAC 89 SHO 46 PAS 75 DRI 78 DEF 87 PHY 89 R 3 ★ 3 CB 88.8 REQUIREMENTS Excluded Rarity World Tour Silver Stars Overall Max. 89 Max PS 7 UPGRADES 8 in 16 hours in 16 hours 56% 44%</t>
        </is>
      </c>
    </row>
    <row r="34">
      <c r="A34" t="inlineStr">
        <is>
          <t>Reward</t>
        </is>
      </c>
      <c r="B34" t="inlineStr">
        <is>
          <t>Objective</t>
        </is>
      </c>
      <c r="C34" t="inlineStr">
        <is>
          <t>Defensive Awareness - EA SPORTS FC 26</t>
        </is>
      </c>
      <c r="D34" t="inlineStr">
        <is>
          <t>https://www.fut.gg/evolutions/1957-defensive-awareness/</t>
        </is>
      </c>
      <c r="G34" t="inlineStr">
        <is>
          <t>89</t>
        </is>
      </c>
      <c r="K34" t="inlineStr">
        <is>
          <t>World Tour Silver Stars</t>
        </is>
      </c>
      <c r="L34" t="inlineStr">
        <is>
          <t>World Tour Silver Stars</t>
        </is>
      </c>
      <c r="S34" t="inlineStr">
        <is>
          <t>7</t>
        </is>
      </c>
      <c r="CW34" t="inlineStr">
        <is>
          <t>8 Level 1 Harder 89 CAM PAC 90 SHO 87 PAS 88 DRI 91 DEF 30 PHY 82 RM ST R 5 ★ 5 Harder 89 CAM PAC 90 SHO 87 PAS 88 DRI 91 DEF 30 PHY 82 RM ST R 5 ★ 5 UPGRADES 8</t>
        </is>
      </c>
      <c r="CX34" t="inlineStr">
        <is>
          <t>Excluded Rarity World Tour Silver Stars Overall Max. 89 Max PS 7 Details Submit by in 16 hours Expiry in 16 hours Coins Cost Free Points Cost Free</t>
        </is>
      </c>
      <c r="CY34" t="inlineStr">
        <is>
          <t>Excluded Rarity World Tour Silver Stars Overall Max. 89 Max PS 7 Details Submit by in 16 hours Expiry in 16 hours Coins Cost Free Points Cost Free</t>
        </is>
      </c>
      <c r="CZ34" t="inlineStr">
        <is>
          <t>Defensive Awareness</t>
        </is>
      </c>
      <c r="DA34" t="inlineStr">
        <is>
          <t>Defensive Awareness Unlocked by completing the Win 4 task in the Ultimate Gauntlet 16 objective Nmecha 86 CDM PAC 86 SHO 80 PAS 80 DRI 85 DEF 84 PHY 89 CM R 4 ★ 3 CDM 82.1 Nmecha 86 CDM PAC 86 SHO 80 PAS 80 DRI 85 DEF 84 PHY 89 CM R 4 ★ 3 CDM 87.1 REQUIREMENTS Excluded Rarity World Tour Silver Stars Overall Max. 89 Max PS 7 UPGRADES 8 in 16 hours in 16 hours 26% 74%</t>
        </is>
      </c>
    </row>
    <row r="35">
      <c r="A35" t="inlineStr">
        <is>
          <t>Reward</t>
        </is>
      </c>
      <c r="B35" t="inlineStr">
        <is>
          <t>Objective</t>
        </is>
      </c>
      <c r="C35" t="inlineStr">
        <is>
          <t>In Form - EA SPORTS FC 26</t>
        </is>
      </c>
      <c r="D35" t="inlineStr">
        <is>
          <t>https://www.fut.gg/evolutions/1956-in-form/</t>
        </is>
      </c>
      <c r="G35" t="inlineStr">
        <is>
          <t>89</t>
        </is>
      </c>
      <c r="K35" t="inlineStr">
        <is>
          <t>World Tour Silver Stars</t>
        </is>
      </c>
      <c r="L35" t="inlineStr">
        <is>
          <t>World Tour Silver Stars</t>
        </is>
      </c>
      <c r="X35" t="n">
        <v>4</v>
      </c>
      <c r="Z35" t="n">
        <v>4</v>
      </c>
      <c r="AA35" t="n">
        <v>91</v>
      </c>
      <c r="AB35" t="n">
        <v>4</v>
      </c>
      <c r="AC35" t="n">
        <v>90</v>
      </c>
      <c r="AD35" t="n">
        <v>4</v>
      </c>
      <c r="AE35" t="n">
        <v>91</v>
      </c>
      <c r="AF35" t="n">
        <v>4</v>
      </c>
      <c r="AG35" t="n">
        <v>90</v>
      </c>
      <c r="AH35" t="n">
        <v>4</v>
      </c>
      <c r="AI35" t="n">
        <v>90</v>
      </c>
      <c r="AJ35" t="n">
        <v>4</v>
      </c>
      <c r="AK35" t="n">
        <v>91</v>
      </c>
      <c r="CW35" t="inlineStr">
        <is>
          <t>+2 OVR +2 PAC 91 +2 SHO 90 +2 PAS 91 +2 DRI 90 +2 DEF 90 +2 PHY 91 Level 1 Eto'o 89 ST PAC 92 SHO 90 PAS 79 DRI 87 DEF 45 PHY 80 R 4 ★ 4 Eto'o 91 ST PAC 92 SHO 90 PAS 81 DRI 89 DEF 47 PHY 82 R 4 ★ 4 UPGRADES +2 OVR +2 PAC 91 +2 SHO 90 +2 PAS 91 +2 DRI 90 +2 DEF 90 +2 PHY 91</t>
        </is>
      </c>
      <c r="CX35" t="inlineStr">
        <is>
          <t>Excluded Rarity World Tour Silver Stars Overall Max. 89 Details Submit by in 16 hours Expiry in 16 hours Coins Cost Free Points Cost Free</t>
        </is>
      </c>
      <c r="CY35" t="inlineStr">
        <is>
          <t>Excluded Rarity World Tour Silver Stars Overall Max. 89 Details Submit by in 16 hours Expiry in 16 hours Coins Cost Free Points Cost Free</t>
        </is>
      </c>
      <c r="CZ35" t="inlineStr">
        <is>
          <t>In Form</t>
        </is>
      </c>
      <c r="DA35" t="inlineStr">
        <is>
          <t>In Form Unlocked by completing the Score in 6 task in the Ultimate Gauntlet 16 objective O'Reilly 87 LB PAC 89 SHO 82 PAS 86 DRI 87 DEF 85 PHY 85 CM CAM L 3 ★ 3 LB 87.2 O'Reilly 89 LB PAC 91 SHO 84 PAS 88 DRI 89 DEF 87 PHY 87 CM CAM L 3 ★ 3 LB 89.0 REQUIREMENTS Excluded Rarity World Tour Silver Stars Overall Max. 89 UPGRADES +2 OVR +2 PAC 91 +2 SHO 90 +2 PAS 91 +2 DRI 90 +2 DEF 90 +2 PHY 91 in 16 hours in 16 hours 24% 76%</t>
        </is>
      </c>
    </row>
    <row r="36">
      <c r="A36" t="inlineStr">
        <is>
          <t>Reward</t>
        </is>
      </c>
      <c r="B36" t="inlineStr">
        <is>
          <t>Objective</t>
        </is>
      </c>
      <c r="C36" t="inlineStr">
        <is>
          <t>Gamechanger+ - EA SPORTS FC 26</t>
        </is>
      </c>
      <c r="D36" t="inlineStr">
        <is>
          <t>https://www.fut.gg/evolutions/1955-gamechanger/</t>
        </is>
      </c>
      <c r="G36" t="inlineStr">
        <is>
          <t>89</t>
        </is>
      </c>
      <c r="K36" t="inlineStr">
        <is>
          <t>World Tour Silver Stars</t>
        </is>
      </c>
      <c r="L36" t="inlineStr">
        <is>
          <t>World Tour Silver Stars</t>
        </is>
      </c>
      <c r="S36" t="inlineStr">
        <is>
          <t>1</t>
        </is>
      </c>
      <c r="CW36" t="inlineStr">
        <is>
          <t>2 Level 1 Aubameyang 89 ST PAC 94 SHO 90 PAS 83 DRI 88 DEF 45 PHY 74 R 5 ★ 5 Aubameyang 89 ST PAC 94 SHO 90 PAS 83 DRI 88 DEF 45 PHY 74 R 5 ★ 5 UPGRADES 2</t>
        </is>
      </c>
      <c r="CX36" t="inlineStr">
        <is>
          <t>Excluded Rarity World Tour Silver Stars Overall Max. 89 Max PS 1 Details Submit by in 16 hours Expiry in 16 hours Coins Cost Free Points Cost Free</t>
        </is>
      </c>
      <c r="CY36" t="inlineStr">
        <is>
          <t>Excluded Rarity World Tour Silver Stars Overall Max. 89 Max PS 1 Details Submit by in 16 hours Expiry in 16 hours Coins Cost Free Points Cost Free</t>
        </is>
      </c>
      <c r="CZ36" t="inlineStr">
        <is>
          <t>Gamechanger+</t>
        </is>
      </c>
      <c r="DA36" t="inlineStr">
        <is>
          <t>Gamechanger+ Unlocked by completing the Score in 3 task in the Ultimate Gauntlet 16 objective Cláudio Braga 87 ST PAC 86 SHO 87 PAS 80 DRI 87 DEF 45 PHY 76 RW LW R 5 ★ 5 LW 78.2 Cláudio Braga 87 ST PAC 86 SHO 87 PAS 80 DRI 87 DEF 45 PHY 76 RW LW R 5 ★ 5 RW 79.5 REQUIREMENTS Excluded Rarity World Tour Silver Stars Overall Max. 89 Max PS 1 UPGRADES 2 in 16 hours in 16 hours 7% 93%</t>
        </is>
      </c>
    </row>
    <row r="37">
      <c r="A37" t="inlineStr">
        <is>
          <t>Reward</t>
        </is>
      </c>
      <c r="B37" t="inlineStr">
        <is>
          <t>Objective</t>
        </is>
      </c>
      <c r="C37" t="inlineStr">
        <is>
          <t>Intercept+ &amp; Quick Step+ - EA SPORTS FC 26</t>
        </is>
      </c>
      <c r="D37" t="inlineStr">
        <is>
          <t>https://www.fut.gg/evolutions/1952-intercept-quick-step/</t>
        </is>
      </c>
      <c r="G37" t="inlineStr">
        <is>
          <t>89</t>
        </is>
      </c>
      <c r="K37" t="inlineStr">
        <is>
          <t>World Tour Silver Stars</t>
        </is>
      </c>
      <c r="L37" t="inlineStr">
        <is>
          <t>World Tour Silver Stars</t>
        </is>
      </c>
      <c r="T37" t="inlineStr">
        <is>
          <t>1</t>
        </is>
      </c>
      <c r="CW37" t="inlineStr">
        <is>
          <t>2 Level 1 Hancko 89 CB PAC 87 SHO 72 PAS 81 DRI 85 DEF 90 PHY 89 LB LM L 5 ★ 5 Hancko 89 CB PAC 87 SHO 72 PAS 81 DRI 85 DEF 90 PHY 89 LB LM L 5 ★ 5 UPGRADES 2</t>
        </is>
      </c>
      <c r="CX37" t="inlineStr">
        <is>
          <t>Excluded Rarity World Tour Silver Stars Overall Max. 89 Max PS+ 1 Details Submit by in 1 month Expiry in 1 month Coins Cost Free Points Cost Free</t>
        </is>
      </c>
      <c r="CY37" t="inlineStr">
        <is>
          <t>Excluded Rarity World Tour Silver Stars Overall Max. 89 Max PS+ 1 Details Submit by in 1 month Expiry in 1 month Coins Cost Free Points Cost Free</t>
        </is>
      </c>
      <c r="CZ37" t="inlineStr">
        <is>
          <t>Intercept+ &amp; Quick Step+</t>
        </is>
      </c>
      <c r="DA37"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38">
      <c r="A38" t="inlineStr">
        <is>
          <t>Reward</t>
        </is>
      </c>
      <c r="B38" t="inlineStr">
        <is>
          <t>Objective</t>
        </is>
      </c>
      <c r="C38" t="inlineStr">
        <is>
          <t>WTSS Defender Boost - EA SPORTS FC 26</t>
        </is>
      </c>
      <c r="D38" t="inlineStr">
        <is>
          <t>https://www.fut.gg/evolutions/1950-wtss-defender-boost/</t>
        </is>
      </c>
      <c r="G38" t="inlineStr">
        <is>
          <t>74</t>
        </is>
      </c>
      <c r="K38" t="inlineStr">
        <is>
          <t>World Tour Silver Stars</t>
        </is>
      </c>
      <c r="T38" t="inlineStr">
        <is>
          <t>1</t>
        </is>
      </c>
      <c r="X38" t="n">
        <v>10</v>
      </c>
      <c r="Y38" t="n">
        <v>74</v>
      </c>
      <c r="BP38" t="n">
        <v>2</v>
      </c>
      <c r="BR38" t="n">
        <v>2</v>
      </c>
      <c r="BX38" t="n">
        <v>6</v>
      </c>
      <c r="BZ38" t="n">
        <v>4</v>
      </c>
      <c r="CB38" t="n">
        <v>2</v>
      </c>
      <c r="CD38" t="n">
        <v>3</v>
      </c>
      <c r="CF38" t="n">
        <v>2</v>
      </c>
      <c r="CH38" t="n">
        <v>4</v>
      </c>
      <c r="CJ38" t="n">
        <v>4</v>
      </c>
      <c r="CL38" t="n">
        <v>3</v>
      </c>
      <c r="CN38" t="n">
        <v>2</v>
      </c>
      <c r="CP38" t="n">
        <v>2</v>
      </c>
      <c r="CQ38" t="n">
        <v>3</v>
      </c>
      <c r="CW38"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8" t="inlineStr">
        <is>
          <t>Rarity World Tour Silver Stars Overall Max. 74 Max PS+ 1 Details Submit by in 1 month Expiry in 1 month Coins Cost Free Points Cost Free</t>
        </is>
      </c>
      <c r="CY38" t="inlineStr">
        <is>
          <t>Rarity World Tour Silver Stars Overall Max. 74 Max PS+ 1 Details Submit by in 1 month Expiry in 1 month Coins Cost Free Points Cost Free</t>
        </is>
      </c>
      <c r="CZ38" t="inlineStr">
        <is>
          <t>WTSS Defender Boost</t>
        </is>
      </c>
      <c r="DA38"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39">
      <c r="A39" t="inlineStr">
        <is>
          <t>Reward</t>
        </is>
      </c>
      <c r="B39" t="inlineStr">
        <is>
          <t>Objective</t>
        </is>
      </c>
      <c r="C39" t="inlineStr">
        <is>
          <t>WTSS Attacker Boost - EA SPORTS FC 26</t>
        </is>
      </c>
      <c r="D39" t="inlineStr">
        <is>
          <t>https://www.fut.gg/evolutions/1949-wtss-attacker-boost/</t>
        </is>
      </c>
      <c r="G39" t="inlineStr">
        <is>
          <t>74</t>
        </is>
      </c>
      <c r="K39" t="inlineStr">
        <is>
          <t>World Tour Silver Stars</t>
        </is>
      </c>
      <c r="T39" t="inlineStr">
        <is>
          <t>1</t>
        </is>
      </c>
      <c r="X39" t="n">
        <v>10</v>
      </c>
      <c r="Y39" t="n">
        <v>74</v>
      </c>
      <c r="AL39" t="n">
        <v>2</v>
      </c>
      <c r="AN39" t="n">
        <v>2</v>
      </c>
      <c r="AP39" t="n">
        <v>4</v>
      </c>
      <c r="AR39" t="n">
        <v>3</v>
      </c>
      <c r="AT39" t="n">
        <v>2</v>
      </c>
      <c r="AV39" t="n">
        <v>2</v>
      </c>
      <c r="AX39" t="n">
        <v>4</v>
      </c>
      <c r="AZ39" t="n">
        <v>4</v>
      </c>
      <c r="BP39" t="n">
        <v>4</v>
      </c>
      <c r="BX39" t="n">
        <v>3</v>
      </c>
      <c r="CL39" t="n">
        <v>3</v>
      </c>
      <c r="CM39" t="n">
        <v>3</v>
      </c>
      <c r="CW39"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9" t="inlineStr">
        <is>
          <t>Rarity World Tour Silver Stars Overall Max. 74 Max PS+ 1 Details Submit by in 1 month Expiry in 1 month Coins Cost Free Points Cost Free</t>
        </is>
      </c>
      <c r="CY39" t="inlineStr">
        <is>
          <t>Rarity World Tour Silver Stars Overall Max. 74 Max PS+ 1 Details Submit by in 1 month Expiry in 1 month Coins Cost Free Points Cost Free</t>
        </is>
      </c>
      <c r="CZ39" t="inlineStr">
        <is>
          <t>WTSS Attacker Boost</t>
        </is>
      </c>
      <c r="DA39"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78% 22%</t>
        </is>
      </c>
    </row>
    <row r="40">
      <c r="A40" t="inlineStr">
        <is>
          <t>Reward</t>
        </is>
      </c>
      <c r="B40" t="inlineStr">
        <is>
          <t>Standard Season Pass</t>
        </is>
      </c>
      <c r="C40" t="inlineStr">
        <is>
          <t>WTSS Journey 3 - Midfielder [SP 21] - EA SPORTS FC 26</t>
        </is>
      </c>
      <c r="D40" t="inlineStr">
        <is>
          <t>https://www.fut.gg/evolutions/1936-wtss-journey-3-midfielder-sp-21/</t>
        </is>
      </c>
      <c r="G40" t="inlineStr">
        <is>
          <t>90</t>
        </is>
      </c>
      <c r="H40" t="inlineStr">
        <is>
          <t>90</t>
        </is>
      </c>
      <c r="I40" t="inlineStr">
        <is>
          <t>CAM, CM, CDM</t>
        </is>
      </c>
      <c r="K40" t="inlineStr">
        <is>
          <t>World Tour Silver Stars</t>
        </is>
      </c>
      <c r="S40" t="inlineStr">
        <is>
          <t>10</t>
        </is>
      </c>
      <c r="T40" t="inlineStr">
        <is>
          <t>2</t>
        </is>
      </c>
      <c r="X40" t="n">
        <v>4</v>
      </c>
      <c r="Y40" t="n">
        <v>92</v>
      </c>
      <c r="AD40" t="n">
        <v>4</v>
      </c>
      <c r="AE40" t="n">
        <v>93</v>
      </c>
      <c r="AL40" t="n">
        <v>5</v>
      </c>
      <c r="AM40" t="n">
        <v>90</v>
      </c>
      <c r="AN40" t="n">
        <v>5</v>
      </c>
      <c r="AO40" t="n">
        <v>90</v>
      </c>
      <c r="AP40" t="n">
        <v>5</v>
      </c>
      <c r="AQ40" t="n">
        <v>90</v>
      </c>
      <c r="AR40" t="n">
        <v>10</v>
      </c>
      <c r="AS40" t="n">
        <v>90</v>
      </c>
      <c r="AT40" t="n">
        <v>5</v>
      </c>
      <c r="AU40" t="n">
        <v>91</v>
      </c>
      <c r="AV40" t="n">
        <v>5</v>
      </c>
      <c r="AW40" t="n">
        <v>91</v>
      </c>
      <c r="AX40" t="n">
        <v>5</v>
      </c>
      <c r="AY40" t="n">
        <v>88</v>
      </c>
      <c r="AZ40" t="n">
        <v>5</v>
      </c>
      <c r="BA40" t="n">
        <v>88</v>
      </c>
      <c r="BN40" t="n">
        <v>10</v>
      </c>
      <c r="BO40" t="n">
        <v>92</v>
      </c>
      <c r="BP40" t="n">
        <v>10</v>
      </c>
      <c r="BQ40" t="n">
        <v>92</v>
      </c>
      <c r="BR40" t="n">
        <v>20</v>
      </c>
      <c r="BS40" t="n">
        <v>91</v>
      </c>
      <c r="BT40" t="n">
        <v>10</v>
      </c>
      <c r="BU40" t="n">
        <v>92</v>
      </c>
      <c r="BV40" t="n">
        <v>10</v>
      </c>
      <c r="BW40" t="n">
        <v>93</v>
      </c>
      <c r="BX40" t="n">
        <v>10</v>
      </c>
      <c r="BY40" t="n">
        <v>90</v>
      </c>
      <c r="CT40" t="n">
        <v>4</v>
      </c>
      <c r="CU40" t="n">
        <v>5</v>
      </c>
      <c r="CW40"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40" t="inlineStr">
        <is>
          <t>Rarity World Tour Silver Stars Overall Min. 90 Overall Max. 90 Position CAM, CM, CDM Max PS 10 Max PS+ 2 Details Submit by in 1 month Expiry in 1 month Coins Cost Free Points Cost Free</t>
        </is>
      </c>
      <c r="CY40" t="inlineStr">
        <is>
          <t>Rarity World Tour Silver Stars Overall Min. 90 Overall Max. 90 Position CAM, CM, CDM Max PS 10 Max PS+ 2 Details Submit by in 1 month Expiry in 1 month Coins Cost Free Points Cost Free</t>
        </is>
      </c>
      <c r="CZ40" t="inlineStr">
        <is>
          <t>WTSS Journey 3 - Midfielder [SP 21]</t>
        </is>
      </c>
      <c r="DA40"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1">
      <c r="A41" t="inlineStr">
        <is>
          <t>Reward</t>
        </is>
      </c>
      <c r="B41" t="inlineStr">
        <is>
          <t>Premium Season Pass</t>
        </is>
      </c>
      <c r="C41" t="inlineStr">
        <is>
          <t>Bruiser+ [SP+ 28] - EA SPORTS FC 26</t>
        </is>
      </c>
      <c r="D41" t="inlineStr">
        <is>
          <t>https://www.fut.gg/evolutions/1935-bruiser-sp-28/</t>
        </is>
      </c>
      <c r="G41" t="inlineStr">
        <is>
          <t>91</t>
        </is>
      </c>
      <c r="K41" t="inlineStr">
        <is>
          <t>World Tour Silver Stars</t>
        </is>
      </c>
      <c r="L41" t="inlineStr">
        <is>
          <t>World Tour Silver Stars</t>
        </is>
      </c>
      <c r="T41" t="inlineStr">
        <is>
          <t>2</t>
        </is>
      </c>
      <c r="CW41" t="inlineStr">
        <is>
          <t>3 Level 1 Lamine Yamal 91 RW PAC 87 SHO 83 PAS 88 DRI 92 DEF 25 PHY 55 RM L 5 ★ 3 Lamine Yamal 91 RW PAC 87 SHO 83 PAS 88 DRI 92 DEF 25 PHY 55 RM L 5 ★ 3 UPGRADES 3</t>
        </is>
      </c>
      <c r="CX41" t="inlineStr">
        <is>
          <t>Excluded Rarity World Tour Silver Stars Overall Max. 91 Max PS+ 2 Details Submit by in 1 month Expiry in 1 month Coins Cost Free Points Cost Free</t>
        </is>
      </c>
      <c r="CY41" t="inlineStr">
        <is>
          <t>Excluded Rarity World Tour Silver Stars Overall Max. 91 Max PS+ 2 Details Submit by in 1 month Expiry in 1 month Coins Cost Free Points Cost Free</t>
        </is>
      </c>
      <c r="CZ41" t="inlineStr">
        <is>
          <t>Bruiser+ [SP+ 28]</t>
        </is>
      </c>
      <c r="DA41"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2">
      <c r="A42" t="inlineStr">
        <is>
          <t>Reward</t>
        </is>
      </c>
      <c r="B42" t="inlineStr">
        <is>
          <t>Standard Season Pass</t>
        </is>
      </c>
      <c r="C42" t="inlineStr">
        <is>
          <t>Incisive Pass+ [SP 27] - EA SPORTS FC 26</t>
        </is>
      </c>
      <c r="D42" t="inlineStr">
        <is>
          <t>https://www.fut.gg/evolutions/1934-incisive-pass-sp-27/</t>
        </is>
      </c>
      <c r="G42" t="inlineStr">
        <is>
          <t>90</t>
        </is>
      </c>
      <c r="K42" t="inlineStr">
        <is>
          <t>World Tour Silver Stars</t>
        </is>
      </c>
      <c r="L42" t="inlineStr">
        <is>
          <t>World Tour Silver Stars</t>
        </is>
      </c>
      <c r="T42" t="inlineStr">
        <is>
          <t>2</t>
        </is>
      </c>
      <c r="CW42" t="inlineStr">
        <is>
          <t>3 Level 1 van de Ven 90 CB PAC 94 SHO 52 PAS 71 DRI 81 DEF 88 PHY 88 L 3 ★ 3 van de Ven 90 CB PAC 94 SHO 52 PAS 71 DRI 81 DEF 88 PHY 88 L 3 ★ 3 UPGRADES 3</t>
        </is>
      </c>
      <c r="CX42" t="inlineStr">
        <is>
          <t>Excluded Rarity World Tour Silver Stars Overall Max. 90 Max PS+ 2 Details Submit by in 1 month Expiry in 1 month Coins Cost Free Points Cost Free</t>
        </is>
      </c>
      <c r="CY42" t="inlineStr">
        <is>
          <t>Excluded Rarity World Tour Silver Stars Overall Max. 90 Max PS+ 2 Details Submit by in 1 month Expiry in 1 month Coins Cost Free Points Cost Free</t>
        </is>
      </c>
      <c r="CZ42" t="inlineStr">
        <is>
          <t>Incisive Pass+ [SP 27]</t>
        </is>
      </c>
      <c r="DA42"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3">
      <c r="A43" t="inlineStr">
        <is>
          <t>Reward</t>
        </is>
      </c>
      <c r="B43" t="inlineStr">
        <is>
          <t>Standard Season Pass</t>
        </is>
      </c>
      <c r="C43" t="inlineStr">
        <is>
          <t>Defender Round Out [SP 1] - EA SPORTS FC 26</t>
        </is>
      </c>
      <c r="D43" t="inlineStr">
        <is>
          <t>https://www.fut.gg/evolutions/1933-defender-round-out-sp-1/</t>
        </is>
      </c>
      <c r="G43" t="inlineStr">
        <is>
          <t>89</t>
        </is>
      </c>
      <c r="K43" t="inlineStr">
        <is>
          <t>World Tour Silver Stars</t>
        </is>
      </c>
      <c r="L43" t="inlineStr">
        <is>
          <t>World Tour Silver Stars</t>
        </is>
      </c>
      <c r="S43" t="inlineStr">
        <is>
          <t>10</t>
        </is>
      </c>
      <c r="X43" t="n">
        <v>2</v>
      </c>
      <c r="AL43" t="n">
        <v>10</v>
      </c>
      <c r="AM43" t="n">
        <v>91</v>
      </c>
      <c r="AN43" t="n">
        <v>10</v>
      </c>
      <c r="AO43" t="n">
        <v>92</v>
      </c>
      <c r="BR43" t="n">
        <v>5</v>
      </c>
      <c r="BS43" t="n">
        <v>93</v>
      </c>
      <c r="BX43" t="n">
        <v>5</v>
      </c>
      <c r="BY43" t="n">
        <v>93</v>
      </c>
      <c r="BZ43" t="n">
        <v>2</v>
      </c>
      <c r="CA43" t="n">
        <v>93</v>
      </c>
      <c r="CB43" t="n">
        <v>2</v>
      </c>
      <c r="CC43" t="n">
        <v>94</v>
      </c>
      <c r="CD43" t="n">
        <v>2</v>
      </c>
      <c r="CE43" t="n">
        <v>93</v>
      </c>
      <c r="CF43" t="n">
        <v>5</v>
      </c>
      <c r="CG43" t="n">
        <v>91</v>
      </c>
      <c r="CH43" t="n">
        <v>5</v>
      </c>
      <c r="CI43" t="n">
        <v>92</v>
      </c>
      <c r="CJ43" t="n">
        <v>2</v>
      </c>
      <c r="CK43" t="n">
        <v>93</v>
      </c>
      <c r="CL43" t="n">
        <v>2</v>
      </c>
      <c r="CM43" t="n">
        <v>92</v>
      </c>
      <c r="CN43" t="n">
        <v>2</v>
      </c>
      <c r="CO43" t="n">
        <v>93</v>
      </c>
      <c r="CP43" t="n">
        <v>5</v>
      </c>
      <c r="CQ43" t="n">
        <v>92</v>
      </c>
      <c r="CW43"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3" t="inlineStr">
        <is>
          <t>Excluded Rarity World Tour Silver Stars Overall Max. 89 Max PS 10 Details Submit by in 1 month Expiry in 1 month Coins Cost Free Points Cost Free</t>
        </is>
      </c>
      <c r="CY43" t="inlineStr">
        <is>
          <t>Excluded Rarity World Tour Silver Stars Overall Max. 89 Max PS 10 Details Submit by in 1 month Expiry in 1 month Coins Cost Free Points Cost Free</t>
        </is>
      </c>
      <c r="CZ43" t="inlineStr">
        <is>
          <t>Defender Round Out [SP 1] 10</t>
        </is>
      </c>
      <c r="DA43"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4">
      <c r="A44" t="inlineStr">
        <is>
          <t>Reward</t>
        </is>
      </c>
      <c r="B44" t="inlineStr">
        <is>
          <t>Premium Season Pass</t>
        </is>
      </c>
      <c r="C44" t="inlineStr">
        <is>
          <t>Attacker Round Out [SP+ 1] - EA SPORTS FC 26</t>
        </is>
      </c>
      <c r="D44" t="inlineStr">
        <is>
          <t>https://www.fut.gg/evolutions/1932-attacker-round-out-sp-1/</t>
        </is>
      </c>
      <c r="G44" t="inlineStr">
        <is>
          <t>89</t>
        </is>
      </c>
      <c r="I44" t="inlineStr">
        <is>
          <t>CB</t>
        </is>
      </c>
      <c r="J44" t="inlineStr">
        <is>
          <t>CB</t>
        </is>
      </c>
      <c r="K44" t="inlineStr">
        <is>
          <t>World Tour Silver Stars</t>
        </is>
      </c>
      <c r="L44" t="inlineStr">
        <is>
          <t>World Tour Silver Stars</t>
        </is>
      </c>
      <c r="S44" t="inlineStr">
        <is>
          <t>10</t>
        </is>
      </c>
      <c r="X44" t="n">
        <v>4</v>
      </c>
      <c r="Y44" t="n">
        <v>91</v>
      </c>
      <c r="AL44" t="n">
        <v>6</v>
      </c>
      <c r="AM44" t="n">
        <v>93</v>
      </c>
      <c r="AN44" t="n">
        <v>3</v>
      </c>
      <c r="AO44" t="n">
        <v>94</v>
      </c>
      <c r="AP44" t="n">
        <v>5</v>
      </c>
      <c r="AQ44" t="n">
        <v>93</v>
      </c>
      <c r="AR44" t="n">
        <v>5</v>
      </c>
      <c r="AS44" t="n">
        <v>94</v>
      </c>
      <c r="AT44" t="n">
        <v>3</v>
      </c>
      <c r="AU44" t="n">
        <v>93</v>
      </c>
      <c r="AV44" t="n">
        <v>3</v>
      </c>
      <c r="AW44" t="n">
        <v>92</v>
      </c>
      <c r="AX44" t="n">
        <v>3</v>
      </c>
      <c r="AY44" t="n">
        <v>94</v>
      </c>
      <c r="AZ44" t="n">
        <v>3</v>
      </c>
      <c r="BA44" t="n">
        <v>94</v>
      </c>
      <c r="BB44" t="n">
        <v>5</v>
      </c>
      <c r="BC44" t="n">
        <v>93</v>
      </c>
      <c r="BD44" t="n">
        <v>2</v>
      </c>
      <c r="BE44" t="n">
        <v>94</v>
      </c>
      <c r="BH44" t="n">
        <v>5</v>
      </c>
      <c r="BI44" t="n">
        <v>95</v>
      </c>
      <c r="BJ44" t="n">
        <v>5</v>
      </c>
      <c r="BK44" t="n">
        <v>94</v>
      </c>
      <c r="BL44" t="n">
        <v>2</v>
      </c>
      <c r="BM44" t="n">
        <v>92</v>
      </c>
      <c r="BN44" t="n">
        <v>10</v>
      </c>
      <c r="BO44" t="n">
        <v>94</v>
      </c>
      <c r="BP44" t="n">
        <v>10</v>
      </c>
      <c r="BQ44" t="n">
        <v>93</v>
      </c>
      <c r="BR44" t="n">
        <v>2</v>
      </c>
      <c r="BS44" t="n">
        <v>92</v>
      </c>
      <c r="BT44" t="n">
        <v>5</v>
      </c>
      <c r="BU44" t="n">
        <v>94</v>
      </c>
      <c r="BV44" t="n">
        <v>5</v>
      </c>
      <c r="BW44" t="n">
        <v>95</v>
      </c>
      <c r="BX44" t="n">
        <v>2</v>
      </c>
      <c r="BY44" t="n">
        <v>95</v>
      </c>
      <c r="CW44"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4" t="inlineStr">
        <is>
          <t>Excluded Rarity World Tour Silver Stars Overall Max. 89 Excluded Position CB Max PS 10 Details Submit by in 1 month Expiry in 1 month Coins Cost Free Points Cost Free</t>
        </is>
      </c>
      <c r="CY44" t="inlineStr">
        <is>
          <t>Excluded Rarity World Tour Silver Stars Overall Max. 89 Excluded Position CB Max PS 10 Details Submit by in 1 month Expiry in 1 month Coins Cost Free Points Cost Free</t>
        </is>
      </c>
      <c r="CZ44" t="inlineStr">
        <is>
          <t>Attacker Round Out [SP+ 1] 20</t>
        </is>
      </c>
      <c r="DA44"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5">
      <c r="A45" t="inlineStr">
        <is>
          <t>Reward</t>
        </is>
      </c>
      <c r="B45" t="inlineStr">
        <is>
          <t>Standard Season Pass</t>
        </is>
      </c>
      <c r="C45" t="inlineStr">
        <is>
          <t>WTSS Journey 2 - Attacker [SP 8] - EA SPORTS FC 26</t>
        </is>
      </c>
      <c r="D45" t="inlineStr">
        <is>
          <t>https://www.fut.gg/evolutions/1931-wtss-journey-2-attacker-sp-8/</t>
        </is>
      </c>
      <c r="G45" t="inlineStr">
        <is>
          <t>88</t>
        </is>
      </c>
      <c r="H45" t="inlineStr">
        <is>
          <t>88</t>
        </is>
      </c>
      <c r="I45" t="inlineStr">
        <is>
          <t>ST, RW, LW</t>
        </is>
      </c>
      <c r="K45" t="inlineStr">
        <is>
          <t>World Tour Silver Stars</t>
        </is>
      </c>
      <c r="S45" t="inlineStr">
        <is>
          <t>10</t>
        </is>
      </c>
      <c r="T45" t="inlineStr">
        <is>
          <t>1</t>
        </is>
      </c>
      <c r="X45" t="n">
        <v>4</v>
      </c>
      <c r="Y45" t="n">
        <v>90</v>
      </c>
      <c r="AL45" t="n">
        <v>20</v>
      </c>
      <c r="AM45" t="n">
        <v>90</v>
      </c>
      <c r="AN45" t="n">
        <v>20</v>
      </c>
      <c r="AO45" t="n">
        <v>90</v>
      </c>
      <c r="AP45" t="n">
        <v>20</v>
      </c>
      <c r="AQ45" t="n">
        <v>90</v>
      </c>
      <c r="AR45" t="n">
        <v>20</v>
      </c>
      <c r="AS45" t="n">
        <v>90</v>
      </c>
      <c r="AT45" t="n">
        <v>10</v>
      </c>
      <c r="AU45" t="n">
        <v>91</v>
      </c>
      <c r="AV45" t="n">
        <v>10</v>
      </c>
      <c r="AW45" t="n">
        <v>90</v>
      </c>
      <c r="AX45" t="n">
        <v>10</v>
      </c>
      <c r="AY45" t="n">
        <v>89</v>
      </c>
      <c r="AZ45" t="n">
        <v>10</v>
      </c>
      <c r="BA45" t="n">
        <v>90</v>
      </c>
      <c r="BL45" t="n">
        <v>10</v>
      </c>
      <c r="BM45" t="n">
        <v>90</v>
      </c>
      <c r="BN45" t="n">
        <v>15</v>
      </c>
      <c r="BO45" t="n">
        <v>92</v>
      </c>
      <c r="BP45" t="n">
        <v>15</v>
      </c>
      <c r="BQ45" t="n">
        <v>89</v>
      </c>
      <c r="BR45" t="n">
        <v>15</v>
      </c>
      <c r="BS45" t="n">
        <v>89</v>
      </c>
      <c r="BT45" t="n">
        <v>15</v>
      </c>
      <c r="BU45" t="n">
        <v>88</v>
      </c>
      <c r="BV45" t="n">
        <v>15</v>
      </c>
      <c r="BW45" t="n">
        <v>89</v>
      </c>
      <c r="BX45" t="n">
        <v>15</v>
      </c>
      <c r="BY45" t="n">
        <v>88</v>
      </c>
      <c r="CT45" t="n">
        <v>3</v>
      </c>
      <c r="CU45" t="n">
        <v>4</v>
      </c>
      <c r="CW45"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5" t="inlineStr">
        <is>
          <t>Rarity World Tour Silver Stars Overall Min. 88 Overall Max. 88 Position ST, RW, LW Max PS 10 Max PS+ 1 Details Submit by in 1 month Expiry in 1 month Coins Cost Free Points Cost Free</t>
        </is>
      </c>
      <c r="CY45" t="inlineStr">
        <is>
          <t>Rarity World Tour Silver Stars Overall Min. 88 Overall Max. 88 Position ST, RW, LW Max PS 10 Max PS+ 1 Details Submit by in 1 month Expiry in 1 month Coins Cost Free Points Cost Free</t>
        </is>
      </c>
      <c r="CZ45" t="inlineStr">
        <is>
          <t>WTSS Journey 2 - Attacker [SP 8]</t>
        </is>
      </c>
      <c r="DA45"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6">
      <c r="A46" t="inlineStr">
        <is>
          <t>Reward</t>
        </is>
      </c>
      <c r="B46" t="inlineStr">
        <is>
          <t>Standard Season Pass</t>
        </is>
      </c>
      <c r="C46" t="inlineStr">
        <is>
          <t>WTSS Journey 2 - Defender [SP 8] - EA SPORTS FC 26</t>
        </is>
      </c>
      <c r="D46" t="inlineStr">
        <is>
          <t>https://www.fut.gg/evolutions/1930-wtss-journey-2-defender-sp-8/</t>
        </is>
      </c>
      <c r="G46" t="inlineStr">
        <is>
          <t>88</t>
        </is>
      </c>
      <c r="H46" t="inlineStr">
        <is>
          <t>88</t>
        </is>
      </c>
      <c r="I46" t="inlineStr">
        <is>
          <t>CB, LB, RB</t>
        </is>
      </c>
      <c r="K46" t="inlineStr">
        <is>
          <t>World Tour Silver Stars</t>
        </is>
      </c>
      <c r="S46" t="inlineStr">
        <is>
          <t>10</t>
        </is>
      </c>
      <c r="T46" t="inlineStr">
        <is>
          <t>1</t>
        </is>
      </c>
      <c r="X46" t="n">
        <v>4</v>
      </c>
      <c r="Y46" t="n">
        <v>90</v>
      </c>
      <c r="Z46" t="n">
        <v>4</v>
      </c>
      <c r="AA46" t="n">
        <v>87</v>
      </c>
      <c r="BN46" t="n">
        <v>10</v>
      </c>
      <c r="BO46" t="n">
        <v>88</v>
      </c>
      <c r="BP46" t="n">
        <v>5</v>
      </c>
      <c r="BQ46" t="n">
        <v>88</v>
      </c>
      <c r="BR46" t="n">
        <v>5</v>
      </c>
      <c r="BS46" t="n">
        <v>90</v>
      </c>
      <c r="BX46" t="n">
        <v>5</v>
      </c>
      <c r="BY46" t="n">
        <v>90</v>
      </c>
      <c r="BZ46" t="n">
        <v>10</v>
      </c>
      <c r="CA46" t="n">
        <v>93</v>
      </c>
      <c r="CB46" t="n">
        <v>10</v>
      </c>
      <c r="CC46" t="n">
        <v>94</v>
      </c>
      <c r="CD46" t="n">
        <v>10</v>
      </c>
      <c r="CE46" t="n">
        <v>90</v>
      </c>
      <c r="CF46" t="n">
        <v>10</v>
      </c>
      <c r="CG46" t="n">
        <v>92</v>
      </c>
      <c r="CH46" t="n">
        <v>10</v>
      </c>
      <c r="CI46" t="n">
        <v>92</v>
      </c>
      <c r="CW46"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6" t="inlineStr">
        <is>
          <t>Rarity World Tour Silver Stars Overall Min. 88 Overall Max. 88 Position CB, LB, RB Max PS 10 Max PS+ 1 Details Submit by in 1 month Expiry in 1 month Coins Cost Free Points Cost Free</t>
        </is>
      </c>
      <c r="CY46" t="inlineStr">
        <is>
          <t>Rarity World Tour Silver Stars Overall Min. 88 Overall Max. 88 Position CB, LB, RB Max PS 10 Max PS+ 1 Details Submit by in 1 month Expiry in 1 month Coins Cost Free Points Cost Free</t>
        </is>
      </c>
      <c r="CZ46" t="inlineStr">
        <is>
          <t>WTSS Journey 2 - Defender [SP 8]</t>
        </is>
      </c>
      <c r="DA46"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7">
      <c r="A47" t="inlineStr">
        <is>
          <t>Reward</t>
        </is>
      </c>
      <c r="B47" t="inlineStr">
        <is>
          <t>Standard Season Pass</t>
        </is>
      </c>
      <c r="C47" t="inlineStr">
        <is>
          <t>WTSS Journey 3 - Attacker [SP 21] - EA SPORTS FC 26</t>
        </is>
      </c>
      <c r="D47" t="inlineStr">
        <is>
          <t>https://www.fut.gg/evolutions/1929-wtss-journey-3-attacker-sp-21/</t>
        </is>
      </c>
      <c r="G47" t="inlineStr">
        <is>
          <t>90</t>
        </is>
      </c>
      <c r="H47" t="inlineStr">
        <is>
          <t>90</t>
        </is>
      </c>
      <c r="I47" t="inlineStr">
        <is>
          <t>ST, RW, LW</t>
        </is>
      </c>
      <c r="K47" t="inlineStr">
        <is>
          <t>World Tour Silver Stars</t>
        </is>
      </c>
      <c r="S47" t="inlineStr">
        <is>
          <t>10</t>
        </is>
      </c>
      <c r="T47" t="inlineStr">
        <is>
          <t>2</t>
        </is>
      </c>
      <c r="X47" t="n">
        <v>4</v>
      </c>
      <c r="Y47" t="n">
        <v>92</v>
      </c>
      <c r="AL47" t="n">
        <v>10</v>
      </c>
      <c r="AM47" t="n">
        <v>92</v>
      </c>
      <c r="AN47" t="n">
        <v>10</v>
      </c>
      <c r="AO47" t="n">
        <v>92</v>
      </c>
      <c r="AP47" t="n">
        <v>5</v>
      </c>
      <c r="AQ47" t="n">
        <v>93</v>
      </c>
      <c r="AR47" t="n">
        <v>5</v>
      </c>
      <c r="AS47" t="n">
        <v>94</v>
      </c>
      <c r="BL47" t="n">
        <v>5</v>
      </c>
      <c r="BM47" t="n">
        <v>93</v>
      </c>
      <c r="BP47" t="n">
        <v>5</v>
      </c>
      <c r="BQ47" t="n">
        <v>94</v>
      </c>
      <c r="BR47" t="n">
        <v>5</v>
      </c>
      <c r="BS47" t="n">
        <v>93</v>
      </c>
      <c r="BT47" t="n">
        <v>5</v>
      </c>
      <c r="BU47" t="n">
        <v>94</v>
      </c>
      <c r="BV47" t="n">
        <v>5</v>
      </c>
      <c r="BW47" t="n">
        <v>94</v>
      </c>
      <c r="BX47" t="n">
        <v>5</v>
      </c>
      <c r="BY47" t="n">
        <v>93</v>
      </c>
      <c r="CR47" t="n">
        <v>4</v>
      </c>
      <c r="CW47"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7" t="inlineStr">
        <is>
          <t>Rarity World Tour Silver Stars Overall Min. 90 Overall Max. 90 Position ST, RW, LW Max PS 10 Max PS+ 2 Details Submit by in 1 month Expiry in 1 month Coins Cost Free Points Cost Free</t>
        </is>
      </c>
      <c r="CY47" t="inlineStr">
        <is>
          <t>Rarity World Tour Silver Stars Overall Min. 90 Overall Max. 90 Position ST, RW, LW Max PS 10 Max PS+ 2 Details Submit by in 1 month Expiry in 1 month Coins Cost Free Points Cost Free</t>
        </is>
      </c>
      <c r="CZ47" t="inlineStr">
        <is>
          <t>WTSS Journey 3 - Attacker [SP 21]</t>
        </is>
      </c>
      <c r="DA47"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8">
      <c r="A48" t="inlineStr">
        <is>
          <t>Reward</t>
        </is>
      </c>
      <c r="B48" t="inlineStr">
        <is>
          <t>Standard Season Pass</t>
        </is>
      </c>
      <c r="C48" t="inlineStr">
        <is>
          <t>WTSS Journey 3 - Defender [SP 21] - EA SPORTS FC 26</t>
        </is>
      </c>
      <c r="D48" t="inlineStr">
        <is>
          <t>https://www.fut.gg/evolutions/1928-wtss-journey-3-defender-sp-21/</t>
        </is>
      </c>
      <c r="G48" t="inlineStr">
        <is>
          <t>90</t>
        </is>
      </c>
      <c r="H48" t="inlineStr">
        <is>
          <t>90</t>
        </is>
      </c>
      <c r="I48" t="inlineStr">
        <is>
          <t>CB, LB, RB</t>
        </is>
      </c>
      <c r="K48" t="inlineStr">
        <is>
          <t>World Tour Silver Stars</t>
        </is>
      </c>
      <c r="S48" t="inlineStr">
        <is>
          <t>10</t>
        </is>
      </c>
      <c r="T48" t="inlineStr">
        <is>
          <t>2</t>
        </is>
      </c>
      <c r="X48" t="n">
        <v>4</v>
      </c>
      <c r="Y48" t="n">
        <v>92</v>
      </c>
      <c r="Z48" t="n">
        <v>3</v>
      </c>
      <c r="AA48" t="n">
        <v>90</v>
      </c>
      <c r="BB48" t="n">
        <v>5</v>
      </c>
      <c r="BC48" t="n">
        <v>88</v>
      </c>
      <c r="BH48" t="n">
        <v>5</v>
      </c>
      <c r="BI48" t="n">
        <v>88</v>
      </c>
      <c r="BJ48" t="n">
        <v>5</v>
      </c>
      <c r="BK48" t="n">
        <v>88</v>
      </c>
      <c r="BR48" t="n">
        <v>10</v>
      </c>
      <c r="BS48" t="n">
        <v>93</v>
      </c>
      <c r="BT48" t="n">
        <v>10</v>
      </c>
      <c r="BU48" t="n">
        <v>88</v>
      </c>
      <c r="BV48" t="n">
        <v>5</v>
      </c>
      <c r="BW48" t="n">
        <v>88</v>
      </c>
      <c r="BX48" t="n">
        <v>5</v>
      </c>
      <c r="BY48" t="n">
        <v>93</v>
      </c>
      <c r="CJ48" t="n">
        <v>10</v>
      </c>
      <c r="CK48" t="n">
        <v>90</v>
      </c>
      <c r="CL48" t="n">
        <v>10</v>
      </c>
      <c r="CM48" t="n">
        <v>95</v>
      </c>
      <c r="CN48" t="n">
        <v>10</v>
      </c>
      <c r="CO48" t="n">
        <v>93</v>
      </c>
      <c r="CP48" t="n">
        <v>10</v>
      </c>
      <c r="CQ48" t="n">
        <v>88</v>
      </c>
      <c r="CR48" t="n">
        <v>3</v>
      </c>
      <c r="CS48" t="n">
        <v>4</v>
      </c>
      <c r="CT48" t="n">
        <v>4</v>
      </c>
      <c r="CW48"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8" t="inlineStr">
        <is>
          <t>Rarity World Tour Silver Stars Overall Min. 90 Overall Max. 90 Position CB, LB, RB Max PS 10 Max PS+ 2 Details Submit by in 1 month Expiry in 1 month Coins Cost Free Points Cost Free</t>
        </is>
      </c>
      <c r="CY48" t="inlineStr">
        <is>
          <t>Rarity World Tour Silver Stars Overall Min. 90 Overall Max. 90 Position CB, LB, RB Max PS 10 Max PS+ 2 Details Submit by in 1 month Expiry in 1 month Coins Cost Free Points Cost Free</t>
        </is>
      </c>
      <c r="CZ48" t="inlineStr">
        <is>
          <t>WTSS Journey 3 - Defender [SP 21]</t>
        </is>
      </c>
      <c r="DA48"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9">
      <c r="A49" t="inlineStr">
        <is>
          <t>Reward</t>
        </is>
      </c>
      <c r="B49" t="inlineStr">
        <is>
          <t>Standard Season Pass</t>
        </is>
      </c>
      <c r="C49" t="inlineStr">
        <is>
          <t>WTSS Journey 2 - Midfielder [SP 8] - EA SPORTS FC 26</t>
        </is>
      </c>
      <c r="D49" t="inlineStr">
        <is>
          <t>https://www.fut.gg/evolutions/1927-wtss-journey-2-midfielder-sp-8/</t>
        </is>
      </c>
      <c r="G49" t="inlineStr">
        <is>
          <t>88</t>
        </is>
      </c>
      <c r="H49" t="inlineStr">
        <is>
          <t>88</t>
        </is>
      </c>
      <c r="I49" t="inlineStr">
        <is>
          <t>CAM, CDM, CM</t>
        </is>
      </c>
      <c r="K49" t="inlineStr">
        <is>
          <t>World Tour Silver Stars</t>
        </is>
      </c>
      <c r="S49" t="inlineStr">
        <is>
          <t>10</t>
        </is>
      </c>
      <c r="T49" t="inlineStr">
        <is>
          <t>1</t>
        </is>
      </c>
      <c r="X49" t="n">
        <v>4</v>
      </c>
      <c r="Y49" t="n">
        <v>90</v>
      </c>
      <c r="AB49" t="n">
        <v>4</v>
      </c>
      <c r="AC49" t="n">
        <v>88</v>
      </c>
      <c r="AL49" t="n">
        <v>5</v>
      </c>
      <c r="AM49" t="n">
        <v>88</v>
      </c>
      <c r="AN49" t="n">
        <v>10</v>
      </c>
      <c r="AO49" t="n">
        <v>88</v>
      </c>
      <c r="BB49" t="n">
        <v>15</v>
      </c>
      <c r="BC49" t="n">
        <v>91</v>
      </c>
      <c r="BD49" t="n">
        <v>15</v>
      </c>
      <c r="BE49" t="n">
        <v>89</v>
      </c>
      <c r="BH49" t="n">
        <v>30</v>
      </c>
      <c r="BI49" t="n">
        <v>93</v>
      </c>
      <c r="BJ49" t="n">
        <v>15</v>
      </c>
      <c r="BK49" t="n">
        <v>92</v>
      </c>
      <c r="BL49" t="n">
        <v>15</v>
      </c>
      <c r="BM49" t="n">
        <v>90</v>
      </c>
      <c r="BZ49" t="n">
        <v>30</v>
      </c>
      <c r="CA49" t="n">
        <v>90</v>
      </c>
      <c r="CB49" t="n">
        <v>15</v>
      </c>
      <c r="CC49" t="n">
        <v>89</v>
      </c>
      <c r="CD49" t="n">
        <v>15</v>
      </c>
      <c r="CE49" t="n">
        <v>89</v>
      </c>
      <c r="CF49" t="n">
        <v>15</v>
      </c>
      <c r="CG49" t="n">
        <v>90</v>
      </c>
      <c r="CH49" t="n">
        <v>15</v>
      </c>
      <c r="CI49" t="n">
        <v>88</v>
      </c>
      <c r="CJ49" t="n">
        <v>15</v>
      </c>
      <c r="CK49" t="n">
        <v>89</v>
      </c>
      <c r="CL49" t="n">
        <v>30</v>
      </c>
      <c r="CM49" t="n">
        <v>90</v>
      </c>
      <c r="CN49" t="n">
        <v>15</v>
      </c>
      <c r="CO49" t="n">
        <v>89</v>
      </c>
      <c r="CP49" t="n">
        <v>15</v>
      </c>
      <c r="CQ49" t="n">
        <v>89</v>
      </c>
      <c r="CR49" t="n">
        <v>1</v>
      </c>
      <c r="CS49" t="n">
        <v>4</v>
      </c>
      <c r="CW49"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9" t="inlineStr">
        <is>
          <t>Rarity World Tour Silver Stars Overall Min. 88 Overall Max. 88 Position CAM, CDM, CM Max PS 10 Max PS+ 1 Details Submit by in 1 month Expiry in 1 month Coins Cost Free Points Cost Free</t>
        </is>
      </c>
      <c r="CY49" t="inlineStr">
        <is>
          <t>Rarity World Tour Silver Stars Overall Min. 88 Overall Max. 88 Position CAM, CDM, CM Max PS 10 Max PS+ 1 Details Submit by in 1 month Expiry in 1 month Coins Cost Free Points Cost Free</t>
        </is>
      </c>
      <c r="CZ49" t="inlineStr">
        <is>
          <t>WTSS Journey 2 - Midfielder [SP 8]</t>
        </is>
      </c>
      <c r="DA49"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50">
      <c r="A50" t="inlineStr">
        <is>
          <t>Reward</t>
        </is>
      </c>
      <c r="B50" t="inlineStr">
        <is>
          <t>Standard Season Pass</t>
        </is>
      </c>
      <c r="C50" t="inlineStr">
        <is>
          <t>WTSS Journey 1 - Attacker [SP 3] - EA SPORTS FC 26</t>
        </is>
      </c>
      <c r="D50" t="inlineStr">
        <is>
          <t>https://www.fut.gg/evolutions/1926-wtss-journey-1-attacker-sp-3/</t>
        </is>
      </c>
      <c r="I50" t="inlineStr">
        <is>
          <t>ST, RW, LW</t>
        </is>
      </c>
      <c r="K50" t="inlineStr">
        <is>
          <t>World Tour Silver Stars</t>
        </is>
      </c>
      <c r="S50" t="inlineStr">
        <is>
          <t>10</t>
        </is>
      </c>
      <c r="T50" t="inlineStr">
        <is>
          <t>1</t>
        </is>
      </c>
      <c r="X50" t="n">
        <v>60</v>
      </c>
      <c r="Y50" t="n">
        <v>88</v>
      </c>
      <c r="AL50" t="n">
        <v>60</v>
      </c>
      <c r="AM50" t="n">
        <v>88</v>
      </c>
      <c r="AN50" t="n">
        <v>60</v>
      </c>
      <c r="AO50" t="n">
        <v>88</v>
      </c>
      <c r="AP50" t="n">
        <v>30</v>
      </c>
      <c r="AQ50" t="n">
        <v>84</v>
      </c>
      <c r="AR50" t="n">
        <v>60</v>
      </c>
      <c r="AS50" t="n">
        <v>87</v>
      </c>
      <c r="AT50" t="n">
        <v>60</v>
      </c>
      <c r="AU50" t="n">
        <v>83</v>
      </c>
      <c r="AV50" t="n">
        <v>60</v>
      </c>
      <c r="AW50" t="n">
        <v>88</v>
      </c>
      <c r="AX50" t="n">
        <v>30</v>
      </c>
      <c r="AY50" t="n">
        <v>87</v>
      </c>
      <c r="AZ50" t="n">
        <v>30</v>
      </c>
      <c r="BA50" t="n">
        <v>80</v>
      </c>
      <c r="BB50" t="n">
        <v>20</v>
      </c>
      <c r="BC50" t="n">
        <v>88</v>
      </c>
      <c r="BD50" t="n">
        <v>20</v>
      </c>
      <c r="BE50" t="n">
        <v>87</v>
      </c>
      <c r="BH50" t="n">
        <v>20</v>
      </c>
      <c r="BI50" t="n">
        <v>90</v>
      </c>
      <c r="BJ50" t="n">
        <v>20</v>
      </c>
      <c r="BK50" t="n">
        <v>88</v>
      </c>
      <c r="BL50" t="n">
        <v>20</v>
      </c>
      <c r="BM50" t="n">
        <v>88</v>
      </c>
      <c r="BN50" t="n">
        <v>25</v>
      </c>
      <c r="BO50" t="n">
        <v>87</v>
      </c>
      <c r="BP50" t="n">
        <v>25</v>
      </c>
      <c r="BQ50" t="n">
        <v>88</v>
      </c>
      <c r="BR50" t="n">
        <v>25</v>
      </c>
      <c r="BS50" t="n">
        <v>86</v>
      </c>
      <c r="BT50" t="n">
        <v>25</v>
      </c>
      <c r="BU50" t="n">
        <v>88</v>
      </c>
      <c r="BV50" t="n">
        <v>25</v>
      </c>
      <c r="BW50" t="n">
        <v>87</v>
      </c>
      <c r="BX50" t="n">
        <v>25</v>
      </c>
      <c r="BY50" t="n">
        <v>88</v>
      </c>
      <c r="CL50" t="n">
        <v>20</v>
      </c>
      <c r="CM50" t="n">
        <v>90</v>
      </c>
      <c r="CN50" t="n">
        <v>20</v>
      </c>
      <c r="CO50" t="n">
        <v>75</v>
      </c>
      <c r="CP50" t="n">
        <v>20</v>
      </c>
      <c r="CQ50" t="n">
        <v>70</v>
      </c>
      <c r="CR50" t="n">
        <v>1</v>
      </c>
      <c r="CS50" t="n">
        <v>4</v>
      </c>
      <c r="CT50" t="n">
        <v>1</v>
      </c>
      <c r="CU50" t="n">
        <v>4</v>
      </c>
      <c r="CW50"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50" t="inlineStr">
        <is>
          <t>Rarity World Tour Silver Stars Position ST, RW, LW Max PS 10 Max PS+ 1 Details Submit by in 1 month Expiry in 1 month Coins Cost Free Points Cost Free</t>
        </is>
      </c>
      <c r="CY50" t="inlineStr">
        <is>
          <t>Rarity World Tour Silver Stars Position ST, RW, LW Max PS 10 Max PS+ 1 Details Submit by in 1 month Expiry in 1 month Coins Cost Free Points Cost Free</t>
        </is>
      </c>
      <c r="CZ50" t="inlineStr">
        <is>
          <t>WTSS Journey 1 - Attacker [SP 3]</t>
        </is>
      </c>
      <c r="DA50"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1">
      <c r="A51" t="inlineStr">
        <is>
          <t>Reward</t>
        </is>
      </c>
      <c r="B51" t="inlineStr">
        <is>
          <t>Standard Season Pass</t>
        </is>
      </c>
      <c r="C51" t="inlineStr">
        <is>
          <t>WTSS Journey 1 - Midfielder [SP 3] - EA SPORTS FC 26</t>
        </is>
      </c>
      <c r="D51" t="inlineStr">
        <is>
          <t>https://www.fut.gg/evolutions/1925-wtss-journey-1-midfielder-sp-3/</t>
        </is>
      </c>
      <c r="I51" t="inlineStr">
        <is>
          <t>CAM, CM, CDM</t>
        </is>
      </c>
      <c r="K51" t="inlineStr">
        <is>
          <t>World Tour Silver Stars</t>
        </is>
      </c>
      <c r="S51" t="inlineStr">
        <is>
          <t>10</t>
        </is>
      </c>
      <c r="T51" t="inlineStr">
        <is>
          <t>1</t>
        </is>
      </c>
      <c r="X51" t="n">
        <v>60</v>
      </c>
      <c r="Y51" t="n">
        <v>88</v>
      </c>
      <c r="AJ51" t="n">
        <v>20</v>
      </c>
      <c r="AK51" t="n">
        <v>84</v>
      </c>
      <c r="AL51" t="n">
        <v>60</v>
      </c>
      <c r="AM51" t="n">
        <v>85</v>
      </c>
      <c r="AN51" t="n">
        <v>60</v>
      </c>
      <c r="AO51" t="n">
        <v>85</v>
      </c>
      <c r="AP51" t="n">
        <v>20</v>
      </c>
      <c r="AQ51" t="n">
        <v>85</v>
      </c>
      <c r="AR51" t="n">
        <v>20</v>
      </c>
      <c r="AS51" t="n">
        <v>87</v>
      </c>
      <c r="AT51" t="n">
        <v>20</v>
      </c>
      <c r="AU51" t="n">
        <v>87</v>
      </c>
      <c r="AV51" t="n">
        <v>20</v>
      </c>
      <c r="AW51" t="n">
        <v>90</v>
      </c>
      <c r="AX51" t="n">
        <v>20</v>
      </c>
      <c r="AY51" t="n">
        <v>88</v>
      </c>
      <c r="AZ51" t="n">
        <v>20</v>
      </c>
      <c r="BA51" t="n">
        <v>85</v>
      </c>
      <c r="BB51" t="n">
        <v>30</v>
      </c>
      <c r="BC51" t="n">
        <v>86</v>
      </c>
      <c r="BD51" t="n">
        <v>30</v>
      </c>
      <c r="BE51" t="n">
        <v>85</v>
      </c>
      <c r="BH51" t="n">
        <v>30</v>
      </c>
      <c r="BI51" t="n">
        <v>87</v>
      </c>
      <c r="BJ51" t="n">
        <v>30</v>
      </c>
      <c r="BK51" t="n">
        <v>88</v>
      </c>
      <c r="BL51" t="n">
        <v>60</v>
      </c>
      <c r="BM51" t="n">
        <v>86</v>
      </c>
      <c r="BN51" t="n">
        <v>60</v>
      </c>
      <c r="BO51" t="n">
        <v>86</v>
      </c>
      <c r="BP51" t="n">
        <v>60</v>
      </c>
      <c r="BQ51" t="n">
        <v>84</v>
      </c>
      <c r="BR51" t="n">
        <v>30</v>
      </c>
      <c r="BS51" t="n">
        <v>87</v>
      </c>
      <c r="BT51" t="n">
        <v>30</v>
      </c>
      <c r="BU51" t="n">
        <v>85</v>
      </c>
      <c r="BV51" t="n">
        <v>30</v>
      </c>
      <c r="BW51" t="n">
        <v>88</v>
      </c>
      <c r="BX51" t="n">
        <v>30</v>
      </c>
      <c r="BY51" t="n">
        <v>88</v>
      </c>
      <c r="BZ51" t="n">
        <v>30</v>
      </c>
      <c r="CA51" t="n">
        <v>85</v>
      </c>
      <c r="CB51" t="n">
        <v>30</v>
      </c>
      <c r="CC51" t="n">
        <v>88</v>
      </c>
      <c r="CD51" t="n">
        <v>30</v>
      </c>
      <c r="CE51" t="n">
        <v>85</v>
      </c>
      <c r="CF51" t="n">
        <v>30</v>
      </c>
      <c r="CG51" t="n">
        <v>86</v>
      </c>
      <c r="CH51" t="n">
        <v>30</v>
      </c>
      <c r="CI51" t="n">
        <v>88</v>
      </c>
      <c r="CR51" t="n">
        <v>1</v>
      </c>
      <c r="CS51" t="n">
        <v>4</v>
      </c>
      <c r="CT51" t="n">
        <v>1</v>
      </c>
      <c r="CU51" t="n">
        <v>4</v>
      </c>
      <c r="CW51"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1" t="inlineStr">
        <is>
          <t>Rarity World Tour Silver Stars Position CAM, CM, CDM Max PS 10 Max PS+ 1 Details Submit by in 1 month Expiry in 1 month Coins Cost Free Points Cost Free</t>
        </is>
      </c>
      <c r="CY51" t="inlineStr">
        <is>
          <t>Rarity World Tour Silver Stars Position CAM, CM, CDM Max PS 10 Max PS+ 1 Details Submit by in 1 month Expiry in 1 month Coins Cost Free Points Cost Free</t>
        </is>
      </c>
      <c r="CZ51" t="inlineStr">
        <is>
          <t>WTSS Journey 1 - Midfielder [SP 3]</t>
        </is>
      </c>
      <c r="DA51"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2">
      <c r="A52" t="inlineStr">
        <is>
          <t>Reward</t>
        </is>
      </c>
      <c r="B52" t="inlineStr">
        <is>
          <t>Standard Season Pass</t>
        </is>
      </c>
      <c r="C52" t="inlineStr">
        <is>
          <t>WTSS Journey 1 - Defender [SP 3] - EA SPORTS FC 26</t>
        </is>
      </c>
      <c r="D52" t="inlineStr">
        <is>
          <t>https://www.fut.gg/evolutions/1924-wtss-journey-1-defender-sp-3/</t>
        </is>
      </c>
      <c r="I52" t="inlineStr">
        <is>
          <t>CB, LB, RB</t>
        </is>
      </c>
      <c r="K52" t="inlineStr">
        <is>
          <t>World Tour Silver Stars</t>
        </is>
      </c>
      <c r="S52" t="inlineStr">
        <is>
          <t>10</t>
        </is>
      </c>
      <c r="T52" t="inlineStr">
        <is>
          <t>1</t>
        </is>
      </c>
      <c r="X52" t="n">
        <v>60</v>
      </c>
      <c r="Y52" t="n">
        <v>88</v>
      </c>
      <c r="AB52" t="n">
        <v>20</v>
      </c>
      <c r="AC52" t="n">
        <v>70</v>
      </c>
      <c r="AL52" t="n">
        <v>30</v>
      </c>
      <c r="AM52" t="n">
        <v>85</v>
      </c>
      <c r="AN52" t="n">
        <v>30</v>
      </c>
      <c r="AO52" t="n">
        <v>85</v>
      </c>
      <c r="BB52" t="n">
        <v>30</v>
      </c>
      <c r="BC52" t="n">
        <v>75</v>
      </c>
      <c r="BD52" t="n">
        <v>30</v>
      </c>
      <c r="BE52" t="n">
        <v>75</v>
      </c>
      <c r="BH52" t="n">
        <v>30</v>
      </c>
      <c r="BI52" t="n">
        <v>85</v>
      </c>
      <c r="BJ52" t="n">
        <v>30</v>
      </c>
      <c r="BK52" t="n">
        <v>80</v>
      </c>
      <c r="BL52" t="n">
        <v>60</v>
      </c>
      <c r="BM52" t="n">
        <v>80</v>
      </c>
      <c r="BN52" t="n">
        <v>30</v>
      </c>
      <c r="BO52" t="n">
        <v>80</v>
      </c>
      <c r="BP52" t="n">
        <v>15</v>
      </c>
      <c r="BQ52" t="n">
        <v>80</v>
      </c>
      <c r="BR52" t="n">
        <v>30</v>
      </c>
      <c r="BS52" t="n">
        <v>88</v>
      </c>
      <c r="BT52" t="n">
        <v>15</v>
      </c>
      <c r="BU52" t="n">
        <v>85</v>
      </c>
      <c r="BV52" t="n">
        <v>15</v>
      </c>
      <c r="BW52" t="n">
        <v>85</v>
      </c>
      <c r="BX52" t="n">
        <v>30</v>
      </c>
      <c r="BY52" t="n">
        <v>88</v>
      </c>
      <c r="BZ52" t="n">
        <v>30</v>
      </c>
      <c r="CA52" t="n">
        <v>88</v>
      </c>
      <c r="CB52" t="n">
        <v>30</v>
      </c>
      <c r="CC52" t="n">
        <v>87</v>
      </c>
      <c r="CD52" t="n">
        <v>60</v>
      </c>
      <c r="CE52" t="n">
        <v>87</v>
      </c>
      <c r="CF52" t="n">
        <v>60</v>
      </c>
      <c r="CG52" t="n">
        <v>88</v>
      </c>
      <c r="CH52" t="n">
        <v>60</v>
      </c>
      <c r="CI52" t="n">
        <v>86</v>
      </c>
      <c r="CJ52" t="n">
        <v>30</v>
      </c>
      <c r="CK52" t="n">
        <v>80</v>
      </c>
      <c r="CL52" t="n">
        <v>30</v>
      </c>
      <c r="CM52" t="n">
        <v>85</v>
      </c>
      <c r="CN52" t="n">
        <v>30</v>
      </c>
      <c r="CO52" t="n">
        <v>87</v>
      </c>
      <c r="CP52" t="n">
        <v>30</v>
      </c>
      <c r="CQ52" t="n">
        <v>90</v>
      </c>
      <c r="CR52" t="n">
        <v>1</v>
      </c>
      <c r="CS52" t="n">
        <v>4</v>
      </c>
      <c r="CT52" t="n">
        <v>1</v>
      </c>
      <c r="CU52" t="n">
        <v>4</v>
      </c>
      <c r="CW52"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2" t="inlineStr">
        <is>
          <t>Rarity World Tour Silver Stars Position CB, LB, RB Max PS 10 Max PS+ 1 Details Submit by in 1 month Expiry in 1 month Coins Cost Free Points Cost Free</t>
        </is>
      </c>
      <c r="CY52" t="inlineStr">
        <is>
          <t>Rarity World Tour Silver Stars Position CB, LB, RB Max PS 10 Max PS+ 1 Details Submit by in 1 month Expiry in 1 month Coins Cost Free Points Cost Free</t>
        </is>
      </c>
      <c r="CZ52" t="inlineStr">
        <is>
          <t>WTSS Journey 1 - Defender [SP 3]</t>
        </is>
      </c>
      <c r="DA52"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3">
      <c r="A53" t="inlineStr">
        <is>
          <t>Reward</t>
        </is>
      </c>
      <c r="B53" t="inlineStr">
        <is>
          <t>Standard Season Pass</t>
        </is>
      </c>
      <c r="C53" t="inlineStr">
        <is>
          <t>Season Ladder Excellence [SP 27] - EA SPORTS FC 26</t>
        </is>
      </c>
      <c r="D53" t="inlineStr">
        <is>
          <t>https://www.fut.gg/evolutions/1923-season-ladder-excellence-sp-27/</t>
        </is>
      </c>
      <c r="K53" t="inlineStr">
        <is>
          <t>World Tour Silver Stars Details Submit by in 1 month Expiry in 1 month Coins Cost Free Points Cost Free</t>
        </is>
      </c>
      <c r="L53" t="inlineStr">
        <is>
          <t>World Tour Silver Stars Details Submit by in 1 month Expiry in 1 month Coins Cost Free Points Cost Free</t>
        </is>
      </c>
      <c r="CW53" t="inlineStr">
        <is>
          <t>No upgrades Level 1 Shaw 97 ST PAC 95 SHO 97 PAS 84 DRI 91 DEF 40 PHY 92 R 4 ★ 5 Shaw 97 ST PAC 95 SHO 97 PAS 84 DRI 91 DEF 40 PHY 92 R 4 ★ 5 UPGRADES No upgrades</t>
        </is>
      </c>
      <c r="CX53" t="inlineStr">
        <is>
          <t>Excluded Rarity World Tour Silver Stars Details Submit by in 1 month Expiry in 1 month Coins Cost Free Points Cost Free</t>
        </is>
      </c>
      <c r="CY53" t="inlineStr">
        <is>
          <t>Excluded Rarity World Tour Silver Stars Details Submit by in 1 month Expiry in 1 month Coins Cost Free Points Cost Free</t>
        </is>
      </c>
      <c r="CZ53" t="inlineStr">
        <is>
          <t>Season Ladder Excellence [SP 27]</t>
        </is>
      </c>
      <c r="DA53"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4">
      <c r="A54" t="inlineStr">
        <is>
          <t>Reward</t>
        </is>
      </c>
      <c r="B54" t="inlineStr">
        <is>
          <t>Objective</t>
        </is>
      </c>
      <c r="C54" t="inlineStr">
        <is>
          <t>Crunch Time - EA SPORTS FC 26</t>
        </is>
      </c>
      <c r="D54" t="inlineStr">
        <is>
          <t>https://www.fut.gg/evolutions/1903-crunch-time/</t>
        </is>
      </c>
      <c r="G54" t="inlineStr">
        <is>
          <t>91</t>
        </is>
      </c>
      <c r="K54" t="inlineStr">
        <is>
          <t>World Tour Silver Stars</t>
        </is>
      </c>
      <c r="L54" t="inlineStr">
        <is>
          <t>World Tour Silver Stars</t>
        </is>
      </c>
      <c r="S54" t="inlineStr">
        <is>
          <t>10</t>
        </is>
      </c>
      <c r="T54" t="inlineStr">
        <is>
          <t>2</t>
        </is>
      </c>
      <c r="AH54" t="n">
        <v>2</v>
      </c>
      <c r="AI54" t="n">
        <v>92</v>
      </c>
      <c r="CW54" t="inlineStr">
        <is>
          <t>+2 DEF 92 2 8 Level 1 Lamine Yamal 91 RW PAC 87 SHO 83 PAS 88 DRI 92 DEF 25 PHY 55 RM L 5 ★ 3 Lamine Yamal 91 RW PAC 87 SHO 83 PAS 88 DRI 92 DEF 25 PHY 55 RM L 5 ★ 3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Crunch Time</t>
        </is>
      </c>
      <c r="DA54"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5">
      <c r="A55" t="inlineStr">
        <is>
          <t>Reward</t>
        </is>
      </c>
      <c r="B55" t="inlineStr">
        <is>
          <t>Objective</t>
        </is>
      </c>
      <c r="C55" t="inlineStr">
        <is>
          <t>Passing Technician - EA SPORTS FC 26</t>
        </is>
      </c>
      <c r="D55" t="inlineStr">
        <is>
          <t>https://www.fut.gg/evolutions/1897-passing-technician/</t>
        </is>
      </c>
      <c r="G55" t="inlineStr">
        <is>
          <t>91</t>
        </is>
      </c>
      <c r="K55" t="inlineStr">
        <is>
          <t>World Tour Silver Stars</t>
        </is>
      </c>
      <c r="L55" t="inlineStr">
        <is>
          <t>World Tour Silver Stars</t>
        </is>
      </c>
      <c r="S55" t="inlineStr">
        <is>
          <t>10</t>
        </is>
      </c>
      <c r="T55" t="inlineStr">
        <is>
          <t>2</t>
        </is>
      </c>
      <c r="CW55" t="inlineStr">
        <is>
          <t>2 8 Level 1 Doué 91 RW PAC 91 SHO 87 PAS 86 DRI 95 DEF 61 PHY 83 RM CM LW R 5 ★ 4 Doué 91 RW PAC 91 SHO 87 PAS 86 DRI 95 DEF 61 PHY 83 RM CM LW R 5 ★ 4 UPGRADES 8</t>
        </is>
      </c>
      <c r="CX55" t="inlineStr">
        <is>
          <t>Excluded Rarity World Tour Silver Stars Overall Max. 91 Max PS 10 Max PS+ 2 Details Submit by in 8 months Expiry in 8 months Coins Cost Free Points Cost Free</t>
        </is>
      </c>
      <c r="CY55" t="inlineStr">
        <is>
          <t>Excluded Rarity World Tour Silver Stars Overall Max. 91 Max PS 10 Max PS+ 2 Details Submit by in 8 months Expiry in 8 months Coins Cost Free Points Cost Free</t>
        </is>
      </c>
      <c r="CZ55" t="inlineStr">
        <is>
          <t>Passing Technician</t>
        </is>
      </c>
      <c r="DA55"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6">
      <c r="A56" t="inlineStr">
        <is>
          <t>Reward</t>
        </is>
      </c>
      <c r="B56" t="inlineStr">
        <is>
          <t>Objective</t>
        </is>
      </c>
      <c r="C56" t="inlineStr">
        <is>
          <t>All-Around Impact - EA SPORTS FC 26</t>
        </is>
      </c>
      <c r="D56" t="inlineStr">
        <is>
          <t>https://www.fut.gg/evolutions/1875-all-around-impact/</t>
        </is>
      </c>
      <c r="G56" t="inlineStr">
        <is>
          <t>91</t>
        </is>
      </c>
      <c r="K56" t="inlineStr">
        <is>
          <t>World Tour Silver Stars</t>
        </is>
      </c>
      <c r="L56" t="inlineStr">
        <is>
          <t>World Tour Silver Stars</t>
        </is>
      </c>
      <c r="X56" t="n">
        <v>2</v>
      </c>
      <c r="Z56" t="n">
        <v>4</v>
      </c>
      <c r="AA56" t="n">
        <v>92</v>
      </c>
      <c r="AB56" t="n">
        <v>4</v>
      </c>
      <c r="AC56" t="n">
        <v>91</v>
      </c>
      <c r="AD56" t="n">
        <v>4</v>
      </c>
      <c r="AE56" t="n">
        <v>92</v>
      </c>
      <c r="AF56" t="n">
        <v>6</v>
      </c>
      <c r="AG56" t="n">
        <v>93</v>
      </c>
      <c r="AH56" t="n">
        <v>4</v>
      </c>
      <c r="AI56" t="n">
        <v>90</v>
      </c>
      <c r="AJ56" t="n">
        <v>2</v>
      </c>
      <c r="AK56" t="n">
        <v>89</v>
      </c>
      <c r="CW56"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6" t="inlineStr">
        <is>
          <t>Excluded Rarity World Tour Silver Stars Overall Max. 91 Details Submit by in 7 months Expiry in 7 months Coins Cost Free Points Cost Free</t>
        </is>
      </c>
      <c r="CY56" t="inlineStr">
        <is>
          <t>Excluded Rarity World Tour Silver Stars Overall Max. 91 Details Submit by in 7 months Expiry in 7 months Coins Cost Free Points Cost Free</t>
        </is>
      </c>
      <c r="CZ56" t="inlineStr">
        <is>
          <t>All-Around Impact</t>
        </is>
      </c>
      <c r="DA56"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7">
      <c r="A57" t="inlineStr">
        <is>
          <t>Reward</t>
        </is>
      </c>
      <c r="B57" t="inlineStr">
        <is>
          <t>Objective</t>
        </is>
      </c>
      <c r="C57" t="inlineStr">
        <is>
          <t>Quick Step+ - EA SPORTS FC 26</t>
        </is>
      </c>
      <c r="D57" t="inlineStr">
        <is>
          <t>https://www.fut.gg/evolutions/1874-quick-step/</t>
        </is>
      </c>
      <c r="G57" t="inlineStr">
        <is>
          <t>91</t>
        </is>
      </c>
      <c r="K57" t="inlineStr">
        <is>
          <t>World Tour Silver Stars</t>
        </is>
      </c>
      <c r="L57" t="inlineStr">
        <is>
          <t>World Tour Silver Stars</t>
        </is>
      </c>
      <c r="T57" t="inlineStr">
        <is>
          <t>1</t>
        </is>
      </c>
      <c r="CW57" t="inlineStr">
        <is>
          <t>2 Level 1 Dembélé 91 CAM PAC 92 SHO 89 PAS 90 DRI 94 DEF 53 PHY 70 RW ST L 5 ★ 5 Dembélé 91 CAM PAC 92 SHO 89 PAS 90 DRI 94 DEF 53 PHY 70 RW ST L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Quick Step+</t>
        </is>
      </c>
      <c r="DA57"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8">
      <c r="A58" t="inlineStr">
        <is>
          <t>Reward</t>
        </is>
      </c>
      <c r="B58" t="inlineStr">
        <is>
          <t>Objective</t>
        </is>
      </c>
      <c r="C58" t="inlineStr">
        <is>
          <t>Finesse Shot+ - EA SPORTS FC 26</t>
        </is>
      </c>
      <c r="D58" t="inlineStr">
        <is>
          <t>https://www.fut.gg/evolutions/1873-finesse-shot/</t>
        </is>
      </c>
      <c r="G58" t="inlineStr">
        <is>
          <t>91</t>
        </is>
      </c>
      <c r="K58" t="inlineStr">
        <is>
          <t>World Tour Silver Stars</t>
        </is>
      </c>
      <c r="L58" t="inlineStr">
        <is>
          <t>World Tour Silver Stars</t>
        </is>
      </c>
      <c r="T58" t="inlineStr">
        <is>
          <t>1</t>
        </is>
      </c>
      <c r="CW58" t="inlineStr">
        <is>
          <t>2 Level 1 Doku 91 LW PAC 97 SHO 86 PAS 84 DRI 93 DEF 45 PHY 82 LM RW R 5 ★ 5 Doku 91 LW PAC 97 SHO 86 PAS 84 DRI 93 DEF 45 PHY 82 LM RW R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Finesse Shot+</t>
        </is>
      </c>
      <c r="DA58"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9">
      <c r="A59" t="inlineStr">
        <is>
          <t>Reward</t>
        </is>
      </c>
      <c r="B59" t="inlineStr">
        <is>
          <t>Objective</t>
        </is>
      </c>
      <c r="C59" t="inlineStr">
        <is>
          <t>Technical+ - EA SPORTS FC 26</t>
        </is>
      </c>
      <c r="D59" t="inlineStr">
        <is>
          <t>https://www.fut.gg/evolutions/1872-technical/</t>
        </is>
      </c>
      <c r="G59" t="inlineStr">
        <is>
          <t>91</t>
        </is>
      </c>
      <c r="K59" t="inlineStr">
        <is>
          <t>World Tour Silver Stars</t>
        </is>
      </c>
      <c r="L59" t="inlineStr">
        <is>
          <t>World Tour Silver Stars</t>
        </is>
      </c>
      <c r="T59" t="inlineStr">
        <is>
          <t>1</t>
        </is>
      </c>
      <c r="CW59" t="inlineStr">
        <is>
          <t>2 Level 1 Dybala 91 CAM PAC 90 SHO 90 PAS 90 DRI 92 DEF 50 PHY 75 RW ST L 5 ★ 5 Dybala 91 CAM PAC 90 SHO 90 PAS 90 DRI 92 DEF 50 PHY 75 RW ST L 5 ★ 5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Technical+</t>
        </is>
      </c>
      <c r="DA59"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60">
      <c r="A60" t="inlineStr">
        <is>
          <t>Reward</t>
        </is>
      </c>
      <c r="B60" t="inlineStr">
        <is>
          <t>Objective</t>
        </is>
      </c>
      <c r="C60" t="inlineStr">
        <is>
          <t>Anticipate+ - EA SPORTS FC 26</t>
        </is>
      </c>
      <c r="D60" t="inlineStr">
        <is>
          <t>https://www.fut.gg/evolutions/1871-anticipate/</t>
        </is>
      </c>
      <c r="G60" t="inlineStr">
        <is>
          <t>91</t>
        </is>
      </c>
      <c r="K60" t="inlineStr">
        <is>
          <t>World Tour Silver Stars</t>
        </is>
      </c>
      <c r="L60" t="inlineStr">
        <is>
          <t>World Tour Silver Stars</t>
        </is>
      </c>
      <c r="T60" t="inlineStr">
        <is>
          <t>1</t>
        </is>
      </c>
      <c r="CW60" t="inlineStr">
        <is>
          <t>2 Level 1 Vitinha 91 CM PAC 85 SHO 82 PAS 88 DRI 92 DEF 80 PHY 73 CDM CAM R 5 ★ 4 Vitinha 91 CM PAC 85 SHO 82 PAS 88 DRI 92 DEF 80 PHY 73 CDM CAM R 5 ★ 4 UPGRADES 2</t>
        </is>
      </c>
      <c r="CX60" t="inlineStr">
        <is>
          <t>Excluded Rarity World Tour Silver Stars Overall Max. 91 Max PS+ 1 Details Submit by in 7 months Expiry in 7 months Coins Cost Free Points Cost Free</t>
        </is>
      </c>
      <c r="CY60" t="inlineStr">
        <is>
          <t>Excluded Rarity World Tour Silver Stars Overall Max. 91 Max PS+ 1 Details Submit by in 7 months Expiry in 7 months Coins Cost Free Points Cost Free</t>
        </is>
      </c>
      <c r="CZ60" t="inlineStr">
        <is>
          <t>Anticipate+</t>
        </is>
      </c>
      <c r="DA60"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1">
      <c r="A61" t="inlineStr">
        <is>
          <t>Reward</t>
        </is>
      </c>
      <c r="B61" t="inlineStr">
        <is>
          <t>Objective</t>
        </is>
      </c>
      <c r="C61" t="inlineStr">
        <is>
          <t>Finesse Shot - EA SPORTS FC 26</t>
        </is>
      </c>
      <c r="D61" t="inlineStr">
        <is>
          <t>https://www.fut.gg/evolutions/1854-finesse-shot/</t>
        </is>
      </c>
      <c r="G61" t="inlineStr">
        <is>
          <t>88</t>
        </is>
      </c>
      <c r="K61" t="inlineStr">
        <is>
          <t>World Tour Silver Stars</t>
        </is>
      </c>
      <c r="L61" t="inlineStr">
        <is>
          <t>World Tour Silver Stars</t>
        </is>
      </c>
      <c r="S61" t="inlineStr">
        <is>
          <t>7</t>
        </is>
      </c>
      <c r="CW61" t="inlineStr">
        <is>
          <t>8 Level 1 Rodman 88 ST PAC 91 SHO 88 PAS 81 DRI 86 DEF 70 PHY 86 RM RW R 4 ★ 5 Rodman 88 ST PAC 91 SHO 88 PAS 81 DRI 86 DEF 70 PHY 86 RM RW R 4 ★ 5 UPGRADES 8</t>
        </is>
      </c>
      <c r="CX61" t="inlineStr">
        <is>
          <t>Excluded Rarity World Tour Silver Stars Overall Max. 88 Max PS 7 Details Submit by in 9 days Expiry in 9 days Coins Cost Free Points Cost Free</t>
        </is>
      </c>
      <c r="CY61" t="inlineStr">
        <is>
          <t>Excluded Rarity World Tour Silver Stars Overall Max. 88 Max PS 7 Details Submit by in 9 days Expiry in 9 days Coins Cost Free Points Cost Free</t>
        </is>
      </c>
      <c r="CZ61" t="inlineStr">
        <is>
          <t>Finesse Shot</t>
        </is>
      </c>
      <c r="DA61"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9 days in 9 days 28% 72%</t>
        </is>
      </c>
    </row>
    <row r="62">
      <c r="A62" t="inlineStr">
        <is>
          <t>Reward</t>
        </is>
      </c>
      <c r="B62" t="inlineStr">
        <is>
          <t>Objective</t>
        </is>
      </c>
      <c r="C62" t="inlineStr">
        <is>
          <t>Low Driven Shot+ - EA SPORTS FC 26</t>
        </is>
      </c>
      <c r="D62" t="inlineStr">
        <is>
          <t>https://www.fut.gg/evolutions/1818-low-driven-shot/</t>
        </is>
      </c>
      <c r="G62" t="inlineStr">
        <is>
          <t>90</t>
        </is>
      </c>
      <c r="K62" t="inlineStr">
        <is>
          <t>World Tour Silver Stars</t>
        </is>
      </c>
      <c r="L62" t="inlineStr">
        <is>
          <t>World Tour Silver Stars</t>
        </is>
      </c>
      <c r="T62" t="inlineStr">
        <is>
          <t>1</t>
        </is>
      </c>
      <c r="CW62" t="inlineStr">
        <is>
          <t>2 Level 1 Szoboszlai 90 CAM PAC 87 SHO 90 PAS 90 DRI 92 DEF 80 PHY 85 RB CM R 5 ★ 5 Szoboszlai 90 CAM PAC 87 SHO 90 PAS 90 DRI 92 DEF 80 PHY 85 RB CM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Low Driven Shot+</t>
        </is>
      </c>
      <c r="DA62"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3">
      <c r="A63" t="inlineStr">
        <is>
          <t>Reward</t>
        </is>
      </c>
      <c r="B63" t="inlineStr">
        <is>
          <t>Objective</t>
        </is>
      </c>
      <c r="C63" t="inlineStr">
        <is>
          <t>Intercept+ - EA SPORTS FC 26</t>
        </is>
      </c>
      <c r="D63" t="inlineStr">
        <is>
          <t>https://www.fut.gg/evolutions/1812-intercept/</t>
        </is>
      </c>
      <c r="G63" t="inlineStr">
        <is>
          <t>90</t>
        </is>
      </c>
      <c r="K63" t="inlineStr">
        <is>
          <t>World Tour Silver Stars</t>
        </is>
      </c>
      <c r="L63" t="inlineStr">
        <is>
          <t>World Tour Silver Stars</t>
        </is>
      </c>
      <c r="T63" t="inlineStr">
        <is>
          <t>1</t>
        </is>
      </c>
      <c r="CW63" t="inlineStr">
        <is>
          <t>2 Level 1 Dumornay 90 ST PAC 96 SHO 90 PAS 85 DRI 90 DEF 66 PHY 80 CAM R 5 ★ 5 Dumornay 90 ST PAC 96 SHO 90 PAS 85 DRI 90 DEF 66 PHY 80 CAM R 5 ★ 5 UPGRADES 2</t>
        </is>
      </c>
      <c r="CX63" t="inlineStr">
        <is>
          <t>Excluded Rarity World Tour Silver Stars Overall Max. 90 Max PS+ 1 Details Submit by in 7 months Expiry in 7 months Coins Cost Free Points Cost Free</t>
        </is>
      </c>
      <c r="CY63" t="inlineStr">
        <is>
          <t>Excluded Rarity World Tour Silver Stars Overall Max. 90 Max PS+ 1 Details Submit by in 7 months Expiry in 7 months Coins Cost Free Points Cost Free</t>
        </is>
      </c>
      <c r="CZ63" t="inlineStr">
        <is>
          <t>Intercept+</t>
        </is>
      </c>
      <c r="DA63"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4">
      <c r="A64" t="inlineStr">
        <is>
          <t>Reward</t>
        </is>
      </c>
      <c r="B64" t="inlineStr">
        <is>
          <t>Premium Season Pass</t>
        </is>
      </c>
      <c r="C64" t="inlineStr">
        <is>
          <t>Architect of Play [SP+ 4] - EA SPORTS FC 26</t>
        </is>
      </c>
      <c r="D64" t="inlineStr">
        <is>
          <t>https://www.fut.gg/evolutions/1789-architect-of-play-sp-4/</t>
        </is>
      </c>
      <c r="G64" t="inlineStr">
        <is>
          <t>89</t>
        </is>
      </c>
      <c r="K64" t="inlineStr">
        <is>
          <t>World Tour Silver Stars</t>
        </is>
      </c>
      <c r="L64" t="inlineStr">
        <is>
          <t>World Tour Silver Stars</t>
        </is>
      </c>
      <c r="S64" t="inlineStr">
        <is>
          <t>8</t>
        </is>
      </c>
      <c r="CW64" t="inlineStr">
        <is>
          <t>9 Level 1 Prinz 89 ST PAC 91 SHO 90 PAS 80 DRI 88 DEF 53 PHY 91 R 4 ★ 4 Prinz 89 ST PAC 91 SHO 90 PAS 80 DRI 88 DEF 53 PHY 91 R 4 ★ 4 UPGRADES 9</t>
        </is>
      </c>
      <c r="CX64" t="inlineStr">
        <is>
          <t>Excluded Rarity World Tour Silver Stars Overall Max. 89 Max PS 8 Details Submit by in 5 months Expiry 19 hours ago Coins Cost Free Points Cost Free</t>
        </is>
      </c>
      <c r="CY64" t="inlineStr">
        <is>
          <t>Excluded Rarity World Tour Silver Stars Overall Max. 89 Max PS 8 Details Submit by in 5 months Expiry 19 hours ago Coins Cost Free Points Cost Free</t>
        </is>
      </c>
      <c r="CZ64" t="inlineStr">
        <is>
          <t>Architect of Play [SP+ 4] 2</t>
        </is>
      </c>
      <c r="DA64"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19 hours ago 91% 9%</t>
        </is>
      </c>
    </row>
    <row r="65">
      <c r="A65" t="inlineStr">
        <is>
          <t>Reward</t>
        </is>
      </c>
      <c r="B65" t="inlineStr">
        <is>
          <t>Standard Season Pass</t>
        </is>
      </c>
      <c r="C65" t="inlineStr">
        <is>
          <t>Make Your Idol - Tiki Taka+ [SP 3] - EA SPORTS FC 26</t>
        </is>
      </c>
      <c r="D65" t="inlineStr">
        <is>
          <t>https://www.fut.gg/evolutions/1790-make-your-idol-tiki-taka-sp-3/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19 hours ago Coins Cost Free Points Cost Free</t>
        </is>
      </c>
      <c r="CY65" t="inlineStr">
        <is>
          <t>Rarity Choose Your Idol Overall Min. 87 Overall Max. 87 Max PS+ 0 Details Submit by in 5 months Expiry 19 hours ago Coins Cost Free Points Cost Free</t>
        </is>
      </c>
      <c r="CZ65" t="inlineStr">
        <is>
          <t>Make Your Idol - Tiki Taka+ [SP 3]</t>
        </is>
      </c>
      <c r="DA65" t="inlineStr">
        <is>
          <t>Make Your Idol - Tiki Taka+ [SP 3] Unlocked by reaching level 3 in the Standard Season Pass. REQUIREMENTS Rarity Choose Your Idol Overall Min. 87 Overall Max. 87 Max PS+ 0 UPGRADES 1 in 5 months 19 hours ago 69% 31%</t>
        </is>
      </c>
    </row>
    <row r="66">
      <c r="A66" t="inlineStr">
        <is>
          <t>Reward</t>
        </is>
      </c>
      <c r="B66" t="inlineStr">
        <is>
          <t>Standard Season Pass</t>
        </is>
      </c>
      <c r="C66" t="inlineStr">
        <is>
          <t>Make Your Idol - Incisive Pass+ [SP 3] - EA SPORTS FC 26</t>
        </is>
      </c>
      <c r="D66" t="inlineStr">
        <is>
          <t>https://www.fut.gg/evolutions/1791-make-your-idol-incisive-pass-sp-3/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19 hours ago Coins Cost Free Points Cost Free</t>
        </is>
      </c>
      <c r="CY66" t="inlineStr">
        <is>
          <t>Rarity Choose Your Idol Overall Min. 87 Overall Max. 87 Max PS+ 0 Details Submit by in 5 months Expiry 19 hours ago Coins Cost Free Points Cost Free</t>
        </is>
      </c>
      <c r="CZ66" t="inlineStr">
        <is>
          <t>Make Your Idol - Incisive Pass+ [SP 3]</t>
        </is>
      </c>
      <c r="DA66" t="inlineStr">
        <is>
          <t>Make Your Idol - Incisive Pass+ [SP 3] Unlocked by reaching level 3 in the Standard Season Pass. REQUIREMENTS Rarity Choose Your Idol Overall Min. 87 Overall Max. 87 Max PS+ 0 UPGRADES 1 in 5 months 19 hours ago 68% 32%</t>
        </is>
      </c>
    </row>
    <row r="67">
      <c r="A67" t="inlineStr">
        <is>
          <t>Reward</t>
        </is>
      </c>
      <c r="B67" t="inlineStr">
        <is>
          <t>Standard Season Pass</t>
        </is>
      </c>
      <c r="C67" t="inlineStr">
        <is>
          <t>Make Your Idol - Low Driven+ [SP 3] - EA SPORTS FC 26</t>
        </is>
      </c>
      <c r="D67" t="inlineStr">
        <is>
          <t>https://www.fut.gg/evolutions/1792-make-your-idol-low-driven-sp-3/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19 hours ago Coins Cost Free Points Cost Free</t>
        </is>
      </c>
      <c r="CY67" t="inlineStr">
        <is>
          <t>Rarity Choose Your Idol Overall Min. 87 Overall Max. 87 Max PS+ 0 Details Submit by in 5 months Expiry 19 hours ago Coins Cost Free Points Cost Free</t>
        </is>
      </c>
      <c r="CZ67" t="inlineStr">
        <is>
          <t>Make Your Idol - Low Driven+ [SP 3]</t>
        </is>
      </c>
      <c r="DA67" t="inlineStr">
        <is>
          <t>Make Your Idol - Low Driven+ [SP 3] Unlocked by reaching level 3 in the Standard Season Pass. REQUIREMENTS Rarity Choose Your Idol Overall Min. 87 Overall Max. 87 Max PS+ 0 UPGRADES 1 in 5 months 19 hours ago 26% 74%</t>
        </is>
      </c>
    </row>
    <row r="68">
      <c r="A68" t="inlineStr">
        <is>
          <t>Reward</t>
        </is>
      </c>
      <c r="B68" t="inlineStr">
        <is>
          <t>Standard Season Pass</t>
        </is>
      </c>
      <c r="C68" t="inlineStr">
        <is>
          <t>Make Your Idol - Technical+ [SP 3] - EA SPORTS FC 26</t>
        </is>
      </c>
      <c r="D68" t="inlineStr">
        <is>
          <t>https://www.fut.gg/evolutions/1793-make-your-idol-technical-sp-3/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19 hours ago Coins Cost Free Points Cost Free</t>
        </is>
      </c>
      <c r="CY68" t="inlineStr">
        <is>
          <t>Rarity Choose Your Idol Overall Min. 87 Overall Max. 87 Max PS+ 0 Details Submit by in 5 months Expiry 19 hours ago Coins Cost Free Points Cost Free</t>
        </is>
      </c>
      <c r="CZ68" t="inlineStr">
        <is>
          <t>Make Your Idol - Technical+ [SP 3]</t>
        </is>
      </c>
      <c r="DA68" t="inlineStr">
        <is>
          <t>Make Your Idol - Technical+ [SP 3] Unlocked by reaching level 3 in the Standard Season Pass. REQUIREMENTS Rarity Choose Your Idol Overall Min. 87 Overall Max. 87 Max PS+ 0 UPGRADES 1 in 5 months 19 hours ago 29% 71%</t>
        </is>
      </c>
    </row>
    <row r="69">
      <c r="A69" t="inlineStr">
        <is>
          <t>Reward</t>
        </is>
      </c>
      <c r="B69" t="inlineStr">
        <is>
          <t>Standard Season Pass</t>
        </is>
      </c>
      <c r="C69" t="inlineStr">
        <is>
          <t>Make Your Idol - Jockey+ [SP 3] - EA SPORTS FC 26</t>
        </is>
      </c>
      <c r="D69" t="inlineStr">
        <is>
          <t>https://www.fut.gg/evolutions/1794-make-your-idol-jockey-sp-3/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19 hours ago Coins Cost Free Points Cost Free</t>
        </is>
      </c>
      <c r="CY69" t="inlineStr">
        <is>
          <t>Rarity Choose Your Idol Overall Min. 87 Overall Max. 87 Max PS+ 0 Details Submit by in 5 months Expiry 19 hours ago Coins Cost Free Points Cost Free</t>
        </is>
      </c>
      <c r="CZ69" t="inlineStr">
        <is>
          <t>Make Your Idol - Jockey+ [SP 3]</t>
        </is>
      </c>
      <c r="DA69" t="inlineStr">
        <is>
          <t>Make Your Idol - Jockey+ [SP 3] Unlocked by reaching level 3 in the Standard Season Pass. REQUIREMENTS Rarity Choose Your Idol Overall Min. 87 Overall Max. 87 Max PS+ 0 UPGRADES 1 in 5 months 19 hours ago 25% 75%</t>
        </is>
      </c>
    </row>
    <row r="70">
      <c r="A70" t="inlineStr">
        <is>
          <t>Reward</t>
        </is>
      </c>
      <c r="B70" t="inlineStr">
        <is>
          <t>Standard Season Pass</t>
        </is>
      </c>
      <c r="C70" t="inlineStr">
        <is>
          <t>Make Your Idol - Intercept+ [SP 3] - EA SPORTS FC 26</t>
        </is>
      </c>
      <c r="D70" t="inlineStr">
        <is>
          <t>https://www.fut.gg/evolutions/1795-make-your-idol-intercept-sp-3/</t>
        </is>
      </c>
      <c r="G70" t="inlineStr">
        <is>
          <t>87</t>
        </is>
      </c>
      <c r="H70" t="inlineStr">
        <is>
          <t>87</t>
        </is>
      </c>
      <c r="K70" t="inlineStr">
        <is>
          <t>Choose Your Idol</t>
        </is>
      </c>
      <c r="T70" t="inlineStr">
        <is>
          <t>0</t>
        </is>
      </c>
      <c r="CW70" t="inlineStr">
        <is>
          <t>1 Level 1 UPGRADES 1</t>
        </is>
      </c>
      <c r="CX70" t="inlineStr">
        <is>
          <t>Rarity Choose Your Idol Overall Min. 87 Overall Max. 87 Max PS+ 0 Details Submit by in 5 months Expiry 19 hours ago Coins Cost Free Points Cost Free</t>
        </is>
      </c>
      <c r="CY70" t="inlineStr">
        <is>
          <t>Rarity Choose Your Idol Overall Min. 87 Overall Max. 87 Max PS+ 0 Details Submit by in 5 months Expiry 19 hours ago Coins Cost Free Points Cost Free</t>
        </is>
      </c>
      <c r="CZ70" t="inlineStr">
        <is>
          <t>Make Your Idol - Intercept+ [SP 3]</t>
        </is>
      </c>
      <c r="DA70" t="inlineStr">
        <is>
          <t>Make Your Idol - Intercept+ [SP 3] Unlocked by reaching level 3 in the Standard Season Pass. REQUIREMENTS Rarity Choose Your Idol Overall Min. 87 Overall Max. 87 Max PS+ 0 UPGRADES 1 in 5 months 19 hours ago 38% 62%</t>
        </is>
      </c>
    </row>
    <row r="71">
      <c r="A71" t="inlineStr">
        <is>
          <t>Reward</t>
        </is>
      </c>
      <c r="B71" t="inlineStr">
        <is>
          <t>Standard Season Pass</t>
        </is>
      </c>
      <c r="C71" t="inlineStr">
        <is>
          <t>Make Your Idol - Finesse Shot+ [SP 7] - EA SPORTS FC 26</t>
        </is>
      </c>
      <c r="D71" t="inlineStr">
        <is>
          <t>https://www.fut.gg/evolutions/1796-make-your-idol-finesse-shot-sp-7/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19 hours ago Coins Cost Free Points Cost Free</t>
        </is>
      </c>
      <c r="CY71" t="inlineStr">
        <is>
          <t>Rarity Choose Your Idol Overall Min. 89 Overall Max. 89 Min PS+ 1 Max PS+ 2 Details Submit by in 5 months Expiry 19 hours ago Coins Cost Free Points Cost Free</t>
        </is>
      </c>
      <c r="CZ71" t="inlineStr">
        <is>
          <t>Make Your Idol - Finesse Shot+ [SP 7]</t>
        </is>
      </c>
      <c r="DA71" t="inlineStr">
        <is>
          <t>Make Your Idol - Finesse Shot+ [SP 7] Unlocked by reaching level 7 in the Standard Season Pass. REQUIREMENTS Rarity Choose Your Idol Overall Min. 89 Overall Max. 89 Min PS+ 1 Max PS+ 2 UPGRADES 2 in 5 months 19 hours ago 44% 56%</t>
        </is>
      </c>
    </row>
    <row r="72">
      <c r="A72" t="inlineStr">
        <is>
          <t>Reward</t>
        </is>
      </c>
      <c r="B72" t="inlineStr">
        <is>
          <t>Standard Season Pass</t>
        </is>
      </c>
      <c r="C72" t="inlineStr">
        <is>
          <t>Make Your Idol - First Touch+ [SP 7] - EA SPORTS FC 26</t>
        </is>
      </c>
      <c r="D72" t="inlineStr">
        <is>
          <t>https://www.fut.gg/evolutions/1797-make-your-idol-first-touch-sp-7/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19 hours ago Coins Cost Free Points Cost Free</t>
        </is>
      </c>
      <c r="CY72" t="inlineStr">
        <is>
          <t>Rarity Choose Your Idol Overall Min. 89 Overall Max. 89 Min PS+ 1 Max PS+ 2 Details Submit by in 5 months Expiry 19 hours ago Coins Cost Free Points Cost Free</t>
        </is>
      </c>
      <c r="CZ72" t="inlineStr">
        <is>
          <t>Make Your Idol - First Touch+ [SP 7]</t>
        </is>
      </c>
      <c r="DA72" t="inlineStr">
        <is>
          <t>Make Your Idol - First Touch+ [SP 7] Unlocked by reaching level 7 in the Standard Season Pass. REQUIREMENTS Rarity Choose Your Idol Overall Min. 89 Overall Max. 89 Min PS+ 1 Max PS+ 2 UPGRADES 2 in 5 months 19 hours ago 26% 74%</t>
        </is>
      </c>
    </row>
    <row r="73">
      <c r="A73" t="inlineStr">
        <is>
          <t>Reward</t>
        </is>
      </c>
      <c r="B73" t="inlineStr">
        <is>
          <t>Standard Season Pass</t>
        </is>
      </c>
      <c r="C73" t="inlineStr">
        <is>
          <t>Make Your Idol - Pinged Pass+ [SP 7] - EA SPORTS FC 26</t>
        </is>
      </c>
      <c r="D73" t="inlineStr">
        <is>
          <t>https://www.fut.gg/evolutions/1798-make-your-idol-pinged-pass-sp-7/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19 hours ago Coins Cost Free Points Cost Free</t>
        </is>
      </c>
      <c r="CY73" t="inlineStr">
        <is>
          <t>Rarity Choose Your Idol Overall Min. 89 Overall Max. 89 Min PS+ 1 Max PS+ 2 Details Submit by in 5 months Expiry 19 hours ago Coins Cost Free Points Cost Free</t>
        </is>
      </c>
      <c r="CZ73" t="inlineStr">
        <is>
          <t>Make Your Idol - Pinged Pass+ [SP 7]</t>
        </is>
      </c>
      <c r="DA73" t="inlineStr">
        <is>
          <t>Make Your Idol - Pinged Pass+ [SP 7] Unlocked by reaching level 7 in the Standard Season Pass. REQUIREMENTS Rarity Choose Your Idol Overall Min. 89 Overall Max. 89 Min PS+ 1 Max PS+ 2 UPGRADES 2 in 5 months 19 hours ago 33% 67%</t>
        </is>
      </c>
    </row>
    <row r="74">
      <c r="A74" t="inlineStr">
        <is>
          <t>Reward</t>
        </is>
      </c>
      <c r="B74" t="inlineStr">
        <is>
          <t>Standard Season Pass</t>
        </is>
      </c>
      <c r="C74" t="inlineStr">
        <is>
          <t>Make Your Idol - Rapid+ [SP 7] - EA SPORTS FC 26</t>
        </is>
      </c>
      <c r="D74" t="inlineStr">
        <is>
          <t>https://www.fut.gg/evolutions/1799-make-your-idol-rapid-sp-7/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19 hours ago Coins Cost Free Points Cost Free</t>
        </is>
      </c>
      <c r="CY74" t="inlineStr">
        <is>
          <t>Rarity Choose Your Idol Overall Min. 89 Overall Max. 89 Min PS+ 1 Max PS+ 2 Details Submit by in 5 months Expiry 19 hours ago Coins Cost Free Points Cost Free</t>
        </is>
      </c>
      <c r="CZ74" t="inlineStr">
        <is>
          <t>Make Your Idol - Rapid+ [SP 7]</t>
        </is>
      </c>
      <c r="DA74" t="inlineStr">
        <is>
          <t>Make Your Idol - Rapid+ [SP 7] Unlocked by reaching level 7 in the Standard Season Pass. REQUIREMENTS Rarity Choose Your Idol Overall Min. 89 Overall Max. 89 Min PS+ 1 Max PS+ 2 UPGRADES 2 in 5 months 19 hours ago 37% 63%</t>
        </is>
      </c>
    </row>
    <row r="75">
      <c r="A75" t="inlineStr">
        <is>
          <t>Reward</t>
        </is>
      </c>
      <c r="B75" t="inlineStr">
        <is>
          <t>Standard Season Pass</t>
        </is>
      </c>
      <c r="C75" t="inlineStr">
        <is>
          <t>Make Your Idol - Quick Step+ [SP 7] - EA SPORTS FC 26</t>
        </is>
      </c>
      <c r="D75" t="inlineStr">
        <is>
          <t>https://www.fut.gg/evolutions/1800-make-your-idol-quick-step-sp-7/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19 hours ago Coins Cost Free Points Cost Free</t>
        </is>
      </c>
      <c r="CY75" t="inlineStr">
        <is>
          <t>Rarity Choose Your Idol Overall Min. 89 Overall Max. 89 Min PS+ 1 Max PS+ 2 Details Submit by in 5 months Expiry 19 hours ago Coins Cost Free Points Cost Free</t>
        </is>
      </c>
      <c r="CZ75" t="inlineStr">
        <is>
          <t>Make Your Idol - Quick Step+ [SP 7]</t>
        </is>
      </c>
      <c r="DA75" t="inlineStr">
        <is>
          <t>Make Your Idol - Quick Step+ [SP 7] Unlocked by reaching level 7 in the Standard Season Pass. REQUIREMENTS Rarity Choose Your Idol Overall Min. 89 Overall Max. 89 Min PS+ 1 Max PS+ 2 UPGRADES 2 in 5 months 19 hours ago 37% 63%</t>
        </is>
      </c>
    </row>
    <row r="76">
      <c r="A76" t="inlineStr">
        <is>
          <t>Reward</t>
        </is>
      </c>
      <c r="B76" t="inlineStr">
        <is>
          <t>Standard Season Pass</t>
        </is>
      </c>
      <c r="C76" t="inlineStr">
        <is>
          <t>Make Your Idol - Anticipate+ [SP 7] - EA SPORTS FC 26</t>
        </is>
      </c>
      <c r="D76" t="inlineStr">
        <is>
          <t>https://www.fut.gg/evolutions/1801-make-your-idol-anticipate-sp-7/</t>
        </is>
      </c>
      <c r="G76" t="inlineStr">
        <is>
          <t>89</t>
        </is>
      </c>
      <c r="H76" t="inlineStr">
        <is>
          <t>89</t>
        </is>
      </c>
      <c r="K76" t="inlineStr">
        <is>
          <t>Choose Your Idol</t>
        </is>
      </c>
      <c r="T76" t="inlineStr">
        <is>
          <t>2</t>
        </is>
      </c>
      <c r="CW76" t="inlineStr">
        <is>
          <t>2 Level 1 UPGRADES 2</t>
        </is>
      </c>
      <c r="CX76" t="inlineStr">
        <is>
          <t>Rarity Choose Your Idol Overall Min. 89 Overall Max. 89 Min PS+ 1 Max PS+ 2 Details Submit by in 5 months Expiry 19 hours ago Coins Cost Free Points Cost Free</t>
        </is>
      </c>
      <c r="CY76" t="inlineStr">
        <is>
          <t>Rarity Choose Your Idol Overall Min. 89 Overall Max. 89 Min PS+ 1 Max PS+ 2 Details Submit by in 5 months Expiry 19 hours ago Coins Cost Free Points Cost Free</t>
        </is>
      </c>
      <c r="CZ76" t="inlineStr">
        <is>
          <t>Make Your Idol - Anticipate+ [SP 7]</t>
        </is>
      </c>
      <c r="DA76" t="inlineStr">
        <is>
          <t>Make Your Idol - Anticipate+ [SP 7] Unlocked by reaching level 7 in the Standard Season Pass. REQUIREMENTS Rarity Choose Your Idol Overall Min. 89 Overall Max. 89 Min PS+ 1 Max PS+ 2 UPGRADES 2 in 5 months 19 hours ago 35% 65%</t>
        </is>
      </c>
    </row>
    <row r="77">
      <c r="A77" t="inlineStr">
        <is>
          <t>Reward</t>
        </is>
      </c>
      <c r="B77" t="inlineStr">
        <is>
          <t>Premium Season Pass</t>
        </is>
      </c>
      <c r="C77" t="inlineStr">
        <is>
          <t>Guardian of the Line [SP+ 10] - EA SPORTS FC 26</t>
        </is>
      </c>
      <c r="D77" t="inlineStr">
        <is>
          <t>https://www.fut.gg/evolutions/1784-guardian-of-the-line-sp-10/</t>
        </is>
      </c>
      <c r="G77" t="inlineStr">
        <is>
          <t>89</t>
        </is>
      </c>
      <c r="K77" t="inlineStr">
        <is>
          <t>World Tour Silver Stars</t>
        </is>
      </c>
      <c r="L77" t="inlineStr">
        <is>
          <t>World Tour Silver Stars</t>
        </is>
      </c>
      <c r="S77" t="inlineStr">
        <is>
          <t>8</t>
        </is>
      </c>
      <c r="CW77" t="inlineStr">
        <is>
          <t>9 Level 1 Bahoya 89 LM PAC 98 SHO 84 PAS 86 DRI 89 DEF 63 PHY 75 CAM ST LW R 5 ★ 5 Bahoya 89 LM PAC 98 SHO 84 PAS 86 DRI 89 DEF 63 PHY 75 CAM ST LW R 5 ★ 5 UPGRADES 9</t>
        </is>
      </c>
      <c r="CX77" t="inlineStr">
        <is>
          <t>Excluded Rarity World Tour Silver Stars Overall Max. 89 Max PS 8 Details Submit by in 5 months Expiry 19 hours ago Coins Cost Free Points Cost Free</t>
        </is>
      </c>
      <c r="CY77" t="inlineStr">
        <is>
          <t>Excluded Rarity World Tour Silver Stars Overall Max. 89 Max PS 8 Details Submit by in 5 months Expiry 19 hours ago Coins Cost Free Points Cost Free</t>
        </is>
      </c>
      <c r="CZ77" t="inlineStr">
        <is>
          <t>Guardian of the Line [SP+ 10] 2</t>
        </is>
      </c>
      <c r="DA77"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19 hours ago 89% 11%</t>
        </is>
      </c>
    </row>
    <row r="78">
      <c r="A78" t="inlineStr">
        <is>
          <t>Reward</t>
        </is>
      </c>
      <c r="B78" t="inlineStr">
        <is>
          <t>Premium Season Pass</t>
        </is>
      </c>
      <c r="C78" t="inlineStr">
        <is>
          <t>Up to Speed [SP+ 26] - EA SPORTS FC 26</t>
        </is>
      </c>
      <c r="D78" t="inlineStr">
        <is>
          <t>https://www.fut.gg/evolutions/1783-up-to-speed-sp-26/</t>
        </is>
      </c>
      <c r="G78" t="inlineStr">
        <is>
          <t>89</t>
        </is>
      </c>
      <c r="K78" t="inlineStr">
        <is>
          <t>World Tour Silver Stars</t>
        </is>
      </c>
      <c r="L78" t="inlineStr">
        <is>
          <t>World Tour Silver Stars</t>
        </is>
      </c>
      <c r="S78" t="inlineStr">
        <is>
          <t>10</t>
        </is>
      </c>
      <c r="T78" t="inlineStr">
        <is>
          <t>2</t>
        </is>
      </c>
      <c r="X78" t="n">
        <v>4</v>
      </c>
      <c r="Z78" t="n">
        <v>4</v>
      </c>
      <c r="AA78" t="n">
        <v>91</v>
      </c>
      <c r="AF78" t="n">
        <v>4</v>
      </c>
      <c r="AG78" t="n">
        <v>91</v>
      </c>
      <c r="AP78" t="n">
        <v>16</v>
      </c>
      <c r="AQ78" t="n">
        <v>92</v>
      </c>
      <c r="AR78" t="n">
        <v>8</v>
      </c>
      <c r="AS78" t="n">
        <v>92</v>
      </c>
      <c r="AT78" t="n">
        <v>8</v>
      </c>
      <c r="AU78" t="n">
        <v>92</v>
      </c>
      <c r="AX78" t="n">
        <v>16</v>
      </c>
      <c r="AY78" t="n">
        <v>91</v>
      </c>
      <c r="BB78" t="n">
        <v>4</v>
      </c>
      <c r="BC78" t="n">
        <v>91</v>
      </c>
      <c r="BH78" t="n">
        <v>4</v>
      </c>
      <c r="BI78" t="n">
        <v>92</v>
      </c>
      <c r="BL78" t="n">
        <v>8</v>
      </c>
      <c r="BM78" t="n">
        <v>92</v>
      </c>
      <c r="CW78"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8" t="inlineStr">
        <is>
          <t>Excluded Rarity World Tour Silver Stars Overall Max. 89 Max PS 10 Max PS+ 2 Details Submit by in 5 months Expiry 19 hours ago Coins Cost Free Points Cost Free</t>
        </is>
      </c>
      <c r="CY78" t="inlineStr">
        <is>
          <t>Excluded Rarity World Tour Silver Stars Overall Max. 89 Max PS 10 Max PS+ 2 Details Submit by in 5 months Expiry 19 hours ago Coins Cost Free Points Cost Free</t>
        </is>
      </c>
      <c r="CZ78" t="inlineStr">
        <is>
          <t>Up to Speed [SP+ 26]</t>
        </is>
      </c>
      <c r="DA78"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19 hours ago 85% 15%</t>
        </is>
      </c>
    </row>
    <row r="79">
      <c r="A79" t="inlineStr">
        <is>
          <t>Reward</t>
        </is>
      </c>
      <c r="B79" t="inlineStr">
        <is>
          <t>Standard Season Pass</t>
        </is>
      </c>
      <c r="C79" t="inlineStr">
        <is>
          <t>Fantasy Captain ICON [SP 27] - EA SPORTS FC 26</t>
        </is>
      </c>
      <c r="D79" t="inlineStr">
        <is>
          <t>https://www.fut.gg/evolutions/1782-fantasy-captain-icon-sp-27/</t>
        </is>
      </c>
      <c r="K79" t="inlineStr">
        <is>
          <t>World Tour Silver Stars Details Submit by in 5 months Expiry 19 hours ago Coins Cost Free Points Cost Free</t>
        </is>
      </c>
      <c r="L79" t="inlineStr">
        <is>
          <t>World Tour Silver Stars Details Submit by in 5 months Expiry 19 hours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19 hours ago Coins Cost Free Points Cost Free</t>
        </is>
      </c>
      <c r="CY79" t="inlineStr">
        <is>
          <t>Excluded Rarity World Tour Silver Stars Details Submit by in 5 months Expiry 19 hours ago Coins Cost Free Points Cost Free</t>
        </is>
      </c>
      <c r="CZ79" t="inlineStr">
        <is>
          <t>Fantasy Captain ICON [SP 27]</t>
        </is>
      </c>
      <c r="DA79"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19 hours ago 96% 4%</t>
        </is>
      </c>
    </row>
    <row r="80">
      <c r="A80" t="inlineStr">
        <is>
          <t>Reward</t>
        </is>
      </c>
      <c r="B80" t="inlineStr">
        <is>
          <t>Standard Season Pass</t>
        </is>
      </c>
      <c r="C80" t="inlineStr">
        <is>
          <t>Season Ladder Excellence [SP 15] - EA SPORTS FC 26</t>
        </is>
      </c>
      <c r="D80" t="inlineStr">
        <is>
          <t>https://www.fut.gg/evolutions/1781-season-ladder-excellence-sp-15/</t>
        </is>
      </c>
      <c r="K80" t="inlineStr">
        <is>
          <t>World Tour Silver Stars Details Submit by in 5 months Expiry 19 hours ago Coins Cost Free Points Cost Free</t>
        </is>
      </c>
      <c r="L80" t="inlineStr">
        <is>
          <t>World Tour Silver Stars Details Submit by in 5 months Expiry 19 hours ago Coins Cost Free Points Cost Free</t>
        </is>
      </c>
      <c r="CW80" t="inlineStr">
        <is>
          <t>No upgrades Level 1 Shaw 97 ST PAC 95 SHO 97 PAS 84 DRI 91 DEF 40 PHY 92 R 4 ★ 5 Shaw 97 ST PAC 95 SHO 97 PAS 84 DRI 91 DEF 40 PHY 92 R 4 ★ 5 UPGRADES No upgrades</t>
        </is>
      </c>
      <c r="CX80" t="inlineStr">
        <is>
          <t>Excluded Rarity World Tour Silver Stars Details Submit by in 5 months Expiry 19 hours ago Coins Cost Free Points Cost Free</t>
        </is>
      </c>
      <c r="CY80" t="inlineStr">
        <is>
          <t>Excluded Rarity World Tour Silver Stars Details Submit by in 5 months Expiry 19 hours ago Coins Cost Free Points Cost Free</t>
        </is>
      </c>
      <c r="CZ80" t="inlineStr">
        <is>
          <t>Season Ladder Excellence [SP 15]</t>
        </is>
      </c>
      <c r="DA80"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19 hours ago 39% 61%</t>
        </is>
      </c>
    </row>
    <row r="81">
      <c r="A81" t="inlineStr">
        <is>
          <t>Reward</t>
        </is>
      </c>
      <c r="B81" t="inlineStr">
        <is>
          <t>Premium Season Pass</t>
        </is>
      </c>
      <c r="C81" t="inlineStr">
        <is>
          <t>Pinged Pass+ [SP+ 28] - EA SPORTS FC 26</t>
        </is>
      </c>
      <c r="D81" t="inlineStr">
        <is>
          <t>https://www.fut.gg/evolutions/1774-pinged-pass-sp-28/</t>
        </is>
      </c>
      <c r="G81" t="inlineStr">
        <is>
          <t>90</t>
        </is>
      </c>
      <c r="K81" t="inlineStr">
        <is>
          <t>World Tour Silver Stars</t>
        </is>
      </c>
      <c r="L81" t="inlineStr">
        <is>
          <t>World Tour Silver Stars</t>
        </is>
      </c>
      <c r="T81" t="inlineStr">
        <is>
          <t>2</t>
        </is>
      </c>
      <c r="CW81" t="inlineStr">
        <is>
          <t>3 Level 1 Dumornay 90 ST PAC 96 SHO 90 PAS 85 DRI 90 DEF 66 PHY 80 CAM R 5 ★ 5 Dumornay 90 ST PAC 96 SHO 90 PAS 85 DRI 90 DEF 66 PHY 80 CAM R 5 ★ 5 UPGRADES 3</t>
        </is>
      </c>
      <c r="CX81" t="inlineStr">
        <is>
          <t>Excluded Rarity World Tour Silver Stars Overall Max. 90 Max PS+ 2 Details Submit by in 5 months Expiry 19 hours ago Coins Cost Free Points Cost Free</t>
        </is>
      </c>
      <c r="CY81" t="inlineStr">
        <is>
          <t>Excluded Rarity World Tour Silver Stars Overall Max. 90 Max PS+ 2 Details Submit by in 5 months Expiry 19 hours ago Coins Cost Free Points Cost Free</t>
        </is>
      </c>
      <c r="CZ81" t="inlineStr">
        <is>
          <t>Pinged Pass+ [SP+ 28]</t>
        </is>
      </c>
      <c r="DA81"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19 hours ago 95% 5%</t>
        </is>
      </c>
    </row>
    <row r="82">
      <c r="A82" t="inlineStr">
        <is>
          <t>Reward</t>
        </is>
      </c>
      <c r="B82" t="inlineStr">
        <is>
          <t>Premium Season Pass</t>
        </is>
      </c>
      <c r="C82" t="inlineStr">
        <is>
          <t>Relentless+ [SP+ 27] - EA SPORTS FC 26</t>
        </is>
      </c>
      <c r="D82" t="inlineStr">
        <is>
          <t>https://www.fut.gg/evolutions/1773-relentless-sp-27/</t>
        </is>
      </c>
      <c r="G82" t="inlineStr">
        <is>
          <t>89</t>
        </is>
      </c>
      <c r="K82" t="inlineStr">
        <is>
          <t>World Tour Silver Stars</t>
        </is>
      </c>
      <c r="L82" t="inlineStr">
        <is>
          <t>World Tour Silver Stars</t>
        </is>
      </c>
      <c r="T82" t="inlineStr">
        <is>
          <t>2</t>
        </is>
      </c>
      <c r="CW82" t="inlineStr">
        <is>
          <t>3 Level 1 Francisco Conceição 89 RM PAC 93 SHO 86 PAS 87 DRI 91 DEF 45 PHY 70 CAM RW L 4 ★ 3 Francisco Conceição 89 RM PAC 93 SHO 86 PAS 87 DRI 91 DEF 45 PHY 70 CAM RW L 4 ★ 3 UPGRADES 3</t>
        </is>
      </c>
      <c r="CX82" t="inlineStr">
        <is>
          <t>Excluded Rarity World Tour Silver Stars Overall Max. 89 Max PS+ 2 Details Submit by in 5 months Expiry 19 hours ago Coins Cost Free Points Cost Free</t>
        </is>
      </c>
      <c r="CY82" t="inlineStr">
        <is>
          <t>Excluded Rarity World Tour Silver Stars Overall Max. 89 Max PS+ 2 Details Submit by in 5 months Expiry 19 hours ago Coins Cost Free Points Cost Free</t>
        </is>
      </c>
      <c r="CZ82" t="inlineStr">
        <is>
          <t>Relentless+ [SP+ 27]</t>
        </is>
      </c>
      <c r="DA82"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19 hours ago 14% 86%</t>
        </is>
      </c>
    </row>
    <row r="83">
      <c r="A83" t="inlineStr">
        <is>
          <t>Reward</t>
        </is>
      </c>
      <c r="B83" t="inlineStr">
        <is>
          <t>Premium Season Pass</t>
        </is>
      </c>
      <c r="C83" t="inlineStr">
        <is>
          <t>Dish 'em Out [SP+ 1] - EA SPORTS FC 26</t>
        </is>
      </c>
      <c r="D83" t="inlineStr">
        <is>
          <t>https://www.fut.gg/evolutions/1772-dish-em-out-sp-1/</t>
        </is>
      </c>
      <c r="G83" t="inlineStr">
        <is>
          <t>89</t>
        </is>
      </c>
      <c r="K83" t="inlineStr">
        <is>
          <t>World Tour Silver Stars</t>
        </is>
      </c>
      <c r="L83" t="inlineStr">
        <is>
          <t>World Tour Silver Stars</t>
        </is>
      </c>
      <c r="S83" t="inlineStr">
        <is>
          <t>10</t>
        </is>
      </c>
      <c r="X83" t="n">
        <v>2</v>
      </c>
      <c r="BB83" t="n">
        <v>20</v>
      </c>
      <c r="BC83" t="n">
        <v>92</v>
      </c>
      <c r="BJ83" t="n">
        <v>20</v>
      </c>
      <c r="BK83" t="n">
        <v>92</v>
      </c>
      <c r="BL83" t="n">
        <v>20</v>
      </c>
      <c r="BM83" t="n">
        <v>92</v>
      </c>
      <c r="BX83" t="n">
        <v>20</v>
      </c>
      <c r="BY83" t="n">
        <v>91</v>
      </c>
      <c r="CD83" t="n">
        <v>20</v>
      </c>
      <c r="CE83" t="n">
        <v>91</v>
      </c>
      <c r="CW83"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3" t="inlineStr">
        <is>
          <t>Excluded Rarity World Tour Silver Stars Overall Max. 89 Max PS 10 Details Submit by in 5 months Expiry 19 hours ago Coins Cost Free Points Cost Free</t>
        </is>
      </c>
      <c r="CY83" t="inlineStr">
        <is>
          <t>Excluded Rarity World Tour Silver Stars Overall Max. 89 Max PS 10 Details Submit by in 5 months Expiry 19 hours ago Coins Cost Free Points Cost Free</t>
        </is>
      </c>
      <c r="CZ83" t="inlineStr">
        <is>
          <t>Dish 'em Out [SP+ 1]</t>
        </is>
      </c>
      <c r="DA83"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19 hours ago 92% 8%</t>
        </is>
      </c>
    </row>
    <row r="84">
      <c r="A84" t="inlineStr">
        <is>
          <t>Reward</t>
        </is>
      </c>
      <c r="B84" t="inlineStr">
        <is>
          <t>Standard Season Pass</t>
        </is>
      </c>
      <c r="C84" t="inlineStr">
        <is>
          <t>Locked &amp; Loaded [SP 25] - EA SPORTS FC 26</t>
        </is>
      </c>
      <c r="D84" t="inlineStr">
        <is>
          <t>https://www.fut.gg/evolutions/1771-locked-loaded-sp-25/</t>
        </is>
      </c>
      <c r="G84" t="inlineStr">
        <is>
          <t>88</t>
        </is>
      </c>
      <c r="K84" t="inlineStr">
        <is>
          <t>World Tour Silver Stars</t>
        </is>
      </c>
      <c r="L84" t="inlineStr">
        <is>
          <t>World Tour Silver Stars</t>
        </is>
      </c>
      <c r="S84" t="inlineStr">
        <is>
          <t>10</t>
        </is>
      </c>
      <c r="X84" t="n">
        <v>4</v>
      </c>
      <c r="AH84" t="n">
        <v>4</v>
      </c>
      <c r="AI84" t="n">
        <v>90</v>
      </c>
      <c r="AJ84" t="n">
        <v>4</v>
      </c>
      <c r="AK84" t="n">
        <v>91</v>
      </c>
      <c r="BB84" t="n">
        <v>12</v>
      </c>
      <c r="BC84" t="n">
        <v>92</v>
      </c>
      <c r="BH84" t="n">
        <v>12</v>
      </c>
      <c r="BI84" t="n">
        <v>92</v>
      </c>
      <c r="BL84" t="n">
        <v>12</v>
      </c>
      <c r="BM84" t="n">
        <v>89</v>
      </c>
      <c r="BR84" t="n">
        <v>12</v>
      </c>
      <c r="BS84" t="n">
        <v>90</v>
      </c>
      <c r="BT84" t="n">
        <v>12</v>
      </c>
      <c r="BU84" t="n">
        <v>90</v>
      </c>
      <c r="BX84" t="n">
        <v>6</v>
      </c>
      <c r="BY84" t="n">
        <v>90</v>
      </c>
      <c r="CW84"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4" t="inlineStr">
        <is>
          <t>Excluded Rarity World Tour Silver Stars Overall Max. 88 Max PS 10 Details Submit by in 5 months Expiry 19 hours ago Coins Cost Free Points Cost Free</t>
        </is>
      </c>
      <c r="CY84" t="inlineStr">
        <is>
          <t>Excluded Rarity World Tour Silver Stars Overall Max. 88 Max PS 10 Details Submit by in 5 months Expiry 19 hours ago Coins Cost Free Points Cost Free</t>
        </is>
      </c>
      <c r="CZ84" t="inlineStr">
        <is>
          <t>Locked &amp; Loaded [SP 25]</t>
        </is>
      </c>
      <c r="DA84"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19 hours ago 91% 9%</t>
        </is>
      </c>
    </row>
    <row r="85">
      <c r="A85" t="inlineStr">
        <is>
          <t>Reward</t>
        </is>
      </c>
      <c r="B85" t="inlineStr">
        <is>
          <t>Standard Season Pass</t>
        </is>
      </c>
      <c r="C85" t="inlineStr">
        <is>
          <t>Goal Machine [SP 8] - EA SPORTS FC 26</t>
        </is>
      </c>
      <c r="D85" t="inlineStr">
        <is>
          <t>https://www.fut.gg/evolutions/1770-goal-machine-sp-8/</t>
        </is>
      </c>
      <c r="G85" t="inlineStr">
        <is>
          <t>88</t>
        </is>
      </c>
      <c r="K85" t="inlineStr">
        <is>
          <t>World Tour Silver Stars</t>
        </is>
      </c>
      <c r="L85" t="inlineStr">
        <is>
          <t>World Tour Silver Stars</t>
        </is>
      </c>
      <c r="AP85" t="n">
        <v>4</v>
      </c>
      <c r="AQ85" t="n">
        <v>90</v>
      </c>
      <c r="AR85" t="n">
        <v>4</v>
      </c>
      <c r="AS85" t="n">
        <v>90</v>
      </c>
      <c r="AV85" t="n">
        <v>4</v>
      </c>
      <c r="AW85" t="n">
        <v>90</v>
      </c>
      <c r="CW85"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5" t="inlineStr">
        <is>
          <t>Excluded Rarity World Tour Silver Stars Overall Max. 88 Details Submit by in 5 months Expiry 19 hours ago Coins Cost Free Points Cost Free</t>
        </is>
      </c>
      <c r="CY85" t="inlineStr">
        <is>
          <t>Excluded Rarity World Tour Silver Stars Overall Max. 88 Details Submit by in 5 months Expiry 19 hours ago Coins Cost Free Points Cost Free</t>
        </is>
      </c>
      <c r="CZ85" t="inlineStr">
        <is>
          <t>Goal Machine [SP 8] 5</t>
        </is>
      </c>
      <c r="DA85"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19 hours ago 92% 8%</t>
        </is>
      </c>
    </row>
    <row r="86">
      <c r="A86" t="inlineStr">
        <is>
          <t>Reward</t>
        </is>
      </c>
      <c r="B86" t="inlineStr">
        <is>
          <t>Premium Season Pass</t>
        </is>
      </c>
      <c r="C86" t="inlineStr">
        <is>
          <t>Roadrunner [SP+ 24] - EA SPORTS FC 26</t>
        </is>
      </c>
      <c r="D86" t="inlineStr">
        <is>
          <t>https://www.fut.gg/evolutions/1769-roadrunner-sp-24/</t>
        </is>
      </c>
      <c r="G86" t="inlineStr">
        <is>
          <t>89</t>
        </is>
      </c>
      <c r="K86" t="inlineStr">
        <is>
          <t>World Tour Silver Stars</t>
        </is>
      </c>
      <c r="L86" t="inlineStr">
        <is>
          <t>World Tour Silver Stars</t>
        </is>
      </c>
      <c r="S86" t="inlineStr">
        <is>
          <t>10</t>
        </is>
      </c>
      <c r="X86" t="n">
        <v>4</v>
      </c>
      <c r="Z86" t="n">
        <v>14</v>
      </c>
      <c r="AA86" t="n">
        <v>90</v>
      </c>
      <c r="AF86" t="n">
        <v>14</v>
      </c>
      <c r="AG86" t="n">
        <v>91</v>
      </c>
      <c r="CW86" t="inlineStr">
        <is>
          <t>+2 OVR +7 PAC 90 +7 DRI 91 9 Level 1 Amaiur Sarriegi 89 ST PAC 94 SHO 88 PAS 86 DRI 92 DEF 56 PHY 89 RM RW LW R 4 ★ 4 Amaiur Sarriegi 91 ST PAC 94 SHO 88 PAS 86 DRI 92 DEF 56 PHY 89 RM RW LW R 4 ★ 4 UPGRADES +2 OVR +7 PAC 90 +7 DRI 91 9</t>
        </is>
      </c>
      <c r="CX86" t="inlineStr">
        <is>
          <t>Excluded Rarity World Tour Silver Stars Overall Max. 89 Max PS 10 Details Submit by in 5 months Expiry 19 hours ago Coins Cost Free Points Cost Free</t>
        </is>
      </c>
      <c r="CY86" t="inlineStr">
        <is>
          <t>Excluded Rarity World Tour Silver Stars Overall Max. 89 Max PS 10 Details Submit by in 5 months Expiry 19 hours ago Coins Cost Free Points Cost Free</t>
        </is>
      </c>
      <c r="CZ86" t="inlineStr">
        <is>
          <t>Roadrunner [SP+ 24]</t>
        </is>
      </c>
      <c r="DA86"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19 hours ago 84% 16%</t>
        </is>
      </c>
    </row>
    <row r="87">
      <c r="A87" t="inlineStr">
        <is>
          <t>Reward</t>
        </is>
      </c>
      <c r="B87" t="inlineStr">
        <is>
          <t>Premium Season Pass</t>
        </is>
      </c>
      <c r="C87" t="inlineStr">
        <is>
          <t>Sweep &amp; Supply [SP+ 18] - EA SPORTS FC 26</t>
        </is>
      </c>
      <c r="D87" t="inlineStr">
        <is>
          <t>https://www.fut.gg/evolutions/1768-sweep-supply-sp-18/</t>
        </is>
      </c>
      <c r="G87" t="inlineStr">
        <is>
          <t>89</t>
        </is>
      </c>
      <c r="K87" t="inlineStr">
        <is>
          <t>World Tour Silver Stars</t>
        </is>
      </c>
      <c r="L87" t="inlineStr">
        <is>
          <t>World Tour Silver Stars</t>
        </is>
      </c>
      <c r="S87" t="inlineStr">
        <is>
          <t>10</t>
        </is>
      </c>
      <c r="X87" t="n">
        <v>4</v>
      </c>
      <c r="AD87" t="n">
        <v>14</v>
      </c>
      <c r="AE87" t="n">
        <v>91</v>
      </c>
      <c r="AH87" t="n">
        <v>14</v>
      </c>
      <c r="AI87" t="n">
        <v>91</v>
      </c>
      <c r="CW87" t="inlineStr">
        <is>
          <t>+2 OVR +7 PAS 91 +7 DEF 91 9 Level 1 James 89 ST PAC 91 SHO 86 PAS 82 DRI 91 DEF 44 PHY 86 CAM R 4 ★ 5 James 91 ST PAC 91 SHO 86 PAS 90 DRI 91 DEF 51 PHY 86 CAM R 4 ★ 5 UPGRADES +2 OVR +7 PAS 91 +7 DEF 91 9</t>
        </is>
      </c>
      <c r="CX87" t="inlineStr">
        <is>
          <t>Excluded Rarity World Tour Silver Stars Overall Max. 89 Max PS 10 Details Submit by in 5 months Expiry 19 hours ago Coins Cost Free Points Cost Free</t>
        </is>
      </c>
      <c r="CY87" t="inlineStr">
        <is>
          <t>Excluded Rarity World Tour Silver Stars Overall Max. 89 Max PS 10 Details Submit by in 5 months Expiry 19 hours ago Coins Cost Free Points Cost Free</t>
        </is>
      </c>
      <c r="CZ87" t="inlineStr">
        <is>
          <t>Sweep &amp; Supply [SP+ 18]</t>
        </is>
      </c>
      <c r="DA87"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19 hours ago 86% 14%</t>
        </is>
      </c>
    </row>
    <row r="88">
      <c r="A88" t="inlineStr">
        <is>
          <t>Reward</t>
        </is>
      </c>
      <c r="B88" t="inlineStr">
        <is>
          <t>Objective</t>
        </is>
      </c>
      <c r="C88" t="inlineStr">
        <is>
          <t>Quick Step+ - EA SPORTS FC 26</t>
        </is>
      </c>
      <c r="D88" t="inlineStr">
        <is>
          <t>https://www.fut.gg/evolutions/1762-quick-step/</t>
        </is>
      </c>
      <c r="G88" t="inlineStr">
        <is>
          <t>90</t>
        </is>
      </c>
      <c r="K88" t="inlineStr">
        <is>
          <t>World Tour Silver Stars</t>
        </is>
      </c>
      <c r="L88" t="inlineStr">
        <is>
          <t>World Tour Silver Stars</t>
        </is>
      </c>
      <c r="T88" t="inlineStr">
        <is>
          <t>1</t>
        </is>
      </c>
      <c r="CW88" t="inlineStr">
        <is>
          <t>2 Level 1 Karchaoui 90 CM PAC 92 SHO 82 PAS 90 DRI 91 DEF 85 PHY 74 LB CAM LW L 5 ★ 4 Karchaoui 90 CM PAC 92 SHO 82 PAS 90 DRI 91 DEF 85 PHY 74 LB CAM LW L 5 ★ 4 UPGRADES 2</t>
        </is>
      </c>
      <c r="CX88" t="inlineStr">
        <is>
          <t>Excluded Rarity World Tour Silver Stars Overall Max. 90 Max PS+ 1 Details Submit by in 8 months Expiry in 8 months Coins Cost Free Points Cost Free</t>
        </is>
      </c>
      <c r="CY88" t="inlineStr">
        <is>
          <t>Excluded Rarity World Tour Silver Stars Overall Max. 90 Max PS+ 1 Details Submit by in 8 months Expiry in 8 months Coins Cost Free Points Cost Free</t>
        </is>
      </c>
      <c r="CZ88" t="inlineStr">
        <is>
          <t>Quick Step+</t>
        </is>
      </c>
      <c r="DA88"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9">
      <c r="A89" t="inlineStr">
        <is>
          <t>Reward</t>
        </is>
      </c>
      <c r="B89" t="inlineStr">
        <is>
          <t>Objective</t>
        </is>
      </c>
      <c r="C89" t="inlineStr">
        <is>
          <t>Finesse Shot+ - EA SPORTS FC 26</t>
        </is>
      </c>
      <c r="D89" t="inlineStr">
        <is>
          <t>https://www.fut.gg/evolutions/1760-finesse-shot/</t>
        </is>
      </c>
      <c r="G89" t="inlineStr">
        <is>
          <t>90</t>
        </is>
      </c>
      <c r="K89" t="inlineStr">
        <is>
          <t>World Tour Silver Stars</t>
        </is>
      </c>
      <c r="L89" t="inlineStr">
        <is>
          <t>World Tour Silver Stars</t>
        </is>
      </c>
      <c r="T89" t="inlineStr">
        <is>
          <t>1</t>
        </is>
      </c>
      <c r="CW89" t="inlineStr">
        <is>
          <t>2 Level 1 Gravenberch 90 CDM PAC 84 SHO 83 PAS 87 DRI 90 DEF 88 PHY 88 CM R 4 ★ 4 Gravenberch 90 CDM PAC 84 SHO 83 PAS 87 DRI 90 DEF 88 PHY 88 CM R 4 ★ 4 UPGRADES 2</t>
        </is>
      </c>
      <c r="CX89" t="inlineStr">
        <is>
          <t>Excluded Rarity World Tour Silver Stars Overall Max. 90 Max PS+ 1 Details Submit by in 3 years Expiry in 3 years Coins Cost Free Points Cost Free</t>
        </is>
      </c>
      <c r="CY89" t="inlineStr">
        <is>
          <t>Excluded Rarity World Tour Silver Stars Overall Max. 90 Max PS+ 1 Details Submit by in 3 years Expiry in 3 years Coins Cost Free Points Cost Free</t>
        </is>
      </c>
      <c r="CZ89" t="inlineStr">
        <is>
          <t>Finesse Shot+</t>
        </is>
      </c>
      <c r="DA89"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90">
      <c r="A90" t="inlineStr">
        <is>
          <t>Reward</t>
        </is>
      </c>
      <c r="B90" t="inlineStr">
        <is>
          <t>Reward</t>
        </is>
      </c>
      <c r="C90" t="inlineStr">
        <is>
          <t>Intro to Rewards EVOs - EA SPORTS FC 26</t>
        </is>
      </c>
      <c r="D90" t="inlineStr">
        <is>
          <t>https://www.fut.gg/evolutions/1214-intro-to-rewards-evos/</t>
        </is>
      </c>
      <c r="G90" t="inlineStr">
        <is>
          <t>82</t>
        </is>
      </c>
      <c r="K90" t="inlineStr">
        <is>
          <t>World Tour Silver Stars</t>
        </is>
      </c>
      <c r="L90" t="inlineStr">
        <is>
          <t>World Tour Silver Stars</t>
        </is>
      </c>
      <c r="M90" t="inlineStr">
        <is>
          <t>84</t>
        </is>
      </c>
      <c r="X90" t="n">
        <v>2</v>
      </c>
      <c r="AT90" t="n">
        <v>6</v>
      </c>
      <c r="AU90" t="n">
        <v>80</v>
      </c>
      <c r="AV90" t="n">
        <v>8</v>
      </c>
      <c r="AW90" t="n">
        <v>80</v>
      </c>
      <c r="AX90" t="n">
        <v>6</v>
      </c>
      <c r="AY90" t="n">
        <v>79</v>
      </c>
      <c r="BB90" t="n">
        <v>6</v>
      </c>
      <c r="BC90" t="n">
        <v>80</v>
      </c>
      <c r="BH90" t="n">
        <v>3</v>
      </c>
      <c r="BI90" t="n">
        <v>80</v>
      </c>
      <c r="BJ90" t="n">
        <v>4</v>
      </c>
      <c r="BK90" t="n">
        <v>79</v>
      </c>
      <c r="BR90" t="n">
        <v>4</v>
      </c>
      <c r="BS90" t="n">
        <v>81</v>
      </c>
      <c r="BV90" t="n">
        <v>4</v>
      </c>
      <c r="BW90" t="n">
        <v>81</v>
      </c>
      <c r="CW90"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90" t="inlineStr">
        <is>
          <t>Excluded Rarity World Tour Silver Stars Overall Max. 82 Pace Max. 84 Details Submit by in 5 months Expiry in 5 months Coins Cost Free Points Cost Free</t>
        </is>
      </c>
      <c r="CY90" t="inlineStr">
        <is>
          <t>Excluded Rarity World Tour Silver Stars Overall Max. 82 Pace Max. 84 Details Submit by in 5 months Expiry in 5 months Coins Cost Free Points Cost Free</t>
        </is>
      </c>
      <c r="CZ90" t="inlineStr">
        <is>
          <t>Intro to Rewards EVOs</t>
        </is>
      </c>
      <c r="DA90"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1">
      <c r="A91" t="inlineStr">
        <is>
          <t>Reward</t>
        </is>
      </c>
      <c r="B91" t="inlineStr">
        <is>
          <t>Reward</t>
        </is>
      </c>
      <c r="C91" t="inlineStr">
        <is>
          <t>Club Member Reward - EA SPORTS FC 26</t>
        </is>
      </c>
      <c r="D91" t="inlineStr">
        <is>
          <t>https://www.fut.gg/evolutions/1215-club-member-reward/</t>
        </is>
      </c>
      <c r="G91" t="inlineStr">
        <is>
          <t>83</t>
        </is>
      </c>
      <c r="I91" t="inlineStr">
        <is>
          <t>ST Details Submit by in 5 months Expiry in 5 months Coins Cost Free Points Cost Free</t>
        </is>
      </c>
      <c r="K91" t="inlineStr">
        <is>
          <t>World Tour Silver Stars</t>
        </is>
      </c>
      <c r="L91" t="inlineStr">
        <is>
          <t>World Tour Silver Stars</t>
        </is>
      </c>
      <c r="CV91" t="inlineStr">
        <is>
          <t>ST Advanced Forward +; ST Poacher +; ST Target Forward +</t>
        </is>
      </c>
      <c r="CW91"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1" t="inlineStr">
        <is>
          <t>Excluded Rarity World Tour Silver Stars Overall Max. 83 Position ST Details Submit by in 5 months Expiry in 5 months Coins Cost Free Points Cost Free</t>
        </is>
      </c>
      <c r="CY91" t="inlineStr">
        <is>
          <t>Excluded Rarity World Tour Silver Stars Overall Max. 83 Position ST Details Submit by in 5 months Expiry in 5 months Coins Cost Free Points Cost Free</t>
        </is>
      </c>
      <c r="CZ91" t="inlineStr">
        <is>
          <t>Club Member Reward</t>
        </is>
      </c>
      <c r="DA91"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2026-05-08T01:34:43Z</dcterms:modified>
  <cp:lastModifiedBy>영현 김</cp:lastModifiedBy>
</cp:coreProperties>
</file>