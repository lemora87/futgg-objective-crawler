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현황표)" sheetId="1" state="visible" r:id="rId1"/>
    <sheet name="(분석시트)" sheetId="2" state="visible" r:id="rId2"/>
    <sheet name="Unified_Matrix" sheetId="3" state="visible" r:id="rId3"/>
    <sheet name="Upgrades_Long" sheetId="4" state="visible" r:id="rId4"/>
    <sheet name="Requirements_Long" sheetId="5" state="visible" r:id="rId5"/>
    <sheet name="Collected_URLs" sheetId="6" state="visible" r:id="rId6"/>
    <sheet name="Errors" sheetId="7" state="visible" r:id="rId7"/>
    <sheet name="Summary" sheetId="8" state="visible" r:id="rId8"/>
  </sheets>
  <definedNames>
    <definedName name="_xlnm._FilterDatabase" localSheetId="0" hidden="1">'(현황표)'!$A$27:$R$27</definedName>
    <definedName name="_xlnm._FilterDatabase" localSheetId="1" hidden="1">'(분석시트)'!$A$31:$P$31</definedName>
  </definedNames>
  <calcPr calcId="191029" fullCalcOnLoad="1" forceFullCalc="1"/>
</workbook>
</file>

<file path=xl/styles.xml><?xml version="1.0" encoding="utf-8"?>
<styleSheet xmlns="http://schemas.openxmlformats.org/spreadsheetml/2006/main">
  <numFmts count="0"/>
  <fonts count="9">
    <font>
      <name val="맑은 고딕"/>
      <family val="2"/>
      <color theme="1"/>
      <sz val="11"/>
      <scheme val="minor"/>
    </font>
    <font>
      <name val="맑은 고딕"/>
      <charset val="129"/>
      <family val="3"/>
      <sz val="8"/>
      <scheme val="minor"/>
    </font>
    <font>
      <name val="맑은 고딕"/>
      <charset val="129"/>
      <family val="3"/>
      <color theme="1"/>
      <sz val="6"/>
      <scheme val="minor"/>
    </font>
    <font>
      <name val="맑은 고딕"/>
      <charset val="129"/>
      <family val="3"/>
      <b val="1"/>
      <color theme="0"/>
      <sz val="11"/>
      <scheme val="minor"/>
    </font>
    <font>
      <name val="맑은 고딕"/>
      <charset val="129"/>
      <family val="3"/>
      <color theme="1"/>
      <sz val="11"/>
      <scheme val="minor"/>
    </font>
    <font>
      <name val="맑은 고딕"/>
      <family val="2"/>
      <color theme="1"/>
      <sz val="9"/>
      <scheme val="minor"/>
    </font>
    <font>
      <name val="맑은 고딕"/>
      <charset val="129"/>
      <family val="3"/>
      <b val="1"/>
      <color theme="1"/>
      <sz val="14"/>
      <scheme val="minor"/>
    </font>
    <font>
      <name val="맑은 고딕"/>
      <family val="2"/>
      <color theme="1"/>
      <sz val="12"/>
      <scheme val="minor"/>
    </font>
    <font>
      <b val="1"/>
    </font>
  </fonts>
  <fills count="10">
    <fill>
      <patternFill/>
    </fill>
    <fill>
      <patternFill patternType="gray125"/>
    </fill>
    <fill>
      <patternFill patternType="solid">
        <fgColor theme="4"/>
        <bgColor theme="4"/>
      </patternFill>
    </fill>
    <fill>
      <patternFill patternType="solid">
        <fgColor theme="6" tint="0.5999938962981048"/>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3" tint="0.5999938962981048"/>
        <bgColor indexed="64"/>
      </patternFill>
    </fill>
    <fill>
      <patternFill patternType="solid">
        <fgColor theme="4" tint="0.3999755851924192"/>
        <bgColor theme="4"/>
      </patternFill>
    </fill>
    <fill>
      <patternFill patternType="solid">
        <fgColor rgb="009DC3E6"/>
      </patternFill>
    </fill>
    <fill>
      <patternFill patternType="solid">
        <fgColor rgb="00D9EAF7"/>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left>
      <right style="thin">
        <color theme="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rgb="00808080"/>
      </left>
      <right style="thin">
        <color rgb="00808080"/>
      </right>
      <top style="thin">
        <color rgb="00808080"/>
      </top>
      <bottom style="thin">
        <color rgb="00808080"/>
      </bottom>
    </border>
    <border>
      <left style="thin">
        <color rgb="00808080"/>
      </left>
      <right style="thin">
        <color rgb="00808080"/>
      </right>
      <top style="thin">
        <color rgb="00808080"/>
      </top>
      <bottom style="medium">
        <color rgb="00000000"/>
      </bottom>
    </border>
  </borders>
  <cellStyleXfs count="1">
    <xf numFmtId="0" fontId="0" fillId="0" borderId="0"/>
  </cellStyleXfs>
  <cellXfs count="56">
    <xf numFmtId="0" fontId="0" fillId="0" borderId="0" pivotButton="0" quotePrefix="0" xfId="0"/>
    <xf numFmtId="0" fontId="0" fillId="0" borderId="0"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1" xfId="0">
      <alignment horizontal="center" vertical="center" wrapText="1"/>
    </xf>
    <xf numFmtId="0" fontId="0" fillId="0" borderId="1" pivotButton="0" quotePrefix="0" xfId="0"/>
    <xf numFmtId="0" fontId="2"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3" fillId="2" borderId="3"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4" borderId="1" applyAlignment="1" pivotButton="0" quotePrefix="1" xfId="0">
      <alignment horizontal="center" vertical="center"/>
    </xf>
    <xf numFmtId="0" fontId="0" fillId="5" borderId="1" applyAlignment="1" pivotButton="0" quotePrefix="0" xfId="0">
      <alignment vertical="center"/>
    </xf>
    <xf numFmtId="0" fontId="0" fillId="0" borderId="1" applyAlignment="1" pivotButton="0" quotePrefix="0" xfId="0">
      <alignment vertical="center"/>
    </xf>
    <xf numFmtId="0" fontId="5" fillId="0" borderId="1" applyAlignment="1" pivotButton="0" quotePrefix="0" xfId="0">
      <alignment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0" fillId="6" borderId="1" applyAlignment="1" pivotButton="0" quotePrefix="0" xfId="0">
      <alignment horizontal="center" vertical="center"/>
    </xf>
    <xf numFmtId="0" fontId="0" fillId="6" borderId="1" applyAlignment="1" pivotButton="0" quotePrefix="0" xfId="0">
      <alignment vertical="center"/>
    </xf>
    <xf numFmtId="0" fontId="4"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7" borderId="1"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left"/>
    </xf>
    <xf numFmtId="0" fontId="0" fillId="3" borderId="1" applyAlignment="1" pivotButton="0" quotePrefix="0" xfId="0">
      <alignment horizontal="left" vertical="center" wrapText="1"/>
    </xf>
    <xf numFmtId="0" fontId="0" fillId="0" borderId="1" applyAlignment="1" pivotButton="0" quotePrefix="0" xfId="0">
      <alignment horizontal="left" vertical="center"/>
    </xf>
    <xf numFmtId="0" fontId="0" fillId="3" borderId="1" applyAlignment="1" pivotButton="0" quotePrefix="0" xfId="0">
      <alignment horizontal="left" vertical="center"/>
    </xf>
    <xf numFmtId="0" fontId="6" fillId="4" borderId="1" applyAlignment="1" pivotButton="0" quotePrefix="0" xfId="0">
      <alignment horizontal="center" vertical="center" wrapText="1"/>
    </xf>
    <xf numFmtId="0" fontId="6" fillId="4" borderId="1" applyAlignment="1" pivotButton="0" quotePrefix="0" xfId="0">
      <alignment horizontal="center" vertical="center"/>
    </xf>
    <xf numFmtId="0" fontId="6" fillId="4" borderId="1" applyAlignment="1" pivotButton="0" quotePrefix="1" xfId="0">
      <alignment horizontal="center" vertical="center"/>
    </xf>
    <xf numFmtId="0" fontId="6" fillId="5" borderId="1" applyAlignment="1" pivotButton="0" quotePrefix="0" xfId="0">
      <alignment horizontal="center" vertical="center"/>
    </xf>
    <xf numFmtId="0" fontId="6" fillId="5" borderId="1" applyAlignment="1" pivotButton="0" quotePrefix="0" xfId="0">
      <alignment horizontal="center" vertical="center"/>
    </xf>
    <xf numFmtId="0" fontId="7" fillId="0" borderId="1" applyAlignment="1" pivotButton="0" quotePrefix="0" xfId="0">
      <alignment horizontal="center" vertical="center"/>
    </xf>
    <xf numFmtId="0" fontId="7" fillId="0" borderId="1" applyAlignment="1" pivotButton="0" quotePrefix="0" xfId="0">
      <alignment horizontal="left" vertical="center" wrapText="1"/>
    </xf>
    <xf numFmtId="0" fontId="7" fillId="0" borderId="1" applyAlignment="1" pivotButton="0" quotePrefix="0" xfId="0">
      <alignment horizontal="left" vertical="center"/>
    </xf>
    <xf numFmtId="0" fontId="0" fillId="5" borderId="2" applyAlignment="1" pivotButton="0" quotePrefix="0" xfId="0">
      <alignment horizontal="center" vertical="center"/>
    </xf>
    <xf numFmtId="0" fontId="0" fillId="5" borderId="4" applyAlignment="1" pivotButton="0" quotePrefix="0" xfId="0">
      <alignment horizontal="center" vertical="center"/>
    </xf>
    <xf numFmtId="0" fontId="0" fillId="5" borderId="5" applyAlignment="1" pivotButton="0" quotePrefix="0" xfId="0">
      <alignment horizontal="center" vertical="center"/>
    </xf>
    <xf numFmtId="0" fontId="0" fillId="0" borderId="5" pivotButton="0" quotePrefix="0" xfId="0"/>
    <xf numFmtId="0" fontId="0" fillId="5" borderId="1" applyAlignment="1" pivotButton="0" quotePrefix="0" xfId="0">
      <alignment horizontal="center" vertical="center"/>
    </xf>
    <xf numFmtId="0" fontId="0" fillId="0" borderId="4" pivotButton="0" quotePrefix="0" xfId="0"/>
    <xf numFmtId="0" fontId="8" fillId="8" borderId="7" applyAlignment="1" pivotButton="0" quotePrefix="0" xfId="0">
      <alignment horizontal="center" vertical="center" wrapText="1"/>
    </xf>
    <xf numFmtId="0" fontId="8" fillId="9" borderId="7" applyAlignment="1" pivotButton="0" quotePrefix="0" xfId="0">
      <alignment horizontal="center" vertical="center" wrapText="1"/>
    </xf>
    <xf numFmtId="0" fontId="4" fillId="0" borderId="7" applyAlignment="1" pivotButton="0" quotePrefix="0" xfId="0">
      <alignment horizontal="center" vertical="center" wrapText="1"/>
    </xf>
    <xf numFmtId="0" fontId="2" fillId="0" borderId="7" applyAlignment="1" pivotButton="0" quotePrefix="0" xfId="0">
      <alignment horizontal="center" vertical="center" wrapText="1"/>
    </xf>
    <xf numFmtId="0" fontId="8" fillId="8" borderId="8" applyAlignment="1" pivotButton="0" quotePrefix="0" xfId="0">
      <alignment horizontal="center" vertical="center" wrapText="1"/>
    </xf>
    <xf numFmtId="0" fontId="8" fillId="9" borderId="8" applyAlignment="1" pivotButton="0" quotePrefix="0" xfId="0">
      <alignment horizontal="center" vertical="center" wrapText="1"/>
    </xf>
    <xf numFmtId="0" fontId="4" fillId="0" borderId="8" applyAlignment="1" pivotButton="0" quotePrefix="0" xfId="0">
      <alignment horizontal="center" vertical="center" wrapText="1"/>
    </xf>
    <xf numFmtId="0" fontId="2" fillId="0" borderId="8" applyAlignment="1" pivotButton="0" quotePrefix="0" xfId="0">
      <alignment horizontal="center" vertical="center" wrapText="1"/>
    </xf>
    <xf numFmtId="0" fontId="3" fillId="2" borderId="8" applyAlignment="1" pivotButton="0" quotePrefix="0" xfId="0">
      <alignment horizontal="center" vertical="center" wrapText="1"/>
    </xf>
    <xf numFmtId="0" fontId="0" fillId="0" borderId="8" applyAlignment="1" pivotButton="0" quotePrefix="0" xfId="0">
      <alignment horizontal="center" vertical="center" wrapText="1"/>
    </xf>
    <xf numFmtId="0" fontId="0" fillId="4" borderId="7" applyAlignment="1" pivotButton="0" quotePrefix="0" xfId="0">
      <alignment horizontal="center" vertical="center" wrapText="1"/>
    </xf>
    <xf numFmtId="0" fontId="0" fillId="4" borderId="7" applyAlignment="1" pivotButton="0" quotePrefix="1" xfId="0">
      <alignment horizontal="center" vertical="center" wrapText="1"/>
    </xf>
    <xf numFmtId="0" fontId="0" fillId="0" borderId="7" applyAlignment="1" pivotButton="0" quotePrefix="0" xfId="0">
      <alignment horizontal="center" vertical="center" wrapText="1"/>
    </xf>
    <xf numFmtId="0" fontId="5" fillId="0" borderId="7" applyAlignment="1" pivotButton="0" quotePrefix="0" xfId="0">
      <alignment horizontal="center" vertical="center" wrapText="1"/>
    </xf>
    <xf numFmtId="0" fontId="5" fillId="0" borderId="8" applyAlignment="1" pivotButton="0" quotePrefix="0" xfId="0">
      <alignment horizontal="center"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Evo" displayName="Evo" ref="A1:DA32" headerRowCount="1" totalsRowShown="0">
  <autoFilter ref="A1:DA104"/>
  <tableColumns count="105">
    <tableColumn id="1" name="Source_Group"/>
    <tableColumn id="2" name="Category"/>
    <tableColumn id="3" name="Evolution_Name"/>
    <tableColumn id="4" name="URL"/>
    <tableColumn id="5" name="Cost_Coins"/>
    <tableColumn id="6" name="Cost_FP"/>
    <tableColumn id="7" name="Req_OVR_Max"/>
    <tableColumn id="8" name="Req_OVR_Min"/>
    <tableColumn id="9" name="Req_Position"/>
    <tableColumn id="10" name="Req_Excluded_Position"/>
    <tableColumn id="11" name="Req_Rarity"/>
    <tableColumn id="12" name="Req_Excluded_Rarity"/>
    <tableColumn id="13" name="Req_PAC_Max"/>
    <tableColumn id="14" name="Req_SHO_Max"/>
    <tableColumn id="15" name="Req_PAS_Max"/>
    <tableColumn id="16" name="Req_DRI_Max"/>
    <tableColumn id="17" name="Req_DEF_Max"/>
    <tableColumn id="18" name="Req_PHY_Max"/>
    <tableColumn id="19" name="Req_Max_PS"/>
    <tableColumn id="20" name="Req_Max_PS_Plus"/>
    <tableColumn id="21" name="Req_Max_Positions"/>
    <tableColumn id="22" name="Req_Born_Before"/>
    <tableColumn id="23" name="Req_Born_After"/>
    <tableColumn id="24" name="+ OVR"/>
    <tableColumn id="25" name="Max OVR"/>
    <tableColumn id="26" name="+ PAC"/>
    <tableColumn id="27" name="Max PAC"/>
    <tableColumn id="28" name="+ SHO"/>
    <tableColumn id="29" name="Max SHO"/>
    <tableColumn id="30" name="+ PAS"/>
    <tableColumn id="31" name="Max PAS"/>
    <tableColumn id="32" name="+ DRI"/>
    <tableColumn id="33" name="Max DRI"/>
    <tableColumn id="34" name="+ DEF"/>
    <tableColumn id="35" name="Max DEF"/>
    <tableColumn id="36" name="+ PHY"/>
    <tableColumn id="37" name="Max PHY"/>
    <tableColumn id="38" name="+ Acceleration"/>
    <tableColumn id="39" name="Max Acceleration"/>
    <tableColumn id="40" name="+ Sprint Speed"/>
    <tableColumn id="41" name="Max Sprint Speed"/>
    <tableColumn id="42" name="+ Positioning"/>
    <tableColumn id="43" name="Max Positioning"/>
    <tableColumn id="44" name="+ Finishing"/>
    <tableColumn id="45" name="Max Finishing"/>
    <tableColumn id="46" name="+ Shot Power"/>
    <tableColumn id="47" name="Max Shot Power"/>
    <tableColumn id="48" name="+ Long Shots"/>
    <tableColumn id="49" name="Max Long Shots"/>
    <tableColumn id="50" name="+ Volleys"/>
    <tableColumn id="51" name="Max Volleys"/>
    <tableColumn id="52" name="+ Penalties"/>
    <tableColumn id="53" name="Max Penalties"/>
    <tableColumn id="54" name="+ Vision"/>
    <tableColumn id="55" name="Max Vision"/>
    <tableColumn id="56" name="+ Crossing"/>
    <tableColumn id="57" name="Max Crossing"/>
    <tableColumn id="58" name="+ FK Accuracy"/>
    <tableColumn id="59" name="Max FK Accuracy"/>
    <tableColumn id="60" name="+ Short Passing"/>
    <tableColumn id="61" name="Max Short Passing"/>
    <tableColumn id="62" name="+ Long Passing"/>
    <tableColumn id="63" name="Max Long Passing"/>
    <tableColumn id="64" name="+ Curve"/>
    <tableColumn id="65" name="Max Curve"/>
    <tableColumn id="66" name="+ Agility"/>
    <tableColumn id="67" name="Max Agility"/>
    <tableColumn id="68" name="+ Balance"/>
    <tableColumn id="69" name="Max Balance"/>
    <tableColumn id="70" name="+ Reactions"/>
    <tableColumn id="71" name="Max Reactions"/>
    <tableColumn id="72" name="+ Ball Control"/>
    <tableColumn id="73" name="Max Ball Control"/>
    <tableColumn id="74" name="+ Dribbling"/>
    <tableColumn id="75" name="Max Dribbling"/>
    <tableColumn id="76" name="+ Composure"/>
    <tableColumn id="77" name="Max Composure"/>
    <tableColumn id="78" name="+ Interceptions"/>
    <tableColumn id="79" name="Max Interceptions"/>
    <tableColumn id="80" name="+ Heading Accuracy"/>
    <tableColumn id="81" name="Max Heading Accuracy"/>
    <tableColumn id="82" name="+ Defensive Awareness"/>
    <tableColumn id="83" name="Max Defensive Awareness"/>
    <tableColumn id="84" name="+ Standing Tackle"/>
    <tableColumn id="85" name="Max Standing Tackle"/>
    <tableColumn id="86" name="+ Sliding Tackle"/>
    <tableColumn id="87" name="Max Sliding Tackle"/>
    <tableColumn id="88" name="+ Jumping"/>
    <tableColumn id="89" name="Max Jumping"/>
    <tableColumn id="90" name="+ Stamina"/>
    <tableColumn id="91" name="Max Stamina"/>
    <tableColumn id="92" name="+ Strength"/>
    <tableColumn id="93" name="Max Strength"/>
    <tableColumn id="94" name="+ Aggression"/>
    <tableColumn id="95" name="Max Aggression"/>
    <tableColumn id="96" name="+ SM"/>
    <tableColumn id="97" name="Max SM"/>
    <tableColumn id="98" name="+ WF"/>
    <tableColumn id="99" name="Max WF"/>
    <tableColumn id="100" name="Role_Added"/>
    <tableColumn id="101" name="Other_Upgrade_Text"/>
    <tableColumn id="102" name="Raw_Requirements_Text"/>
    <tableColumn id="103" name="Req_Other"/>
    <tableColumn id="104" name="Link_Text"/>
    <tableColumn id="105" name="Parent_Tex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H1:AT522"/>
  <sheetViews>
    <sheetView topLeftCell="K6" zoomScale="85" zoomScaleNormal="85" workbookViewId="0">
      <selection activeCell="K27" sqref="A27:XFD522"/>
    </sheetView>
  </sheetViews>
  <sheetFormatPr baseColWidth="8" defaultRowHeight="16.5"/>
  <cols>
    <col hidden="1" width="9" customWidth="1" min="1" max="1"/>
    <col hidden="1" width="9.375" customWidth="1" min="2" max="2"/>
    <col hidden="1" width="9" customWidth="1" min="3" max="7"/>
    <col width="9" customWidth="1" min="8" max="8"/>
    <col width="9" customWidth="1" style="6" min="9" max="9"/>
    <col width="14.375" customWidth="1" min="10" max="46"/>
  </cols>
  <sheetData>
    <row r="1" ht="33" customHeight="1">
      <c r="H1" s="15" t="inlineStr">
        <is>
          <t>MAX수치
순위</t>
        </is>
      </c>
      <c r="I1" s="15" t="inlineStr">
        <is>
          <t>구분</t>
        </is>
      </c>
      <c r="J1" s="16" t="inlineStr">
        <is>
          <t>PAC</t>
        </is>
      </c>
      <c r="K1" s="16" t="inlineStr">
        <is>
          <t>SHO</t>
        </is>
      </c>
      <c r="L1" s="16" t="inlineStr">
        <is>
          <t>PAS</t>
        </is>
      </c>
      <c r="M1" s="16" t="inlineStr">
        <is>
          <t>DRI</t>
        </is>
      </c>
      <c r="N1" s="16" t="inlineStr">
        <is>
          <t>DEF</t>
        </is>
      </c>
      <c r="O1" s="16" t="inlineStr">
        <is>
          <t>PHY</t>
        </is>
      </c>
      <c r="P1" s="16" t="inlineStr">
        <is>
          <t>Acceleration</t>
        </is>
      </c>
      <c r="Q1" s="16" t="inlineStr">
        <is>
          <t>Sprint Speed</t>
        </is>
      </c>
      <c r="R1" s="16" t="inlineStr">
        <is>
          <t>Positioning</t>
        </is>
      </c>
      <c r="S1" s="16" t="inlineStr">
        <is>
          <t>Finishing</t>
        </is>
      </c>
      <c r="T1" s="16" t="inlineStr">
        <is>
          <t>Shot Power</t>
        </is>
      </c>
      <c r="U1" s="16" t="inlineStr">
        <is>
          <t>Long Shots</t>
        </is>
      </c>
      <c r="V1" s="16" t="inlineStr">
        <is>
          <t>Volleys</t>
        </is>
      </c>
      <c r="W1" s="16" t="inlineStr">
        <is>
          <t>Penalties</t>
        </is>
      </c>
      <c r="X1" s="16" t="inlineStr">
        <is>
          <t>Vision</t>
        </is>
      </c>
      <c r="Y1" s="16" t="inlineStr">
        <is>
          <t>Crossing</t>
        </is>
      </c>
      <c r="Z1" s="16" t="inlineStr">
        <is>
          <t>FK Accuracy</t>
        </is>
      </c>
      <c r="AA1" s="16" t="inlineStr">
        <is>
          <t>Short Passing</t>
        </is>
      </c>
      <c r="AB1" s="16" t="inlineStr">
        <is>
          <t>Long Passing</t>
        </is>
      </c>
      <c r="AC1" s="16" t="inlineStr">
        <is>
          <t>Curve</t>
        </is>
      </c>
      <c r="AD1" s="16" t="inlineStr">
        <is>
          <t>Agility</t>
        </is>
      </c>
      <c r="AE1" s="16" t="inlineStr">
        <is>
          <t>Balance</t>
        </is>
      </c>
      <c r="AF1" s="16" t="inlineStr">
        <is>
          <t>Reactions</t>
        </is>
      </c>
      <c r="AG1" s="16" t="inlineStr">
        <is>
          <t>Ball Control</t>
        </is>
      </c>
      <c r="AH1" s="16" t="inlineStr">
        <is>
          <t>Dribbling</t>
        </is>
      </c>
      <c r="AI1" s="16" t="inlineStr">
        <is>
          <t>Composure</t>
        </is>
      </c>
      <c r="AJ1" s="16" t="inlineStr">
        <is>
          <t>Interceptions</t>
        </is>
      </c>
      <c r="AK1" s="16" t="inlineStr">
        <is>
          <t>Heading Accuracy</t>
        </is>
      </c>
      <c r="AL1" s="16" t="inlineStr">
        <is>
          <t>Defensive Awareness</t>
        </is>
      </c>
      <c r="AM1" s="16" t="inlineStr">
        <is>
          <t>Standing Tackle</t>
        </is>
      </c>
      <c r="AN1" s="16" t="inlineStr">
        <is>
          <t>Sliding Tackle</t>
        </is>
      </c>
      <c r="AO1" s="16" t="inlineStr">
        <is>
          <t>Jumping</t>
        </is>
      </c>
      <c r="AP1" s="16" t="inlineStr">
        <is>
          <t>Stamina</t>
        </is>
      </c>
      <c r="AQ1" s="16" t="inlineStr">
        <is>
          <t>Strength</t>
        </is>
      </c>
      <c r="AR1" s="16" t="inlineStr">
        <is>
          <t>Aggression</t>
        </is>
      </c>
      <c r="AS1" s="16" t="inlineStr">
        <is>
          <t>SM</t>
        </is>
      </c>
      <c r="AT1" s="16" t="inlineStr">
        <is>
          <t>WF</t>
        </is>
      </c>
    </row>
    <row r="2" ht="18" customHeight="1">
      <c r="H2" s="41" t="inlineStr">
        <is>
          <t>1위</t>
        </is>
      </c>
      <c r="I2" s="42" t="inlineStr">
        <is>
          <t>MAX</t>
        </is>
      </c>
      <c r="J2" s="43" t="n">
        <v>84</v>
      </c>
      <c r="K2" s="43" t="n">
        <v>82</v>
      </c>
      <c r="L2" s="43" t="n">
        <v>79</v>
      </c>
      <c r="M2" s="43" t="n">
        <v>84</v>
      </c>
      <c r="N2" s="43" t="n">
        <v>79</v>
      </c>
      <c r="O2" s="43" t="n"/>
      <c r="P2" s="43" t="n">
        <v>87</v>
      </c>
      <c r="Q2" s="43" t="n">
        <v>87</v>
      </c>
      <c r="R2" s="43" t="n">
        <v>84</v>
      </c>
      <c r="S2" s="43" t="n">
        <v>88</v>
      </c>
      <c r="T2" s="43" t="n">
        <v>88</v>
      </c>
      <c r="U2" s="43" t="n">
        <v>84</v>
      </c>
      <c r="V2" s="43" t="n">
        <v>84</v>
      </c>
      <c r="W2" s="43" t="n">
        <v>83</v>
      </c>
      <c r="X2" s="43" t="n">
        <v>86</v>
      </c>
      <c r="Y2" s="43" t="n">
        <v>82</v>
      </c>
      <c r="Z2" s="43" t="n"/>
      <c r="AA2" s="43" t="n">
        <v>86</v>
      </c>
      <c r="AB2" s="43" t="n">
        <v>82</v>
      </c>
      <c r="AC2" s="43" t="n">
        <v>84</v>
      </c>
      <c r="AD2" s="43" t="n">
        <v>89</v>
      </c>
      <c r="AE2" s="43" t="n">
        <v>85</v>
      </c>
      <c r="AF2" s="43" t="n">
        <v>86</v>
      </c>
      <c r="AG2" s="43" t="n">
        <v>89</v>
      </c>
      <c r="AH2" s="43" t="n">
        <v>89</v>
      </c>
      <c r="AI2" s="43" t="n">
        <v>85</v>
      </c>
      <c r="AJ2" s="43" t="n">
        <v>76</v>
      </c>
      <c r="AK2" s="43" t="n">
        <v>75</v>
      </c>
      <c r="AL2" s="43" t="n">
        <v>80</v>
      </c>
      <c r="AM2" s="43" t="n">
        <v>80</v>
      </c>
      <c r="AN2" s="43" t="n">
        <v>75</v>
      </c>
      <c r="AO2" s="43" t="n">
        <v>78</v>
      </c>
      <c r="AP2" s="43" t="n">
        <v>83</v>
      </c>
      <c r="AQ2" s="43" t="n">
        <v>77</v>
      </c>
      <c r="AR2" s="43" t="n">
        <v>75</v>
      </c>
      <c r="AS2" s="43" t="n">
        <v>4</v>
      </c>
      <c r="AT2" s="43" t="n">
        <v>3</v>
      </c>
    </row>
    <row r="3" ht="18" customHeight="1">
      <c r="H3" s="41" t="n"/>
      <c r="I3" s="42" t="inlineStr">
        <is>
          <t>+OVR</t>
        </is>
      </c>
      <c r="J3" s="43" t="n">
        <v>1</v>
      </c>
      <c r="K3" s="43" t="n">
        <v>1</v>
      </c>
      <c r="L3" s="43" t="n">
        <v>1</v>
      </c>
      <c r="M3" s="43" t="n">
        <v>1</v>
      </c>
      <c r="N3" s="43" t="n">
        <v>1</v>
      </c>
      <c r="O3" s="44" t="n"/>
      <c r="P3" s="43" t="n">
        <v>1</v>
      </c>
      <c r="Q3" s="43" t="n">
        <v>1</v>
      </c>
      <c r="R3" s="43" t="n">
        <v>6</v>
      </c>
      <c r="S3" s="43" t="n">
        <v>1</v>
      </c>
      <c r="T3" s="43" t="n">
        <v>1</v>
      </c>
      <c r="U3" s="43" t="n">
        <v>1</v>
      </c>
      <c r="V3" s="43" t="n">
        <v>6</v>
      </c>
      <c r="W3" s="43" t="n">
        <v>6</v>
      </c>
      <c r="X3" s="43" t="n">
        <v>1</v>
      </c>
      <c r="Y3" s="43" t="inlineStr">
        <is>
          <t>1
10</t>
        </is>
      </c>
      <c r="Z3" s="44" t="n"/>
      <c r="AA3" s="43" t="n">
        <v>1</v>
      </c>
      <c r="AB3" s="43" t="n">
        <v>1</v>
      </c>
      <c r="AC3" s="43" t="n">
        <v>1</v>
      </c>
      <c r="AD3" s="43" t="n">
        <v>1</v>
      </c>
      <c r="AE3" s="43" t="inlineStr">
        <is>
          <t>1
10</t>
        </is>
      </c>
      <c r="AF3" s="43" t="n">
        <v>1</v>
      </c>
      <c r="AG3" s="43" t="n">
        <v>1</v>
      </c>
      <c r="AH3" s="43" t="n">
        <v>1</v>
      </c>
      <c r="AI3" s="43" t="n">
        <v>1</v>
      </c>
      <c r="AJ3" s="43" t="n">
        <v>34</v>
      </c>
      <c r="AK3" s="43" t="n">
        <v>1</v>
      </c>
      <c r="AL3" s="43" t="n">
        <v>40</v>
      </c>
      <c r="AM3" s="43" t="n">
        <v>40</v>
      </c>
      <c r="AN3" s="43" t="inlineStr">
        <is>
          <t>40
34</t>
        </is>
      </c>
      <c r="AO3" s="43" t="n">
        <v>10</v>
      </c>
      <c r="AP3" s="43" t="n">
        <v>1</v>
      </c>
      <c r="AQ3" s="43" t="n">
        <v>40</v>
      </c>
      <c r="AR3" s="43" t="n">
        <v>40</v>
      </c>
      <c r="AS3" s="43" t="inlineStr">
        <is>
          <t>10
34</t>
        </is>
      </c>
      <c r="AT3" s="43" t="n">
        <v>8</v>
      </c>
    </row>
    <row r="4" ht="18" customHeight="1">
      <c r="H4" s="41" t="n"/>
      <c r="I4" s="42" t="inlineStr">
        <is>
          <t>+Stat Point</t>
        </is>
      </c>
      <c r="J4" s="43" t="n">
        <v>2</v>
      </c>
      <c r="K4" s="43" t="n">
        <v>1</v>
      </c>
      <c r="L4" s="43" t="n">
        <v>1</v>
      </c>
      <c r="M4" s="43" t="n">
        <v>2</v>
      </c>
      <c r="N4" s="43" t="n">
        <v>1</v>
      </c>
      <c r="O4" s="43" t="n"/>
      <c r="P4" s="43" t="n">
        <v>3</v>
      </c>
      <c r="Q4" s="43" t="n">
        <v>3</v>
      </c>
      <c r="R4" s="43" t="n">
        <v>7</v>
      </c>
      <c r="S4" s="43" t="n">
        <v>4</v>
      </c>
      <c r="T4" s="43" t="n">
        <v>3</v>
      </c>
      <c r="U4" s="43" t="n">
        <v>3</v>
      </c>
      <c r="V4" s="43" t="n">
        <v>7</v>
      </c>
      <c r="W4" s="43" t="n">
        <v>7</v>
      </c>
      <c r="X4" s="43" t="n">
        <v>10</v>
      </c>
      <c r="Y4" s="43" t="inlineStr">
        <is>
          <t>12
10</t>
        </is>
      </c>
      <c r="Z4" s="43" t="n"/>
      <c r="AA4" s="43" t="n">
        <v>8</v>
      </c>
      <c r="AB4" s="43" t="n">
        <v>12</v>
      </c>
      <c r="AC4" s="43" t="n">
        <v>12</v>
      </c>
      <c r="AD4" s="43" t="n">
        <v>4</v>
      </c>
      <c r="AE4" s="43" t="inlineStr">
        <is>
          <t>2
15</t>
        </is>
      </c>
      <c r="AF4" s="43" t="n">
        <v>3</v>
      </c>
      <c r="AG4" s="43" t="n">
        <v>5</v>
      </c>
      <c r="AH4" s="43" t="n">
        <v>5</v>
      </c>
      <c r="AI4" s="43" t="n">
        <v>3</v>
      </c>
      <c r="AJ4" s="43" t="n">
        <v>40</v>
      </c>
      <c r="AK4" s="43" t="n">
        <v>2</v>
      </c>
      <c r="AL4" s="43" t="n">
        <v>40</v>
      </c>
      <c r="AM4" s="43" t="n">
        <v>40</v>
      </c>
      <c r="AN4" s="43" t="n">
        <v>40</v>
      </c>
      <c r="AO4" s="43" t="n">
        <v>10</v>
      </c>
      <c r="AP4" s="43" t="n">
        <v>1</v>
      </c>
      <c r="AQ4" s="43" t="n">
        <v>40</v>
      </c>
      <c r="AR4" s="43" t="n">
        <v>40</v>
      </c>
      <c r="AS4" s="43" t="inlineStr">
        <is>
          <t>1
2</t>
        </is>
      </c>
      <c r="AT4" s="43" t="n">
        <v>2</v>
      </c>
    </row>
    <row r="5" ht="48" customHeight="1">
      <c r="H5" s="45" t="n"/>
      <c r="I5" s="46" t="inlineStr">
        <is>
          <t>진화명</t>
        </is>
      </c>
      <c r="J5" s="47" t="inlineStr">
        <is>
          <t>Frontline Flair - EA SPORTS FC 27</t>
        </is>
      </c>
      <c r="K5" s="47" t="inlineStr">
        <is>
          <t>Frontline Flair - EA SPORTS FC 27</t>
        </is>
      </c>
      <c r="L5" s="47" t="inlineStr">
        <is>
          <t>Midfield Polish [SP+ 1] - EA SPORTS FC 27</t>
        </is>
      </c>
      <c r="M5" s="47" t="inlineStr">
        <is>
          <t>Frontline Flair - EA SPORTS FC 27</t>
        </is>
      </c>
      <c r="N5" s="47" t="inlineStr">
        <is>
          <t>Midfield Polish [SP+ 1] - EA SPORTS FC 27</t>
        </is>
      </c>
      <c r="O5" s="48" t="n"/>
      <c r="P5" s="47" t="inlineStr">
        <is>
          <t>Future Stars Academy III - EA SPORTS FC 27</t>
        </is>
      </c>
      <c r="Q5" s="47" t="inlineStr">
        <is>
          <t>Future Stars Academy III - EA SPORTS FC 27</t>
        </is>
      </c>
      <c r="R5" s="47" t="inlineStr">
        <is>
          <t>Batigol Precision - EA SPORTS FC 27</t>
        </is>
      </c>
      <c r="S5" s="47" t="inlineStr">
        <is>
          <t>Future Stars Academy III - EA SPORTS FC 27</t>
        </is>
      </c>
      <c r="T5" s="47" t="inlineStr">
        <is>
          <t>Future Stars Academy III - EA SPORTS FC 27</t>
        </is>
      </c>
      <c r="U5" s="47" t="inlineStr">
        <is>
          <t>Future Stars Academy III - EA SPORTS FC 27</t>
        </is>
      </c>
      <c r="V5" s="47" t="inlineStr">
        <is>
          <t>Batigol Precision - EA SPORTS FC 27</t>
        </is>
      </c>
      <c r="W5" s="47" t="inlineStr">
        <is>
          <t>Batigol Precision - EA SPORTS FC 27</t>
        </is>
      </c>
      <c r="X5" s="47" t="inlineStr">
        <is>
          <t>Future Stars Academy II - EA SPORTS FC 27</t>
        </is>
      </c>
      <c r="Y5" s="47" t="inlineStr">
        <is>
          <t>Future Stars Academy II - EA SPORTS FC 27
Winger Glow Up [SP+ 26] - EA SPORTS FC 27</t>
        </is>
      </c>
      <c r="Z5" s="48" t="n"/>
      <c r="AA5" s="47" t="inlineStr">
        <is>
          <t>Future Stars Academy II - EA SPORTS FC 27</t>
        </is>
      </c>
      <c r="AB5" s="47" t="inlineStr">
        <is>
          <t>Future Stars Academy II - EA SPORTS FC 27</t>
        </is>
      </c>
      <c r="AC5" s="47" t="inlineStr">
        <is>
          <t>Future Stars Academy II - EA SPORTS FC 27</t>
        </is>
      </c>
      <c r="AD5" s="47" t="inlineStr">
        <is>
          <t>Future Stars Academy III - EA SPORTS FC 27</t>
        </is>
      </c>
      <c r="AE5" s="47" t="inlineStr">
        <is>
          <t>Future Stars Academy III - EA SPORTS FC 27
Winger Glow Up [SP+ 26] - EA SPORTS FC 27</t>
        </is>
      </c>
      <c r="AF5" s="47" t="inlineStr">
        <is>
          <t>Future Stars Academy III - EA SPORTS FC 27</t>
        </is>
      </c>
      <c r="AG5" s="47" t="inlineStr">
        <is>
          <t>Future Stars Academy III - EA SPORTS FC 27</t>
        </is>
      </c>
      <c r="AH5" s="47" t="inlineStr">
        <is>
          <t>Future Stars Academy III - EA SPORTS FC 27</t>
        </is>
      </c>
      <c r="AI5" s="47" t="inlineStr">
        <is>
          <t>Future Stars Academy III - EA SPORTS FC 27</t>
        </is>
      </c>
      <c r="AJ5" s="47" t="inlineStr">
        <is>
          <t>Intro to Evolutions - EA SPORTS FC 27</t>
        </is>
      </c>
      <c r="AK5" s="47" t="inlineStr">
        <is>
          <t>Future Stars Academy II - EA SPORTS FC 27</t>
        </is>
      </c>
      <c r="AL5" s="47" t="inlineStr">
        <is>
          <t>Midfield Glow Up - EA SPORTS FC 27</t>
        </is>
      </c>
      <c r="AM5" s="47" t="inlineStr">
        <is>
          <t>Midfield Glow Up - EA SPORTS FC 27</t>
        </is>
      </c>
      <c r="AN5" s="47" t="inlineStr">
        <is>
          <t>Midfield Glow Up - EA SPORTS FC 27
Intro to Evolutions - EA SPORTS FC 27</t>
        </is>
      </c>
      <c r="AO5" s="47" t="inlineStr">
        <is>
          <t>Striker Glow Up [SP 7] - EA SPORTS FC 27</t>
        </is>
      </c>
      <c r="AP5" s="47" t="inlineStr">
        <is>
          <t>Future Stars Academy II - EA SPORTS FC 27</t>
        </is>
      </c>
      <c r="AQ5" s="47" t="inlineStr">
        <is>
          <t>Midfield Glow Up - EA SPORTS FC 27</t>
        </is>
      </c>
      <c r="AR5" s="47" t="inlineStr">
        <is>
          <t>Midfield Glow Up - EA SPORTS FC 27</t>
        </is>
      </c>
      <c r="AS5" s="47" t="inlineStr">
        <is>
          <t>Touchline Magic - EA SPORTS FC 27
Future Stars Academy I - EA SPORTS FC 27</t>
        </is>
      </c>
      <c r="AT5" s="47" t="inlineStr">
        <is>
          <t>Repeat Delivery - EA SPORTS FC 27</t>
        </is>
      </c>
    </row>
    <row r="6" ht="18" customHeight="1">
      <c r="H6" s="41" t="inlineStr">
        <is>
          <t>2위</t>
        </is>
      </c>
      <c r="I6" s="42" t="inlineStr">
        <is>
          <t>MAX</t>
        </is>
      </c>
      <c r="J6" s="44" t="n"/>
      <c r="K6" s="44" t="n"/>
      <c r="L6" s="44" t="n"/>
      <c r="M6" s="44" t="n"/>
      <c r="N6" s="44" t="n"/>
      <c r="O6" s="44" t="n"/>
      <c r="P6" s="43" t="n">
        <v>85</v>
      </c>
      <c r="Q6" s="43" t="n">
        <v>85</v>
      </c>
      <c r="R6" s="43" t="n">
        <v>82</v>
      </c>
      <c r="S6" s="43" t="n">
        <v>83</v>
      </c>
      <c r="T6" s="43" t="n">
        <v>84</v>
      </c>
      <c r="U6" s="43" t="n">
        <v>83</v>
      </c>
      <c r="V6" s="43" t="n">
        <v>82</v>
      </c>
      <c r="W6" s="43" t="n">
        <v>81</v>
      </c>
      <c r="X6" s="43" t="n">
        <v>84</v>
      </c>
      <c r="Y6" s="43" t="n">
        <v>79</v>
      </c>
      <c r="Z6" s="44" t="n"/>
      <c r="AA6" s="43" t="n">
        <v>83</v>
      </c>
      <c r="AB6" s="43" t="n">
        <v>81</v>
      </c>
      <c r="AC6" s="43" t="n">
        <v>83</v>
      </c>
      <c r="AD6" s="43" t="n">
        <v>86</v>
      </c>
      <c r="AE6" s="43" t="n">
        <v>83</v>
      </c>
      <c r="AF6" s="43" t="n">
        <v>83</v>
      </c>
      <c r="AG6" s="43" t="n">
        <v>85</v>
      </c>
      <c r="AH6" s="43" t="n">
        <v>84</v>
      </c>
      <c r="AI6" s="43" t="n">
        <v>84</v>
      </c>
      <c r="AJ6" s="43" t="n">
        <v>75</v>
      </c>
      <c r="AK6" s="43" t="n">
        <v>73</v>
      </c>
      <c r="AL6" s="43" t="n">
        <v>77</v>
      </c>
      <c r="AM6" s="43" t="n">
        <v>78</v>
      </c>
      <c r="AN6" s="44" t="n"/>
      <c r="AO6" s="43" t="n">
        <v>76</v>
      </c>
      <c r="AP6" s="43" t="n">
        <v>82</v>
      </c>
      <c r="AQ6" s="43" t="n">
        <v>73</v>
      </c>
      <c r="AR6" s="44" t="n"/>
      <c r="AS6" s="43" t="n">
        <v>3</v>
      </c>
      <c r="AT6" s="44" t="n"/>
    </row>
    <row r="7" ht="18" customHeight="1">
      <c r="H7" s="41" t="n"/>
      <c r="I7" s="42" t="inlineStr">
        <is>
          <t>+OVR</t>
        </is>
      </c>
      <c r="J7" s="44" t="n"/>
      <c r="K7" s="44" t="n"/>
      <c r="L7" s="44" t="n"/>
      <c r="M7" s="44" t="n"/>
      <c r="N7" s="44" t="n"/>
      <c r="O7" s="44" t="n"/>
      <c r="P7" s="43" t="n">
        <v>10</v>
      </c>
      <c r="Q7" s="43" t="n">
        <v>10</v>
      </c>
      <c r="R7" s="43" t="n">
        <v>10</v>
      </c>
      <c r="S7" s="43" t="inlineStr">
        <is>
          <t>6
10</t>
        </is>
      </c>
      <c r="T7" s="43" t="n">
        <v>6</v>
      </c>
      <c r="U7" s="43" t="n">
        <v>6</v>
      </c>
      <c r="V7" s="43" t="n">
        <v>1</v>
      </c>
      <c r="W7" s="43" t="n">
        <v>40</v>
      </c>
      <c r="X7" s="43" t="n">
        <v>8</v>
      </c>
      <c r="Y7" s="43" t="n">
        <v>40</v>
      </c>
      <c r="Z7" s="44" t="n"/>
      <c r="AA7" s="43" t="n">
        <v>1</v>
      </c>
      <c r="AB7" s="43" t="n">
        <v>40</v>
      </c>
      <c r="AC7" s="43" t="n">
        <v>10</v>
      </c>
      <c r="AD7" s="43" t="n">
        <v>10</v>
      </c>
      <c r="AE7" s="43" t="n">
        <v>10</v>
      </c>
      <c r="AF7" s="43" t="n">
        <v>10</v>
      </c>
      <c r="AG7" s="43" t="n">
        <v>10</v>
      </c>
      <c r="AH7" s="43" t="n">
        <v>10</v>
      </c>
      <c r="AI7" s="43" t="n">
        <v>1</v>
      </c>
      <c r="AJ7" s="43" t="n">
        <v>40</v>
      </c>
      <c r="AK7" s="43" t="n">
        <v>34</v>
      </c>
      <c r="AL7" s="43" t="n">
        <v>34</v>
      </c>
      <c r="AM7" s="43" t="n">
        <v>34</v>
      </c>
      <c r="AN7" s="44" t="n"/>
      <c r="AO7" s="43" t="n">
        <v>40</v>
      </c>
      <c r="AP7" s="43" t="inlineStr">
        <is>
          <t>10
34</t>
        </is>
      </c>
      <c r="AQ7" s="43" t="n">
        <v>34</v>
      </c>
      <c r="AR7" s="44" t="n"/>
      <c r="AS7" s="43" t="inlineStr">
        <is>
          <t>40
10
8</t>
        </is>
      </c>
      <c r="AT7" s="44" t="n"/>
    </row>
    <row r="8" ht="18" customHeight="1">
      <c r="H8" s="41" t="n"/>
      <c r="I8" s="42" t="inlineStr">
        <is>
          <t>+Stat Point</t>
        </is>
      </c>
      <c r="J8" s="44" t="n"/>
      <c r="K8" s="44" t="n"/>
      <c r="L8" s="44" t="n"/>
      <c r="M8" s="44" t="n"/>
      <c r="N8" s="44" t="n"/>
      <c r="O8" s="44" t="n"/>
      <c r="P8" s="43" t="inlineStr">
        <is>
          <t>10
15</t>
        </is>
      </c>
      <c r="Q8" s="43" t="inlineStr">
        <is>
          <t>10
15</t>
        </is>
      </c>
      <c r="R8" s="43" t="n">
        <v>15</v>
      </c>
      <c r="S8" s="43" t="inlineStr">
        <is>
          <t>7
15</t>
        </is>
      </c>
      <c r="T8" s="43" t="n">
        <v>7</v>
      </c>
      <c r="U8" s="43" t="n">
        <v>7</v>
      </c>
      <c r="V8" s="43" t="n">
        <v>5</v>
      </c>
      <c r="W8" s="43" t="n">
        <v>50</v>
      </c>
      <c r="X8" s="43" t="n">
        <v>15</v>
      </c>
      <c r="Y8" s="43" t="n">
        <v>50</v>
      </c>
      <c r="Z8" s="44" t="n"/>
      <c r="AA8" s="43" t="n">
        <v>4</v>
      </c>
      <c r="AB8" s="43" t="n">
        <v>50</v>
      </c>
      <c r="AC8" s="43" t="n">
        <v>7</v>
      </c>
      <c r="AD8" s="43" t="n">
        <v>15</v>
      </c>
      <c r="AE8" s="43" t="n">
        <v>10</v>
      </c>
      <c r="AF8" s="43" t="n">
        <v>10</v>
      </c>
      <c r="AG8" s="43" t="n">
        <v>15</v>
      </c>
      <c r="AH8" s="43" t="inlineStr">
        <is>
          <t>10
15</t>
        </is>
      </c>
      <c r="AI8" s="43" t="n">
        <v>3</v>
      </c>
      <c r="AJ8" s="43" t="n">
        <v>40</v>
      </c>
      <c r="AK8" s="43" t="n">
        <v>20</v>
      </c>
      <c r="AL8" s="43" t="n">
        <v>40</v>
      </c>
      <c r="AM8" s="43" t="n">
        <v>40</v>
      </c>
      <c r="AN8" s="44" t="n"/>
      <c r="AO8" s="43" t="n">
        <v>40</v>
      </c>
      <c r="AP8" s="43" t="inlineStr">
        <is>
          <t>7
25</t>
        </is>
      </c>
      <c r="AQ8" s="43" t="n">
        <v>15</v>
      </c>
      <c r="AR8" s="44" t="n"/>
      <c r="AS8" s="43" t="inlineStr">
        <is>
          <t>2
1</t>
        </is>
      </c>
      <c r="AT8" s="44" t="n"/>
    </row>
    <row r="9" ht="48" customHeight="1">
      <c r="H9" s="45" t="n"/>
      <c r="I9" s="46" t="inlineStr">
        <is>
          <t>진화명</t>
        </is>
      </c>
      <c r="J9" s="49" t="n"/>
      <c r="K9" s="50" t="n"/>
      <c r="L9" s="50" t="n"/>
      <c r="M9" s="50" t="n"/>
      <c r="N9" s="50" t="n"/>
      <c r="O9" s="50" t="n"/>
      <c r="P9" s="47" t="inlineStr">
        <is>
          <t>Touchline Magic - EA SPORTS FC 27
Winger Glow Up [SP+ 26] - EA SPORTS FC 27</t>
        </is>
      </c>
      <c r="Q9" s="47" t="inlineStr">
        <is>
          <t>Touchline Magic - EA SPORTS FC 27
Winger Glow Up [SP+ 26] - EA SPORTS FC 27</t>
        </is>
      </c>
      <c r="R9" s="47" t="inlineStr">
        <is>
          <t>Striker Glow Up [SP 7] - EA SPORTS FC 27</t>
        </is>
      </c>
      <c r="S9" s="47" t="inlineStr">
        <is>
          <t>Batigol Precision - EA SPORTS FC 27
Striker Glow Up [SP 7] - EA SPORTS FC 27</t>
        </is>
      </c>
      <c r="T9" s="47" t="inlineStr">
        <is>
          <t>Batigol Precision - EA SPORTS FC 27</t>
        </is>
      </c>
      <c r="U9" s="47" t="inlineStr">
        <is>
          <t>Batigol Precision - EA SPORTS FC 27</t>
        </is>
      </c>
      <c r="V9" s="47" t="inlineStr">
        <is>
          <t>Future Stars Academy III - EA SPORTS FC 27</t>
        </is>
      </c>
      <c r="W9" s="47" t="inlineStr">
        <is>
          <t>Nine Duty - EA SPORTS FC 27</t>
        </is>
      </c>
      <c r="X9" s="47" t="inlineStr">
        <is>
          <t>Repeat Delivery - EA SPORTS FC 27</t>
        </is>
      </c>
      <c r="Y9" s="47" t="inlineStr">
        <is>
          <t>Playmaker Reborn - EA SPORTS FC 27</t>
        </is>
      </c>
      <c r="Z9" s="50" t="n"/>
      <c r="AA9" s="47" t="inlineStr">
        <is>
          <t>Believe - EA SPORTS FC 27</t>
        </is>
      </c>
      <c r="AB9" s="47" t="inlineStr">
        <is>
          <t>Playmaker Reborn - EA SPORTS FC 27</t>
        </is>
      </c>
      <c r="AC9" s="47" t="inlineStr">
        <is>
          <t>Touchline Magic - EA SPORTS FC 27</t>
        </is>
      </c>
      <c r="AD9" s="47" t="inlineStr">
        <is>
          <t>Winger Glow Up [SP+ 26] - EA SPORTS FC 27</t>
        </is>
      </c>
      <c r="AE9" s="47" t="inlineStr">
        <is>
          <t>Touchline Magic - EA SPORTS FC 27</t>
        </is>
      </c>
      <c r="AF9" s="47" t="inlineStr">
        <is>
          <t>Touchline Magic - EA SPORTS FC 27</t>
        </is>
      </c>
      <c r="AG9" s="47" t="inlineStr">
        <is>
          <t>Winger Glow Up [SP+ 26] - EA SPORTS FC 27</t>
        </is>
      </c>
      <c r="AH9" s="47" t="inlineStr">
        <is>
          <t>Touchline Magic - EA SPORTS FC 27
Winger Glow Up [SP+ 26] - EA SPORTS FC 27</t>
        </is>
      </c>
      <c r="AI9" s="47" t="inlineStr">
        <is>
          <t>Believe - EA SPORTS FC 27</t>
        </is>
      </c>
      <c r="AJ9" s="47" t="inlineStr">
        <is>
          <t>Midfield Glow Up - EA SPORTS FC 27</t>
        </is>
      </c>
      <c r="AK9" s="47" t="inlineStr">
        <is>
          <t>Future Stars Academy I - EA SPORTS FC 27</t>
        </is>
      </c>
      <c r="AL9" s="47" t="inlineStr">
        <is>
          <t>Intro to Evolutions - EA SPORTS FC 27</t>
        </is>
      </c>
      <c r="AM9" s="47" t="inlineStr">
        <is>
          <t>Intro to Evolutions - EA SPORTS FC 27</t>
        </is>
      </c>
      <c r="AN9" s="50" t="n"/>
      <c r="AO9" s="47" t="inlineStr">
        <is>
          <t>Midfield Glow Up - EA SPORTS FC 27</t>
        </is>
      </c>
      <c r="AP9" s="47" t="inlineStr">
        <is>
          <t>Touchline Magic - EA SPORTS FC 27
Future Stars Academy I - EA SPORTS FC 27</t>
        </is>
      </c>
      <c r="AQ9" s="47" t="inlineStr">
        <is>
          <t>Future Stars Academy I - EA SPORTS FC 27</t>
        </is>
      </c>
      <c r="AR9" s="50" t="n"/>
      <c r="AS9" s="47" t="inlineStr">
        <is>
          <t>Nine Duty - EA SPORTS FC 27
Winger Glow Up [SP+ 26] - EA SPORTS FC 27
Repeat Delivery - EA SPORTS FC 27</t>
        </is>
      </c>
      <c r="AT9" s="50" t="n"/>
    </row>
    <row r="10" ht="18" customFormat="1" customHeight="1" s="7">
      <c r="H10" s="41" t="inlineStr">
        <is>
          <t>3위</t>
        </is>
      </c>
      <c r="I10" s="42" t="inlineStr">
        <is>
          <t>MAX</t>
        </is>
      </c>
      <c r="J10" s="51" t="n"/>
      <c r="K10" s="51" t="n"/>
      <c r="L10" s="51" t="n"/>
      <c r="M10" s="52" t="n"/>
      <c r="N10" s="51" t="n"/>
      <c r="O10" s="51" t="n"/>
      <c r="P10" s="43" t="n">
        <v>83</v>
      </c>
      <c r="Q10" s="43" t="n">
        <v>83</v>
      </c>
      <c r="R10" s="43" t="n">
        <v>81</v>
      </c>
      <c r="S10" s="43" t="n">
        <v>82</v>
      </c>
      <c r="T10" s="43" t="n">
        <v>82</v>
      </c>
      <c r="U10" s="43" t="n">
        <v>81</v>
      </c>
      <c r="V10" s="43" t="n">
        <v>79</v>
      </c>
      <c r="W10" s="43" t="n">
        <v>77</v>
      </c>
      <c r="X10" s="43" t="n">
        <v>82</v>
      </c>
      <c r="Y10" s="43" t="n">
        <v>78</v>
      </c>
      <c r="Z10" s="53" t="n"/>
      <c r="AA10" s="43" t="n">
        <v>82</v>
      </c>
      <c r="AB10" s="43" t="n">
        <v>80</v>
      </c>
      <c r="AC10" s="43" t="n">
        <v>80</v>
      </c>
      <c r="AD10" s="43" t="n">
        <v>84</v>
      </c>
      <c r="AE10" s="43" t="n">
        <v>81</v>
      </c>
      <c r="AF10" s="43" t="n">
        <v>82</v>
      </c>
      <c r="AG10" s="43" t="n">
        <v>84</v>
      </c>
      <c r="AH10" s="43" t="n">
        <v>81</v>
      </c>
      <c r="AI10" s="43" t="n">
        <v>83</v>
      </c>
      <c r="AJ10" s="53" t="n"/>
      <c r="AK10" s="53" t="n"/>
      <c r="AL10" s="53" t="n"/>
      <c r="AM10" s="53" t="n"/>
      <c r="AN10" s="53" t="n"/>
      <c r="AO10" s="53" t="n"/>
      <c r="AP10" s="43" t="n">
        <v>80</v>
      </c>
      <c r="AQ10" s="53" t="n"/>
      <c r="AR10" s="53" t="n"/>
      <c r="AS10" s="53" t="n"/>
      <c r="AT10" s="53" t="n"/>
    </row>
    <row r="11" ht="18" customHeight="1">
      <c r="H11" s="41" t="n"/>
      <c r="I11" s="42" t="inlineStr">
        <is>
          <t>+OVR</t>
        </is>
      </c>
      <c r="J11" s="53" t="n"/>
      <c r="K11" s="54" t="n"/>
      <c r="L11" s="53" t="n"/>
      <c r="M11" s="53" t="n"/>
      <c r="N11" s="53" t="n"/>
      <c r="O11" s="53" t="n"/>
      <c r="P11" s="43" t="n">
        <v>6</v>
      </c>
      <c r="Q11" s="43" t="n">
        <v>6</v>
      </c>
      <c r="R11" s="43" t="inlineStr">
        <is>
          <t>10
1</t>
        </is>
      </c>
      <c r="S11" s="43" t="n">
        <v>10</v>
      </c>
      <c r="T11" s="43" t="n">
        <v>10</v>
      </c>
      <c r="U11" s="43" t="n">
        <v>10</v>
      </c>
      <c r="V11" s="43" t="n">
        <v>40</v>
      </c>
      <c r="W11" s="43" t="n">
        <v>40</v>
      </c>
      <c r="X11" s="43" t="n">
        <v>34</v>
      </c>
      <c r="Y11" s="43" t="inlineStr">
        <is>
          <t>34
8</t>
        </is>
      </c>
      <c r="Z11" s="53" t="n"/>
      <c r="AA11" s="43" t="n">
        <v>34</v>
      </c>
      <c r="AB11" s="43" t="n">
        <v>10</v>
      </c>
      <c r="AC11" s="43" t="n">
        <v>34</v>
      </c>
      <c r="AD11" s="43" t="n">
        <v>10</v>
      </c>
      <c r="AE11" s="43" t="n">
        <v>6</v>
      </c>
      <c r="AF11" s="43" t="inlineStr">
        <is>
          <t>1
6</t>
        </is>
      </c>
      <c r="AG11" s="43" t="n">
        <v>10</v>
      </c>
      <c r="AH11" s="43" t="inlineStr">
        <is>
          <t>1
6</t>
        </is>
      </c>
      <c r="AI11" s="43" t="n">
        <v>10</v>
      </c>
      <c r="AJ11" s="53" t="n"/>
      <c r="AK11" s="53" t="n"/>
      <c r="AL11" s="53" t="n"/>
      <c r="AM11" s="53" t="n"/>
      <c r="AN11" s="53" t="n"/>
      <c r="AO11" s="53" t="n"/>
      <c r="AP11" s="43" t="n">
        <v>34</v>
      </c>
      <c r="AQ11" s="53" t="n"/>
      <c r="AR11" s="53" t="n"/>
      <c r="AS11" s="53" t="n"/>
      <c r="AT11" s="53" t="n"/>
    </row>
    <row r="12" ht="18" customHeight="1">
      <c r="H12" s="41" t="n"/>
      <c r="I12" s="42" t="inlineStr">
        <is>
          <t>+Stat Point</t>
        </is>
      </c>
      <c r="J12" s="53" t="n"/>
      <c r="K12" s="54" t="n"/>
      <c r="L12" s="53" t="n"/>
      <c r="M12" s="53" t="n"/>
      <c r="N12" s="53" t="n"/>
      <c r="O12" s="53" t="n"/>
      <c r="P12" s="43" t="n">
        <v>7</v>
      </c>
      <c r="Q12" s="43" t="n">
        <v>7</v>
      </c>
      <c r="R12" s="43" t="inlineStr">
        <is>
          <t>7
1</t>
        </is>
      </c>
      <c r="S12" s="43" t="n">
        <v>7</v>
      </c>
      <c r="T12" s="43" t="n">
        <v>15</v>
      </c>
      <c r="U12" s="43" t="n">
        <v>7</v>
      </c>
      <c r="V12" s="43" t="n">
        <v>50</v>
      </c>
      <c r="W12" s="43" t="n">
        <v>40</v>
      </c>
      <c r="X12" s="43" t="n">
        <v>30</v>
      </c>
      <c r="Y12" s="43" t="inlineStr">
        <is>
          <t>40
10</t>
        </is>
      </c>
      <c r="Z12" s="53" t="n"/>
      <c r="AA12" s="43" t="n">
        <v>35</v>
      </c>
      <c r="AB12" s="43" t="n">
        <v>10</v>
      </c>
      <c r="AC12" s="43" t="n">
        <v>40</v>
      </c>
      <c r="AD12" s="43" t="n">
        <v>10</v>
      </c>
      <c r="AE12" s="43" t="n">
        <v>7</v>
      </c>
      <c r="AF12" s="43" t="inlineStr">
        <is>
          <t>2
7</t>
        </is>
      </c>
      <c r="AG12" s="43" t="n">
        <v>10</v>
      </c>
      <c r="AH12" s="43" t="inlineStr">
        <is>
          <t>1
7</t>
        </is>
      </c>
      <c r="AI12" s="43" t="n">
        <v>10</v>
      </c>
      <c r="AJ12" s="53" t="n"/>
      <c r="AK12" s="53" t="n"/>
      <c r="AL12" s="53" t="n"/>
      <c r="AM12" s="53" t="n"/>
      <c r="AN12" s="53" t="n"/>
      <c r="AO12" s="53" t="n"/>
      <c r="AP12" s="43" t="n">
        <v>40</v>
      </c>
      <c r="AQ12" s="53" t="n"/>
      <c r="AR12" s="53" t="n"/>
      <c r="AS12" s="53" t="n"/>
      <c r="AT12" s="53" t="n"/>
    </row>
    <row r="13" ht="48" customHeight="1">
      <c r="H13" s="45" t="n"/>
      <c r="I13" s="46" t="inlineStr">
        <is>
          <t>진화명</t>
        </is>
      </c>
      <c r="J13" s="50" t="n"/>
      <c r="K13" s="55" t="n"/>
      <c r="L13" s="50" t="n"/>
      <c r="M13" s="50" t="n"/>
      <c r="N13" s="50" t="n"/>
      <c r="O13" s="50" t="n"/>
      <c r="P13" s="47" t="inlineStr">
        <is>
          <t>Batigol Precision - EA SPORTS FC 27</t>
        </is>
      </c>
      <c r="Q13" s="47" t="inlineStr">
        <is>
          <t>Batigol Precision - EA SPORTS FC 27</t>
        </is>
      </c>
      <c r="R13" s="47" t="inlineStr">
        <is>
          <t>Touchline Magic - EA SPORTS FC 27
Future Stars Academy II - EA SPORTS FC 27</t>
        </is>
      </c>
      <c r="S13" s="47" t="inlineStr">
        <is>
          <t>Touchline Magic - EA SPORTS FC 27</t>
        </is>
      </c>
      <c r="T13" s="47" t="inlineStr">
        <is>
          <t>Striker Glow Up [SP 7] - EA SPORTS FC 27</t>
        </is>
      </c>
      <c r="U13" s="47" t="inlineStr">
        <is>
          <t>Touchline Magic - EA SPORTS FC 27</t>
        </is>
      </c>
      <c r="V13" s="47" t="inlineStr">
        <is>
          <t>Nine Duty - EA SPORTS FC 27</t>
        </is>
      </c>
      <c r="W13" s="47" t="inlineStr">
        <is>
          <t>Playmaker Reborn - EA SPORTS FC 27</t>
        </is>
      </c>
      <c r="X13" s="47" t="inlineStr">
        <is>
          <t>Future Stars Academy I - EA SPORTS FC 27</t>
        </is>
      </c>
      <c r="Y13" s="47" t="inlineStr">
        <is>
          <t>Intro to Evolutions - EA SPORTS FC 27
Repeat Delivery - EA SPORTS FC 27</t>
        </is>
      </c>
      <c r="Z13" s="50" t="n"/>
      <c r="AA13" s="47" t="inlineStr">
        <is>
          <t>Future Stars Academy I - EA SPORTS FC 27</t>
        </is>
      </c>
      <c r="AB13" s="47" t="inlineStr">
        <is>
          <t>Winger Glow Up [SP+ 26] - EA SPORTS FC 27</t>
        </is>
      </c>
      <c r="AC13" s="47" t="inlineStr">
        <is>
          <t>Intro to Evolutions - EA SPORTS FC 27</t>
        </is>
      </c>
      <c r="AD13" s="47" t="inlineStr">
        <is>
          <t>Touchline Magic - EA SPORTS FC 27</t>
        </is>
      </c>
      <c r="AE13" s="47" t="inlineStr">
        <is>
          <t>Batigol Precision - EA SPORTS FC 27</t>
        </is>
      </c>
      <c r="AF13" s="47" t="inlineStr">
        <is>
          <t>Future Stars Academy II - EA SPORTS FC 27
Batigol Precision - EA SPORTS FC 27</t>
        </is>
      </c>
      <c r="AG13" s="47" t="inlineStr">
        <is>
          <t>Touchline Magic - EA SPORTS FC 27</t>
        </is>
      </c>
      <c r="AH13" s="47" t="inlineStr">
        <is>
          <t>Future Stars Academy II - EA SPORTS FC 27
Batigol Precision - EA SPORTS FC 27</t>
        </is>
      </c>
      <c r="AI13" s="47" t="inlineStr">
        <is>
          <t>Touchline Magic - EA SPORTS FC 27</t>
        </is>
      </c>
      <c r="AJ13" s="50" t="n"/>
      <c r="AK13" s="50" t="n"/>
      <c r="AL13" s="50" t="n"/>
      <c r="AM13" s="50" t="n"/>
      <c r="AN13" s="50" t="n"/>
      <c r="AO13" s="50" t="n"/>
      <c r="AP13" s="47" t="inlineStr">
        <is>
          <t>Intro to Evolutions - EA SPORTS FC 27</t>
        </is>
      </c>
      <c r="AQ13" s="50" t="n"/>
      <c r="AR13" s="50" t="n"/>
      <c r="AS13" s="50" t="n"/>
      <c r="AT13" s="50" t="n"/>
    </row>
    <row r="14" hidden="1">
      <c r="I14" s="12" t="n"/>
      <c r="J14" s="13" t="n"/>
      <c r="K14" s="14" t="n"/>
      <c r="L14" s="13" t="n"/>
      <c r="M14" s="13" t="n"/>
      <c r="N14" s="13" t="n"/>
      <c r="O14" s="13" t="n"/>
      <c r="P14" s="13" t="n"/>
      <c r="Q14" s="13" t="n"/>
    </row>
    <row r="15" hidden="1">
      <c r="I15" s="12" t="n"/>
      <c r="J15" s="13" t="n"/>
      <c r="K15" s="14" t="n"/>
      <c r="L15" s="13" t="n"/>
      <c r="M15" s="13" t="n"/>
      <c r="N15" s="13" t="n"/>
      <c r="O15" s="13" t="n"/>
      <c r="P15" s="13" t="n"/>
      <c r="Q15" s="13" t="n"/>
    </row>
    <row r="16" hidden="1" ht="36" customHeight="1">
      <c r="H16" s="39" t="n"/>
      <c r="I16" s="12" t="n"/>
      <c r="J16" s="13" t="n"/>
      <c r="K16" s="14" t="n"/>
      <c r="L16" s="13" t="n"/>
      <c r="M16" s="13" t="n"/>
      <c r="N16" s="13" t="n"/>
      <c r="O16" s="13" t="n"/>
      <c r="P16" s="13" t="n"/>
      <c r="Q16" s="13" t="n"/>
    </row>
    <row r="17" hidden="1">
      <c r="I17" s="12" t="n"/>
      <c r="J17" s="13" t="n"/>
      <c r="K17" s="14" t="n"/>
      <c r="L17" s="13" t="n"/>
      <c r="M17" s="13" t="n"/>
      <c r="N17" s="13" t="n"/>
      <c r="O17" s="13" t="n"/>
      <c r="P17" s="13" t="n"/>
      <c r="Q17" s="13" t="n"/>
    </row>
    <row r="18" hidden="1">
      <c r="I18" s="12" t="n"/>
      <c r="J18" s="13" t="n"/>
      <c r="K18" s="14" t="n"/>
      <c r="L18" s="13" t="n"/>
      <c r="M18" s="13" t="n"/>
      <c r="N18" s="13" t="n"/>
      <c r="O18" s="13" t="n"/>
      <c r="P18" s="13" t="n"/>
      <c r="Q18" s="13" t="n"/>
    </row>
    <row r="19" hidden="1">
      <c r="I19" s="12" t="n"/>
      <c r="J19" s="13" t="n"/>
      <c r="K19" s="14" t="n"/>
      <c r="L19" s="13" t="n"/>
      <c r="M19" s="13" t="n"/>
      <c r="N19" s="13" t="n"/>
      <c r="O19" s="13" t="n"/>
      <c r="P19" s="13" t="n"/>
      <c r="Q19" s="13" t="n"/>
    </row>
    <row r="20" hidden="1">
      <c r="I20" s="12" t="n"/>
      <c r="J20" s="13" t="n"/>
      <c r="K20" s="14" t="n"/>
      <c r="L20" s="13" t="n"/>
      <c r="M20" s="13" t="n"/>
      <c r="N20" s="13" t="n"/>
      <c r="O20" s="13" t="n"/>
      <c r="P20" s="13" t="n"/>
      <c r="Q20" s="13" t="n"/>
    </row>
    <row r="21" hidden="1" ht="24" customHeight="1">
      <c r="H21" s="39" t="n"/>
      <c r="I21" s="12" t="n"/>
      <c r="J21" s="13" t="n"/>
      <c r="K21" s="14" t="n"/>
      <c r="L21" s="13" t="n"/>
      <c r="M21" s="13" t="n"/>
      <c r="N21" s="13" t="n"/>
      <c r="O21" s="13" t="n"/>
      <c r="P21" s="13" t="n"/>
      <c r="Q21" s="13" t="n"/>
    </row>
    <row r="22" hidden="1" ht="36" customHeight="1">
      <c r="I22" s="12" t="n"/>
      <c r="J22" s="13" t="n"/>
      <c r="K22" s="14" t="n"/>
      <c r="L22" s="13" t="n"/>
      <c r="M22" s="13" t="n"/>
      <c r="N22" s="13" t="n"/>
      <c r="O22" s="13" t="n"/>
      <c r="P22" s="13" t="n"/>
      <c r="Q22" s="13" t="n"/>
    </row>
    <row r="23" hidden="1">
      <c r="I23" s="12" t="n"/>
      <c r="J23" s="13" t="n"/>
      <c r="K23" s="14" t="n"/>
      <c r="L23" s="13" t="n"/>
      <c r="M23" s="13" t="n"/>
      <c r="N23" s="13" t="n"/>
      <c r="O23" s="13" t="n"/>
      <c r="P23" s="13" t="n"/>
      <c r="Q23" s="13" t="n"/>
    </row>
    <row r="24" hidden="1">
      <c r="I24" s="12" t="n"/>
      <c r="J24" s="13" t="n"/>
      <c r="K24" s="14" t="n"/>
      <c r="L24" s="13" t="n"/>
      <c r="M24" s="13" t="n"/>
      <c r="N24" s="13" t="n"/>
      <c r="O24" s="13" t="n"/>
      <c r="P24" s="13" t="n"/>
      <c r="Q24" s="13" t="n"/>
    </row>
    <row r="25" hidden="1">
      <c r="I25" s="12" t="n"/>
      <c r="J25" s="13" t="n"/>
      <c r="K25" s="14" t="n"/>
      <c r="L25" s="13" t="n"/>
      <c r="M25" s="13" t="n"/>
      <c r="N25" s="13" t="n"/>
      <c r="O25" s="13" t="n"/>
      <c r="P25" s="13" t="n"/>
      <c r="Q25" s="13" t="n"/>
    </row>
    <row r="26" hidden="1"/>
    <row r="27" hidden="1" ht="33" customFormat="1" customHeight="1" s="1">
      <c r="J27" s="2" t="inlineStr">
        <is>
          <t>선택한 스탯의 Max값</t>
        </is>
      </c>
      <c r="K27" s="2" t="inlineStr">
        <is>
          <t>진화명</t>
        </is>
      </c>
      <c r="L27" s="2" t="inlineStr">
        <is>
          <t>Rank</t>
        </is>
      </c>
      <c r="M27" s="3" t="inlineStr">
        <is>
          <t>+OVR</t>
        </is>
      </c>
      <c r="N27" s="2" t="inlineStr">
        <is>
          <t>Max OVR</t>
        </is>
      </c>
      <c r="O27" s="2" t="inlineStr">
        <is>
          <t>포지션 제한</t>
        </is>
      </c>
      <c r="P27" s="2" t="inlineStr">
        <is>
          <t>OVR 제한</t>
        </is>
      </c>
      <c r="Q27" s="2" t="inlineStr">
        <is>
          <t>기타 요구조건</t>
        </is>
      </c>
      <c r="AB27" t="inlineStr">
        <is>
          <t>상위 Max값</t>
        </is>
      </c>
    </row>
    <row r="28" hidden="1">
      <c r="J28" s="4" t="n">
        <v>84</v>
      </c>
      <c r="K28" s="4" t="inlineStr">
        <is>
          <t>Frontline Flair - EA SPORTS FC 27</t>
        </is>
      </c>
      <c r="L28" s="4" t="n">
        <v>1</v>
      </c>
      <c r="M28" s="4" t="n">
        <v>1</v>
      </c>
      <c r="N28" s="4" t="n">
        <v>84</v>
      </c>
      <c r="O28" s="4" t="inlineStr">
        <is>
          <t>LW, RW, ST</t>
        </is>
      </c>
      <c r="P28" s="4" t="inlineStr">
        <is>
          <t>Max 83</t>
        </is>
      </c>
      <c r="Q28" s="4" t="inlineStr">
        <is>
          <t>Overall Max. 83 Position LW, RW, ST Excluded Position CAM Max PS 7 Pace Max. 84 Details Submit by in 9 days Expiry in 16 days Coins Cost Free Points Cost Free</t>
        </is>
      </c>
      <c r="AB28">
        <f>MAX($J$28:$J$322)</f>
        <v/>
      </c>
    </row>
    <row r="29" hidden="1">
      <c r="J29" s="4" t="n"/>
      <c r="K29" s="4" t="n"/>
      <c r="L29" s="4" t="n"/>
      <c r="M29" s="4" t="n"/>
      <c r="N29" s="4" t="n"/>
      <c r="O29" s="4" t="n"/>
      <c r="P29" s="4" t="n"/>
      <c r="Q29" s="4" t="n"/>
      <c r="AB29">
        <f>_xlfn.MAXIFS($J$28:$J$322,$J$28:$J$322,"&lt;"&amp;AB28)</f>
        <v/>
      </c>
    </row>
    <row r="30" hidden="1">
      <c r="J30" s="4" t="n"/>
      <c r="K30" s="4" t="n"/>
      <c r="L30" s="4" t="n"/>
      <c r="M30" s="4" t="n"/>
      <c r="N30" s="4" t="n"/>
      <c r="O30" s="4" t="n"/>
      <c r="P30" s="4" t="n"/>
      <c r="Q30" s="4" t="n"/>
      <c r="AB30">
        <f>_xlfn.MAXIFS($J$28:$J$322,$J$28:$J$322,"&lt;"&amp;AB29)</f>
        <v/>
      </c>
    </row>
    <row r="31" hidden="1">
      <c r="J31" s="4" t="n"/>
      <c r="K31" s="4" t="n"/>
      <c r="L31" s="4" t="n"/>
      <c r="M31" s="4" t="n"/>
      <c r="N31" s="4" t="n"/>
      <c r="O31" s="4" t="n"/>
      <c r="P31" s="4" t="n"/>
      <c r="Q31" s="4" t="n"/>
    </row>
    <row r="32" hidden="1">
      <c r="J32" s="4" t="n"/>
      <c r="K32" s="4" t="n"/>
      <c r="L32" s="4" t="n"/>
      <c r="M32" s="4" t="n"/>
      <c r="N32" s="4" t="n"/>
      <c r="O32" s="4" t="n"/>
      <c r="P32" s="4" t="n"/>
      <c r="Q32" s="4" t="n"/>
    </row>
    <row r="33" hidden="1">
      <c r="J33" s="4" t="n"/>
      <c r="K33" s="4" t="n"/>
      <c r="L33" s="4" t="n"/>
      <c r="M33" s="4" t="n"/>
      <c r="N33" s="4" t="n"/>
      <c r="O33" s="4" t="n"/>
      <c r="P33" s="4" t="n"/>
      <c r="Q33" s="4" t="n"/>
    </row>
    <row r="34" hidden="1">
      <c r="J34" s="4" t="n"/>
      <c r="K34" s="4" t="n"/>
      <c r="L34" s="4" t="n"/>
      <c r="M34" s="4" t="n"/>
      <c r="N34" s="4" t="n"/>
      <c r="O34" s="4" t="n"/>
      <c r="P34" s="4" t="n"/>
      <c r="Q34" s="4" t="n"/>
    </row>
    <row r="35" hidden="1">
      <c r="J35" s="4" t="n"/>
      <c r="K35" s="4" t="n"/>
      <c r="L35" s="4" t="n"/>
      <c r="M35" s="4" t="n"/>
      <c r="N35" s="4" t="n"/>
      <c r="O35" s="4" t="n"/>
      <c r="P35" s="4" t="n"/>
      <c r="Q35" s="4" t="n"/>
    </row>
    <row r="36" hidden="1">
      <c r="J36" s="4" t="n"/>
      <c r="K36" s="4" t="n"/>
      <c r="L36" s="4" t="n"/>
      <c r="M36" s="4" t="n"/>
      <c r="N36" s="4" t="n"/>
      <c r="O36" s="4" t="n"/>
      <c r="P36" s="4" t="n"/>
      <c r="Q36" s="4" t="n"/>
    </row>
    <row r="37" hidden="1">
      <c r="J37" s="4" t="n"/>
      <c r="K37" s="4" t="n"/>
      <c r="L37" s="4" t="n"/>
      <c r="M37" s="4" t="n"/>
      <c r="N37" s="4" t="n"/>
      <c r="O37" s="4" t="n"/>
      <c r="P37" s="4" t="n"/>
      <c r="Q37" s="4" t="n"/>
    </row>
    <row r="38" hidden="1">
      <c r="J38" s="4" t="n"/>
      <c r="K38" s="4" t="n"/>
      <c r="L38" s="4" t="n"/>
      <c r="M38" s="4" t="n"/>
      <c r="N38" s="4" t="n"/>
      <c r="O38" s="4" t="n"/>
      <c r="P38" s="4" t="n"/>
      <c r="Q38" s="4" t="n"/>
    </row>
    <row r="39" hidden="1">
      <c r="J39" s="4" t="n"/>
      <c r="K39" s="4" t="n"/>
      <c r="L39" s="4" t="n"/>
      <c r="M39" s="4" t="n"/>
      <c r="N39" s="4" t="n"/>
      <c r="O39" s="4" t="n"/>
      <c r="P39" s="4" t="n"/>
      <c r="Q39" s="4" t="n"/>
    </row>
    <row r="40" hidden="1">
      <c r="J40" s="4" t="n"/>
      <c r="K40" s="4" t="n"/>
      <c r="L40" s="4" t="n"/>
      <c r="M40" s="4" t="n"/>
      <c r="N40" s="4" t="n"/>
      <c r="O40" s="4" t="n"/>
      <c r="P40" s="4" t="n"/>
      <c r="Q40" s="4" t="n"/>
    </row>
    <row r="41" hidden="1">
      <c r="J41" s="4" t="n"/>
      <c r="K41" s="4" t="n"/>
      <c r="L41" s="4" t="n"/>
      <c r="M41" s="4" t="n"/>
      <c r="N41" s="4" t="n"/>
      <c r="O41" s="4" t="n"/>
      <c r="P41" s="4" t="n"/>
      <c r="Q41" s="4" t="n"/>
    </row>
    <row r="42" hidden="1">
      <c r="J42" s="4" t="n"/>
      <c r="K42" s="4" t="n"/>
      <c r="L42" s="4" t="n"/>
      <c r="M42" s="4" t="n"/>
      <c r="N42" s="4" t="n"/>
      <c r="O42" s="4" t="n"/>
      <c r="P42" s="4" t="n"/>
      <c r="Q42" s="4" t="n"/>
    </row>
    <row r="43" hidden="1">
      <c r="J43" s="4" t="n"/>
      <c r="K43" s="4" t="n"/>
      <c r="L43" s="4" t="n"/>
      <c r="M43" s="4" t="n"/>
      <c r="N43" s="4" t="n"/>
      <c r="O43" s="4" t="n"/>
      <c r="P43" s="4" t="n"/>
      <c r="Q43" s="4" t="n"/>
    </row>
    <row r="44" hidden="1">
      <c r="J44" s="4" t="n"/>
      <c r="K44" s="4" t="n"/>
      <c r="L44" s="4" t="n"/>
      <c r="M44" s="4" t="n"/>
      <c r="N44" s="4" t="n"/>
      <c r="O44" s="4" t="n"/>
      <c r="P44" s="4" t="n"/>
      <c r="Q44" s="4" t="n"/>
    </row>
    <row r="45" hidden="1">
      <c r="J45" s="4" t="n"/>
      <c r="K45" s="4" t="n"/>
      <c r="L45" s="4" t="n"/>
      <c r="M45" s="4" t="n"/>
      <c r="N45" s="4" t="n"/>
      <c r="O45" s="4" t="n"/>
      <c r="P45" s="4" t="n"/>
      <c r="Q45" s="4" t="n"/>
    </row>
    <row r="46" hidden="1">
      <c r="J46" s="4" t="n"/>
      <c r="K46" s="4" t="n"/>
      <c r="L46" s="4" t="n"/>
      <c r="M46" s="4" t="n"/>
      <c r="N46" s="4" t="n"/>
      <c r="O46" s="4" t="n"/>
      <c r="P46" s="4" t="n"/>
      <c r="Q46" s="4" t="n"/>
    </row>
    <row r="47" hidden="1">
      <c r="J47" s="4" t="n"/>
      <c r="K47" s="4" t="n"/>
      <c r="L47" s="4" t="n"/>
      <c r="M47" s="4" t="n"/>
      <c r="N47" s="4" t="n"/>
      <c r="O47" s="4" t="n"/>
      <c r="P47" s="4" t="n"/>
      <c r="Q47" s="4" t="n"/>
    </row>
    <row r="48" hidden="1">
      <c r="J48" s="4" t="n"/>
      <c r="K48" s="4" t="n"/>
      <c r="L48" s="4" t="n"/>
      <c r="M48" s="4" t="n"/>
      <c r="N48" s="4" t="n"/>
      <c r="O48" s="4" t="n"/>
      <c r="P48" s="4" t="n"/>
      <c r="Q48" s="4" t="n"/>
    </row>
    <row r="49" hidden="1">
      <c r="J49" s="4" t="n"/>
      <c r="K49" s="4" t="n"/>
      <c r="L49" s="4" t="n"/>
      <c r="M49" s="4" t="n"/>
      <c r="N49" s="4" t="n"/>
      <c r="O49" s="4" t="n"/>
      <c r="P49" s="4" t="n"/>
      <c r="Q49" s="4" t="n"/>
    </row>
    <row r="50" hidden="1">
      <c r="J50" s="4" t="n"/>
      <c r="K50" s="4" t="n"/>
      <c r="L50" s="4" t="n"/>
      <c r="M50" s="4" t="n"/>
      <c r="N50" s="4" t="n"/>
      <c r="O50" s="4" t="n"/>
      <c r="P50" s="4" t="n"/>
      <c r="Q50" s="4" t="n"/>
    </row>
    <row r="51" hidden="1">
      <c r="J51" s="4" t="n"/>
      <c r="K51" s="4" t="n"/>
      <c r="L51" s="4" t="n"/>
      <c r="M51" s="4" t="n"/>
      <c r="N51" s="4" t="n"/>
      <c r="O51" s="4" t="n"/>
      <c r="P51" s="4" t="n"/>
      <c r="Q51" s="4" t="n"/>
    </row>
    <row r="52" hidden="1">
      <c r="J52" s="4" t="n"/>
      <c r="K52" s="4" t="n"/>
      <c r="L52" s="4" t="n"/>
      <c r="M52" s="4" t="n"/>
      <c r="N52" s="4" t="n"/>
      <c r="O52" s="4" t="n"/>
      <c r="P52" s="4" t="n"/>
      <c r="Q52" s="4" t="n"/>
    </row>
    <row r="53" hidden="1">
      <c r="J53" s="4" t="n"/>
      <c r="K53" s="4" t="n"/>
      <c r="L53" s="4" t="n"/>
      <c r="M53" s="4" t="n"/>
      <c r="N53" s="4" t="n"/>
      <c r="O53" s="4" t="n"/>
      <c r="P53" s="4" t="n"/>
      <c r="Q53" s="4" t="n"/>
    </row>
    <row r="54" hidden="1">
      <c r="J54" s="4" t="n"/>
      <c r="K54" s="4" t="n"/>
      <c r="L54" s="4" t="n"/>
      <c r="M54" s="4" t="n"/>
      <c r="N54" s="4" t="n"/>
      <c r="O54" s="4" t="n"/>
      <c r="P54" s="4" t="n"/>
      <c r="Q54" s="4" t="n"/>
    </row>
    <row r="55" hidden="1">
      <c r="J55" s="4" t="n"/>
      <c r="K55" s="4" t="n"/>
      <c r="L55" s="4" t="n"/>
      <c r="M55" s="4" t="n"/>
      <c r="N55" s="4" t="n"/>
      <c r="O55" s="4" t="n"/>
      <c r="P55" s="4" t="n"/>
      <c r="Q55" s="4" t="n"/>
    </row>
    <row r="56" hidden="1">
      <c r="J56" s="4" t="n"/>
      <c r="K56" s="4" t="n"/>
      <c r="L56" s="4" t="n"/>
      <c r="M56" s="4" t="n"/>
      <c r="N56" s="4" t="n"/>
      <c r="O56" s="4" t="n"/>
      <c r="P56" s="4" t="n"/>
      <c r="Q56" s="4" t="n"/>
    </row>
    <row r="57" hidden="1">
      <c r="J57" s="4" t="n"/>
      <c r="K57" s="4" t="n"/>
      <c r="L57" s="4" t="n"/>
      <c r="M57" s="4" t="n"/>
      <c r="N57" s="4" t="n"/>
      <c r="O57" s="4" t="n"/>
      <c r="P57" s="4" t="n"/>
      <c r="Q57" s="4" t="n"/>
    </row>
    <row r="58" hidden="1">
      <c r="J58" s="4" t="n"/>
      <c r="K58" s="4" t="n"/>
      <c r="L58" s="4" t="n"/>
      <c r="M58" s="4" t="n"/>
      <c r="N58" s="4" t="n"/>
      <c r="O58" s="4" t="n"/>
      <c r="P58" s="4" t="n"/>
      <c r="Q58" s="4" t="n"/>
    </row>
    <row r="59" hidden="1">
      <c r="J59" s="4" t="n"/>
      <c r="K59" s="4" t="n"/>
      <c r="L59" s="4" t="n"/>
      <c r="M59" s="4" t="n"/>
      <c r="N59" s="4" t="n"/>
      <c r="O59" s="4" t="n"/>
      <c r="P59" s="4" t="n"/>
      <c r="Q59" s="4" t="n"/>
    </row>
    <row r="60" hidden="1">
      <c r="J60" s="4" t="n"/>
      <c r="K60" s="4" t="n"/>
      <c r="L60" s="4" t="n"/>
      <c r="M60" s="4" t="n"/>
      <c r="N60" s="4" t="n"/>
      <c r="O60" s="4" t="n"/>
      <c r="P60" s="4" t="n"/>
      <c r="Q60" s="4" t="n"/>
    </row>
    <row r="61" hidden="1">
      <c r="J61" s="4" t="n"/>
      <c r="K61" s="4" t="n"/>
      <c r="L61" s="4" t="n"/>
      <c r="M61" s="4" t="n"/>
      <c r="N61" s="4" t="n"/>
      <c r="O61" s="4" t="n"/>
      <c r="P61" s="4" t="n"/>
      <c r="Q61" s="4" t="n"/>
    </row>
    <row r="62" hidden="1">
      <c r="J62" s="4" t="n"/>
      <c r="K62" s="4" t="n"/>
      <c r="L62" s="4" t="n"/>
      <c r="M62" s="4" t="n"/>
      <c r="N62" s="4" t="n"/>
      <c r="O62" s="4" t="n"/>
      <c r="P62" s="4" t="n"/>
      <c r="Q62" s="4" t="n"/>
    </row>
    <row r="63" hidden="1">
      <c r="J63" s="4" t="n"/>
      <c r="K63" s="4" t="n"/>
      <c r="L63" s="4" t="n"/>
      <c r="M63" s="4" t="n"/>
      <c r="N63" s="4" t="n"/>
      <c r="O63" s="4" t="n"/>
      <c r="P63" s="4" t="n"/>
      <c r="Q63" s="4" t="n"/>
    </row>
    <row r="64" hidden="1">
      <c r="J64" s="4" t="n"/>
      <c r="K64" s="4" t="n"/>
      <c r="L64" s="4" t="n"/>
      <c r="M64" s="4" t="n"/>
      <c r="N64" s="4" t="n"/>
      <c r="O64" s="4" t="n"/>
      <c r="P64" s="4" t="n"/>
      <c r="Q64" s="4" t="n"/>
    </row>
    <row r="65" hidden="1">
      <c r="J65" s="4" t="n"/>
      <c r="K65" s="4" t="n"/>
      <c r="L65" s="4" t="n"/>
      <c r="M65" s="4" t="n"/>
      <c r="N65" s="4" t="n"/>
      <c r="O65" s="4" t="n"/>
      <c r="P65" s="4" t="n"/>
      <c r="Q65" s="4" t="n"/>
    </row>
    <row r="66" hidden="1">
      <c r="J66" s="4" t="n"/>
      <c r="K66" s="4" t="n"/>
      <c r="L66" s="4" t="n"/>
      <c r="M66" s="4" t="n"/>
      <c r="N66" s="4" t="n"/>
      <c r="O66" s="4" t="n"/>
      <c r="P66" s="4" t="n"/>
      <c r="Q66" s="4" t="n"/>
    </row>
    <row r="67" hidden="1">
      <c r="J67" s="4" t="n"/>
      <c r="K67" s="4" t="n"/>
      <c r="L67" s="4" t="n"/>
      <c r="M67" s="4" t="n"/>
      <c r="N67" s="4" t="n"/>
      <c r="O67" s="4" t="n"/>
      <c r="P67" s="4" t="n"/>
      <c r="Q67" s="4" t="n"/>
    </row>
    <row r="68" hidden="1">
      <c r="J68" s="4" t="n"/>
      <c r="K68" s="4" t="n"/>
      <c r="L68" s="4" t="n"/>
      <c r="M68" s="4" t="n"/>
      <c r="N68" s="4" t="n"/>
      <c r="O68" s="4" t="n"/>
      <c r="P68" s="4" t="n"/>
      <c r="Q68" s="4" t="n"/>
    </row>
    <row r="69" hidden="1">
      <c r="J69" s="4" t="n"/>
      <c r="K69" s="4" t="n"/>
      <c r="L69" s="4" t="n"/>
      <c r="M69" s="4" t="n"/>
      <c r="N69" s="4" t="n"/>
      <c r="O69" s="4" t="n"/>
      <c r="P69" s="4" t="n"/>
      <c r="Q69" s="4" t="n"/>
    </row>
    <row r="70" hidden="1">
      <c r="J70" s="4" t="n"/>
      <c r="K70" s="4" t="n"/>
      <c r="L70" s="4" t="n"/>
      <c r="M70" s="4" t="n"/>
      <c r="N70" s="4" t="n"/>
      <c r="O70" s="4" t="n"/>
      <c r="P70" s="4" t="n"/>
      <c r="Q70" s="4" t="n"/>
    </row>
    <row r="71" hidden="1">
      <c r="J71" s="4" t="n"/>
      <c r="K71" s="4" t="n"/>
      <c r="L71" s="4" t="n"/>
      <c r="M71" s="4" t="n"/>
      <c r="N71" s="4" t="n"/>
      <c r="O71" s="4" t="n"/>
      <c r="P71" s="4" t="n"/>
      <c r="Q71" s="4" t="n"/>
    </row>
    <row r="72" hidden="1">
      <c r="J72" s="4" t="n"/>
      <c r="K72" s="4" t="n"/>
      <c r="L72" s="4" t="n"/>
      <c r="M72" s="4" t="n"/>
      <c r="N72" s="4" t="n"/>
      <c r="O72" s="4" t="n"/>
      <c r="P72" s="4" t="n"/>
      <c r="Q72" s="4" t="n"/>
    </row>
    <row r="73" hidden="1">
      <c r="J73" s="4" t="n"/>
      <c r="K73" s="4" t="n"/>
      <c r="L73" s="4" t="n"/>
      <c r="M73" s="4" t="n"/>
      <c r="N73" s="4" t="n"/>
      <c r="O73" s="4" t="n"/>
      <c r="P73" s="4" t="n"/>
      <c r="Q73" s="4" t="n"/>
    </row>
    <row r="74" hidden="1">
      <c r="J74" s="4" t="n"/>
      <c r="K74" s="4" t="n"/>
      <c r="L74" s="4" t="n"/>
      <c r="M74" s="4" t="n"/>
      <c r="N74" s="4" t="n"/>
      <c r="O74" s="4" t="n"/>
      <c r="P74" s="4" t="n"/>
      <c r="Q74" s="4" t="n"/>
    </row>
    <row r="75" hidden="1">
      <c r="J75" s="4" t="n"/>
      <c r="K75" s="4" t="n"/>
      <c r="L75" s="4" t="n"/>
      <c r="M75" s="4" t="n"/>
      <c r="N75" s="4" t="n"/>
      <c r="O75" s="4" t="n"/>
      <c r="P75" s="4" t="n"/>
      <c r="Q75" s="4" t="n"/>
    </row>
    <row r="76" hidden="1">
      <c r="J76" s="4" t="n"/>
      <c r="K76" s="4" t="n"/>
      <c r="L76" s="4" t="n"/>
      <c r="M76" s="4" t="n"/>
      <c r="N76" s="4" t="n"/>
      <c r="O76" s="4" t="n"/>
      <c r="P76" s="4" t="n"/>
      <c r="Q76" s="4" t="n"/>
    </row>
    <row r="77" hidden="1">
      <c r="J77" s="4" t="n"/>
      <c r="K77" s="4" t="n"/>
      <c r="L77" s="4" t="n"/>
      <c r="M77" s="4" t="n"/>
      <c r="N77" s="4" t="n"/>
      <c r="O77" s="4" t="n"/>
      <c r="P77" s="4" t="n"/>
      <c r="Q77" s="4" t="n"/>
    </row>
    <row r="78" hidden="1">
      <c r="J78" s="4" t="n"/>
      <c r="K78" s="4" t="n"/>
      <c r="L78" s="4" t="n"/>
      <c r="M78" s="4" t="n"/>
      <c r="N78" s="4" t="n"/>
      <c r="O78" s="4" t="n"/>
      <c r="P78" s="4" t="n"/>
      <c r="Q78" s="4" t="n"/>
    </row>
    <row r="79" hidden="1">
      <c r="J79" s="4" t="n"/>
      <c r="K79" s="4" t="n"/>
      <c r="L79" s="4" t="n"/>
      <c r="M79" s="4" t="n"/>
      <c r="N79" s="4" t="n"/>
      <c r="O79" s="4" t="n"/>
      <c r="P79" s="4" t="n"/>
      <c r="Q79" s="4" t="n"/>
    </row>
    <row r="80" hidden="1">
      <c r="J80" s="4" t="n"/>
      <c r="K80" s="4" t="n"/>
      <c r="L80" s="4" t="n"/>
      <c r="M80" s="4" t="n"/>
      <c r="N80" s="4" t="n"/>
      <c r="O80" s="4" t="n"/>
      <c r="P80" s="4" t="n"/>
      <c r="Q80" s="4" t="n"/>
    </row>
    <row r="81" hidden="1">
      <c r="J81" s="4" t="n"/>
      <c r="K81" s="4" t="n"/>
      <c r="L81" s="4" t="n"/>
      <c r="M81" s="4" t="n"/>
      <c r="N81" s="4" t="n"/>
      <c r="O81" s="4" t="n"/>
      <c r="P81" s="4" t="n"/>
      <c r="Q81" s="4" t="n"/>
    </row>
    <row r="82" hidden="1">
      <c r="J82" s="4" t="n"/>
      <c r="K82" s="4" t="n"/>
      <c r="L82" s="4" t="n"/>
      <c r="M82" s="4" t="n"/>
      <c r="N82" s="4" t="n"/>
      <c r="O82" s="4" t="n"/>
      <c r="P82" s="4" t="n"/>
      <c r="Q82" s="4" t="n"/>
    </row>
    <row r="83" hidden="1">
      <c r="J83" s="4" t="n"/>
      <c r="K83" s="4" t="n"/>
      <c r="L83" s="4" t="n"/>
      <c r="M83" s="4" t="n"/>
      <c r="N83" s="4" t="n"/>
      <c r="O83" s="4" t="n"/>
      <c r="P83" s="4" t="n"/>
      <c r="Q83" s="4" t="n"/>
    </row>
    <row r="84" hidden="1">
      <c r="J84" s="4" t="n"/>
      <c r="K84" s="4" t="n"/>
      <c r="L84" s="4" t="n"/>
      <c r="M84" s="4" t="n"/>
      <c r="N84" s="4" t="n"/>
      <c r="O84" s="4" t="n"/>
      <c r="P84" s="4" t="n"/>
      <c r="Q84" s="4" t="n"/>
    </row>
    <row r="85" hidden="1">
      <c r="J85" s="4" t="n"/>
      <c r="K85" s="4" t="n"/>
      <c r="L85" s="4" t="n"/>
      <c r="M85" s="4" t="n"/>
      <c r="N85" s="4" t="n"/>
      <c r="O85" s="4" t="n"/>
      <c r="P85" s="4" t="n"/>
      <c r="Q85" s="4" t="n"/>
    </row>
    <row r="86" hidden="1">
      <c r="J86" s="4" t="n"/>
      <c r="K86" s="4" t="n"/>
      <c r="L86" s="4" t="n"/>
      <c r="M86" s="4" t="n"/>
      <c r="N86" s="4" t="n"/>
      <c r="O86" s="4" t="n"/>
      <c r="P86" s="4" t="n"/>
      <c r="Q86" s="4" t="n"/>
    </row>
    <row r="87" hidden="1">
      <c r="J87" s="4" t="n"/>
      <c r="K87" s="4" t="n"/>
      <c r="L87" s="4" t="n"/>
      <c r="M87" s="4" t="n"/>
      <c r="N87" s="4" t="n"/>
      <c r="O87" s="4" t="n"/>
      <c r="P87" s="4" t="n"/>
      <c r="Q87" s="4" t="n"/>
    </row>
    <row r="88" hidden="1">
      <c r="J88" s="4" t="n"/>
      <c r="K88" s="4" t="n"/>
      <c r="L88" s="4" t="n"/>
      <c r="M88" s="4" t="n"/>
      <c r="N88" s="4" t="n"/>
      <c r="O88" s="4" t="n"/>
      <c r="P88" s="4" t="n"/>
      <c r="Q88" s="4" t="n"/>
    </row>
    <row r="89" hidden="1">
      <c r="J89" s="4" t="n"/>
      <c r="K89" s="4" t="n"/>
      <c r="L89" s="4" t="n"/>
      <c r="M89" s="4" t="n"/>
      <c r="N89" s="4" t="n"/>
      <c r="O89" s="4" t="n"/>
      <c r="P89" s="4" t="n"/>
      <c r="Q89" s="4" t="n"/>
    </row>
    <row r="90" hidden="1">
      <c r="J90" s="4" t="n"/>
      <c r="K90" s="4" t="n"/>
      <c r="L90" s="4" t="n"/>
      <c r="M90" s="4" t="n"/>
      <c r="N90" s="4" t="n"/>
      <c r="O90" s="4" t="n"/>
      <c r="P90" s="4" t="n"/>
      <c r="Q90" s="4" t="n"/>
    </row>
    <row r="91" hidden="1">
      <c r="J91" s="4" t="n"/>
      <c r="K91" s="4" t="n"/>
      <c r="L91" s="4" t="n"/>
      <c r="M91" s="4" t="n"/>
      <c r="N91" s="4" t="n"/>
      <c r="O91" s="4" t="n"/>
      <c r="P91" s="4" t="n"/>
      <c r="Q91" s="4" t="n"/>
    </row>
    <row r="92" hidden="1">
      <c r="J92" s="4" t="n"/>
      <c r="K92" s="4" t="n"/>
      <c r="L92" s="4" t="n"/>
      <c r="M92" s="4" t="n"/>
      <c r="N92" s="4" t="n"/>
      <c r="O92" s="4" t="n"/>
      <c r="P92" s="4" t="n"/>
      <c r="Q92" s="4" t="n"/>
    </row>
    <row r="93" hidden="1">
      <c r="J93" s="4" t="n"/>
      <c r="K93" s="4" t="n"/>
      <c r="L93" s="4" t="n"/>
      <c r="M93" s="4" t="n"/>
      <c r="N93" s="4" t="n"/>
      <c r="O93" s="4" t="n"/>
      <c r="P93" s="4" t="n"/>
      <c r="Q93" s="4" t="n"/>
    </row>
    <row r="94" hidden="1">
      <c r="J94" s="4" t="n"/>
      <c r="K94" s="4" t="n"/>
      <c r="L94" s="4" t="n"/>
      <c r="M94" s="4" t="n"/>
      <c r="N94" s="4" t="n"/>
      <c r="O94" s="4" t="n"/>
      <c r="P94" s="4" t="n"/>
      <c r="Q94" s="4" t="n"/>
    </row>
    <row r="95" hidden="1">
      <c r="J95" s="4" t="n"/>
      <c r="K95" s="4" t="n"/>
      <c r="L95" s="4" t="n"/>
      <c r="M95" s="4" t="n"/>
      <c r="N95" s="4" t="n"/>
      <c r="O95" s="4" t="n"/>
      <c r="P95" s="4" t="n"/>
      <c r="Q95" s="4" t="n"/>
    </row>
    <row r="96" hidden="1">
      <c r="J96" s="4" t="n"/>
      <c r="K96" s="4" t="n"/>
      <c r="L96" s="4" t="n"/>
      <c r="M96" s="4" t="n"/>
      <c r="N96" s="4" t="n"/>
      <c r="O96" s="4" t="n"/>
      <c r="P96" s="4" t="n"/>
      <c r="Q96" s="4" t="n"/>
    </row>
    <row r="97" hidden="1">
      <c r="J97" s="4" t="n"/>
      <c r="K97" s="4" t="n"/>
      <c r="L97" s="4" t="n"/>
      <c r="M97" s="4" t="n"/>
      <c r="N97" s="4" t="n"/>
      <c r="O97" s="4" t="n"/>
      <c r="P97" s="4" t="n"/>
      <c r="Q97" s="4" t="n"/>
    </row>
    <row r="98" hidden="1">
      <c r="J98" s="4" t="n"/>
      <c r="K98" s="4" t="n"/>
      <c r="L98" s="4" t="n"/>
      <c r="M98" s="4" t="n"/>
      <c r="N98" s="4" t="n"/>
      <c r="O98" s="4" t="n"/>
      <c r="P98" s="4" t="n"/>
      <c r="Q98" s="4" t="n"/>
    </row>
    <row r="99" hidden="1">
      <c r="J99" s="4" t="n"/>
      <c r="K99" s="4" t="n"/>
      <c r="L99" s="4" t="n"/>
      <c r="M99" s="4" t="n"/>
      <c r="N99" s="4" t="n"/>
      <c r="O99" s="4" t="n"/>
      <c r="P99" s="4" t="n"/>
      <c r="Q99" s="4" t="n"/>
    </row>
    <row r="100" hidden="1">
      <c r="J100" s="4" t="n"/>
      <c r="K100" s="4" t="n"/>
      <c r="L100" s="4" t="n"/>
      <c r="M100" s="4" t="n"/>
      <c r="N100" s="4" t="n"/>
      <c r="O100" s="4" t="n"/>
      <c r="P100" s="4" t="n"/>
      <c r="Q100" s="4" t="n"/>
    </row>
    <row r="101" hidden="1">
      <c r="J101" s="4" t="n"/>
      <c r="K101" s="4" t="n"/>
      <c r="L101" s="4" t="n"/>
      <c r="M101" s="4" t="n"/>
      <c r="N101" s="4" t="n"/>
      <c r="O101" s="4" t="n"/>
      <c r="P101" s="4" t="n"/>
      <c r="Q101" s="4" t="n"/>
    </row>
    <row r="102" hidden="1">
      <c r="J102" s="4" t="n"/>
      <c r="K102" s="4" t="n"/>
      <c r="L102" s="4" t="n"/>
      <c r="M102" s="4" t="n"/>
      <c r="N102" s="4" t="n"/>
      <c r="O102" s="4" t="n"/>
      <c r="P102" s="4" t="n"/>
      <c r="Q102" s="4" t="n"/>
    </row>
    <row r="103" hidden="1">
      <c r="J103" s="4" t="n"/>
      <c r="K103" s="4" t="n"/>
      <c r="L103" s="4" t="n"/>
      <c r="M103" s="4" t="n"/>
      <c r="N103" s="4" t="n"/>
      <c r="O103" s="4" t="n"/>
      <c r="P103" s="4" t="n"/>
      <c r="Q103" s="4" t="n"/>
    </row>
    <row r="104" hidden="1">
      <c r="J104" s="4" t="n"/>
      <c r="K104" s="4" t="n"/>
      <c r="L104" s="4" t="n"/>
      <c r="M104" s="4" t="n"/>
      <c r="N104" s="4" t="n"/>
      <c r="O104" s="4" t="n"/>
      <c r="P104" s="4" t="n"/>
      <c r="Q104" s="4" t="n"/>
    </row>
    <row r="105" hidden="1">
      <c r="J105" s="4" t="n"/>
      <c r="K105" s="4" t="n"/>
      <c r="L105" s="4" t="n"/>
      <c r="M105" s="4" t="n"/>
      <c r="N105" s="4" t="n"/>
      <c r="O105" s="4" t="n"/>
      <c r="P105" s="4" t="n"/>
      <c r="Q105" s="4" t="n"/>
    </row>
    <row r="106" hidden="1">
      <c r="J106" s="4" t="n"/>
      <c r="K106" s="4" t="n"/>
      <c r="L106" s="4" t="n"/>
      <c r="M106" s="4" t="n"/>
      <c r="N106" s="4" t="n"/>
      <c r="O106" s="4" t="n"/>
      <c r="P106" s="4" t="n"/>
      <c r="Q106" s="4" t="n"/>
    </row>
    <row r="107" hidden="1">
      <c r="J107" s="4" t="n"/>
      <c r="K107" s="4" t="n"/>
      <c r="L107" s="4" t="n"/>
      <c r="M107" s="4" t="n"/>
      <c r="N107" s="4" t="n"/>
      <c r="O107" s="4" t="n"/>
      <c r="P107" s="4" t="n"/>
      <c r="Q107" s="4" t="n"/>
    </row>
    <row r="108" hidden="1">
      <c r="J108" s="4" t="n"/>
      <c r="K108" s="4" t="n"/>
      <c r="L108" s="4" t="n"/>
      <c r="M108" s="4" t="n"/>
      <c r="N108" s="4" t="n"/>
      <c r="O108" s="4" t="n"/>
      <c r="P108" s="4" t="n"/>
      <c r="Q108" s="4" t="n"/>
    </row>
    <row r="109" hidden="1">
      <c r="J109" s="4" t="n"/>
      <c r="K109" s="4" t="n"/>
      <c r="L109" s="4" t="n"/>
      <c r="M109" s="4" t="n"/>
      <c r="N109" s="4" t="n"/>
      <c r="O109" s="4" t="n"/>
      <c r="P109" s="4" t="n"/>
      <c r="Q109" s="4" t="n"/>
    </row>
    <row r="110" hidden="1">
      <c r="J110" s="4" t="n"/>
      <c r="K110" s="4" t="n"/>
      <c r="L110" s="4" t="n"/>
      <c r="M110" s="4" t="n"/>
      <c r="N110" s="4" t="n"/>
      <c r="O110" s="4" t="n"/>
      <c r="P110" s="4" t="n"/>
      <c r="Q110" s="4" t="n"/>
    </row>
    <row r="111" hidden="1">
      <c r="J111" s="4" t="n"/>
      <c r="K111" s="4" t="n"/>
      <c r="L111" s="4" t="n"/>
      <c r="M111" s="4" t="n"/>
      <c r="N111" s="4" t="n"/>
      <c r="O111" s="4" t="n"/>
      <c r="P111" s="4" t="n"/>
      <c r="Q111" s="4" t="n"/>
    </row>
    <row r="112" hidden="1">
      <c r="J112" s="4" t="n"/>
      <c r="K112" s="4" t="n"/>
      <c r="L112" s="4" t="n"/>
      <c r="M112" s="4" t="n"/>
      <c r="N112" s="4" t="n"/>
      <c r="O112" s="4" t="n"/>
      <c r="P112" s="4" t="n"/>
      <c r="Q112" s="4" t="n"/>
    </row>
    <row r="113" hidden="1">
      <c r="J113" s="4" t="n"/>
      <c r="K113" s="4" t="n"/>
      <c r="L113" s="4" t="n"/>
      <c r="M113" s="4" t="n"/>
      <c r="N113" s="4" t="n"/>
      <c r="O113" s="4" t="n"/>
      <c r="P113" s="4" t="n"/>
      <c r="Q113" s="4" t="n"/>
    </row>
    <row r="114" hidden="1">
      <c r="J114" s="4" t="n"/>
      <c r="K114" s="4" t="n"/>
      <c r="L114" s="4" t="n"/>
      <c r="M114" s="4" t="n"/>
      <c r="N114" s="4" t="n"/>
      <c r="O114" s="4" t="n"/>
      <c r="P114" s="4" t="n"/>
      <c r="Q114" s="4" t="n"/>
    </row>
    <row r="115" hidden="1">
      <c r="J115" s="4" t="n"/>
      <c r="K115" s="4" t="n"/>
      <c r="L115" s="4" t="n"/>
      <c r="M115" s="4" t="n"/>
      <c r="N115" s="4" t="n"/>
      <c r="O115" s="4" t="n"/>
      <c r="P115" s="4" t="n"/>
      <c r="Q115" s="4" t="n"/>
    </row>
    <row r="116" hidden="1">
      <c r="J116" s="4" t="n"/>
      <c r="K116" s="4" t="n"/>
      <c r="L116" s="4" t="n"/>
      <c r="M116" s="4" t="n"/>
      <c r="N116" s="4" t="n"/>
      <c r="O116" s="4" t="n"/>
      <c r="P116" s="4" t="n"/>
      <c r="Q116" s="4" t="n"/>
    </row>
    <row r="117" hidden="1">
      <c r="J117" s="4" t="n"/>
      <c r="K117" s="4" t="n"/>
      <c r="L117" s="4" t="n"/>
      <c r="M117" s="4" t="n"/>
      <c r="N117" s="4" t="n"/>
      <c r="O117" s="4" t="n"/>
      <c r="P117" s="4" t="n"/>
      <c r="Q117" s="4" t="n"/>
    </row>
    <row r="118" hidden="1">
      <c r="J118" s="4" t="n"/>
      <c r="K118" s="4" t="n"/>
      <c r="L118" s="4" t="n"/>
      <c r="M118" s="4" t="n"/>
      <c r="N118" s="4" t="n"/>
      <c r="O118" s="4" t="n"/>
      <c r="P118" s="4" t="n"/>
      <c r="Q118" s="4" t="n"/>
    </row>
    <row r="119" hidden="1">
      <c r="J119" s="4" t="n"/>
      <c r="K119" s="4" t="n"/>
      <c r="L119" s="4" t="n"/>
      <c r="M119" s="4" t="n"/>
      <c r="N119" s="4" t="n"/>
      <c r="O119" s="4" t="n"/>
      <c r="P119" s="4" t="n"/>
      <c r="Q119" s="4" t="n"/>
    </row>
    <row r="120" hidden="1">
      <c r="J120" s="4" t="n"/>
      <c r="K120" s="4" t="n"/>
      <c r="L120" s="4" t="n"/>
      <c r="M120" s="4" t="n"/>
      <c r="N120" s="4" t="n"/>
      <c r="O120" s="4" t="n"/>
      <c r="P120" s="4" t="n"/>
      <c r="Q120" s="4" t="n"/>
    </row>
    <row r="121" hidden="1">
      <c r="J121" s="4" t="n"/>
      <c r="K121" s="4" t="n"/>
      <c r="L121" s="4" t="n"/>
      <c r="M121" s="4" t="n"/>
      <c r="N121" s="4" t="n"/>
      <c r="O121" s="4" t="n"/>
      <c r="P121" s="4" t="n"/>
      <c r="Q121" s="4" t="n"/>
    </row>
    <row r="122" hidden="1">
      <c r="J122" s="4" t="n"/>
      <c r="K122" s="4" t="n"/>
      <c r="L122" s="4" t="n"/>
      <c r="M122" s="4" t="n"/>
      <c r="N122" s="4" t="n"/>
      <c r="O122" s="4" t="n"/>
      <c r="P122" s="4" t="n"/>
      <c r="Q122" s="4" t="n"/>
    </row>
    <row r="123" hidden="1">
      <c r="J123" s="4" t="n"/>
      <c r="K123" s="4" t="n"/>
      <c r="L123" s="4" t="n"/>
      <c r="M123" s="4" t="n"/>
      <c r="N123" s="4" t="n"/>
      <c r="O123" s="4" t="n"/>
      <c r="P123" s="4" t="n"/>
      <c r="Q123" s="4" t="n"/>
    </row>
    <row r="124" hidden="1">
      <c r="J124" s="4" t="n"/>
      <c r="K124" s="4" t="n"/>
      <c r="L124" s="4" t="n"/>
      <c r="M124" s="4" t="n"/>
      <c r="N124" s="4" t="n"/>
      <c r="O124" s="4" t="n"/>
      <c r="P124" s="4" t="n"/>
      <c r="Q124" s="4" t="n"/>
    </row>
    <row r="125" hidden="1">
      <c r="J125" s="4" t="n"/>
      <c r="K125" s="4" t="n"/>
      <c r="L125" s="4" t="n"/>
      <c r="M125" s="4" t="n"/>
      <c r="N125" s="4" t="n"/>
      <c r="O125" s="4" t="n"/>
      <c r="P125" s="4" t="n"/>
      <c r="Q125" s="4" t="n"/>
    </row>
    <row r="126" hidden="1">
      <c r="J126" s="4" t="n"/>
      <c r="K126" s="4" t="n"/>
      <c r="L126" s="4" t="n"/>
      <c r="M126" s="4" t="n"/>
      <c r="N126" s="4" t="n"/>
      <c r="O126" s="4" t="n"/>
      <c r="P126" s="4" t="n"/>
      <c r="Q126" s="4" t="n"/>
    </row>
    <row r="127" hidden="1">
      <c r="J127" s="4" t="n"/>
      <c r="K127" s="4" t="n"/>
      <c r="L127" s="4" t="n"/>
      <c r="M127" s="4" t="n"/>
      <c r="N127" s="4" t="n"/>
      <c r="O127" s="4" t="n"/>
      <c r="P127" s="4" t="n"/>
      <c r="Q127" s="4" t="n"/>
    </row>
    <row r="128" hidden="1">
      <c r="J128" s="4" t="n"/>
      <c r="K128" s="4" t="n"/>
      <c r="L128" s="4" t="n"/>
      <c r="M128" s="4" t="n"/>
      <c r="N128" s="4" t="n"/>
      <c r="O128" s="4" t="n"/>
      <c r="P128" s="4" t="n"/>
      <c r="Q128" s="4" t="n"/>
    </row>
    <row r="129" hidden="1">
      <c r="J129" s="4" t="n"/>
      <c r="K129" s="4" t="n"/>
      <c r="L129" s="4" t="n"/>
      <c r="M129" s="4" t="n"/>
      <c r="N129" s="4" t="n"/>
      <c r="O129" s="4" t="n"/>
      <c r="P129" s="4" t="n"/>
      <c r="Q129" s="4" t="n"/>
    </row>
    <row r="130" hidden="1">
      <c r="J130" s="4" t="n"/>
      <c r="K130" s="4" t="n"/>
      <c r="L130" s="4" t="n"/>
      <c r="M130" s="4" t="n"/>
      <c r="N130" s="4" t="n"/>
      <c r="O130" s="4" t="n"/>
      <c r="P130" s="4" t="n"/>
      <c r="Q130" s="4" t="n"/>
    </row>
    <row r="131" hidden="1">
      <c r="J131" s="4" t="n"/>
      <c r="K131" s="4" t="n"/>
      <c r="L131" s="4" t="n"/>
      <c r="M131" s="4" t="n"/>
      <c r="N131" s="4" t="n"/>
      <c r="O131" s="4" t="n"/>
      <c r="P131" s="4" t="n"/>
      <c r="Q131" s="4" t="n"/>
    </row>
    <row r="132" hidden="1">
      <c r="J132" s="4" t="n"/>
      <c r="K132" s="4" t="n"/>
      <c r="L132" s="4" t="n"/>
      <c r="M132" s="4" t="n"/>
      <c r="N132" s="4" t="n"/>
      <c r="O132" s="4" t="n"/>
      <c r="P132" s="4" t="n"/>
      <c r="Q132" s="4" t="n"/>
    </row>
    <row r="133" hidden="1">
      <c r="J133" s="4" t="n"/>
      <c r="K133" s="4" t="n"/>
      <c r="L133" s="4" t="n"/>
      <c r="M133" s="4" t="n"/>
      <c r="N133" s="4" t="n"/>
      <c r="O133" s="4" t="n"/>
      <c r="P133" s="4" t="n"/>
      <c r="Q133" s="4" t="n"/>
    </row>
    <row r="134" hidden="1">
      <c r="J134" s="4" t="n"/>
      <c r="K134" s="4" t="n"/>
      <c r="L134" s="4" t="n"/>
      <c r="M134" s="4" t="n"/>
      <c r="N134" s="4" t="n"/>
      <c r="O134" s="4" t="n"/>
      <c r="P134" s="4" t="n"/>
      <c r="Q134" s="4" t="n"/>
    </row>
    <row r="135" hidden="1">
      <c r="J135" s="4" t="n"/>
      <c r="K135" s="4" t="n"/>
      <c r="L135" s="4" t="n"/>
      <c r="M135" s="4" t="n"/>
      <c r="N135" s="4" t="n"/>
      <c r="O135" s="4" t="n"/>
      <c r="P135" s="4" t="n"/>
      <c r="Q135" s="4" t="n"/>
    </row>
    <row r="136" hidden="1">
      <c r="J136" s="4" t="n"/>
      <c r="K136" s="4" t="n"/>
      <c r="L136" s="4" t="n"/>
      <c r="M136" s="4" t="n"/>
      <c r="N136" s="4" t="n"/>
      <c r="O136" s="4" t="n"/>
      <c r="P136" s="4" t="n"/>
      <c r="Q136" s="4" t="n"/>
    </row>
    <row r="137" hidden="1">
      <c r="J137" s="4" t="n"/>
      <c r="K137" s="4" t="n"/>
      <c r="L137" s="4" t="n"/>
      <c r="M137" s="4" t="n"/>
      <c r="N137" s="4" t="n"/>
      <c r="O137" s="4" t="n"/>
      <c r="P137" s="4" t="n"/>
      <c r="Q137" s="4" t="n"/>
    </row>
    <row r="138" hidden="1">
      <c r="J138" s="4" t="n"/>
      <c r="K138" s="4" t="n"/>
      <c r="L138" s="4" t="n"/>
      <c r="M138" s="4" t="n"/>
      <c r="N138" s="4" t="n"/>
      <c r="O138" s="4" t="n"/>
      <c r="P138" s="4" t="n"/>
      <c r="Q138" s="4" t="n"/>
    </row>
    <row r="139" hidden="1">
      <c r="J139" s="4" t="n"/>
      <c r="K139" s="4" t="n"/>
      <c r="L139" s="4" t="n"/>
      <c r="M139" s="4" t="n"/>
      <c r="N139" s="4" t="n"/>
      <c r="O139" s="4" t="n"/>
      <c r="P139" s="4" t="n"/>
      <c r="Q139" s="4" t="n"/>
    </row>
    <row r="140" hidden="1">
      <c r="J140" s="4" t="n"/>
      <c r="K140" s="4" t="n"/>
      <c r="L140" s="4" t="n"/>
      <c r="M140" s="4" t="n"/>
      <c r="N140" s="4" t="n"/>
      <c r="O140" s="4" t="n"/>
      <c r="P140" s="4" t="n"/>
      <c r="Q140" s="4" t="n"/>
    </row>
    <row r="141" hidden="1">
      <c r="J141" s="4" t="n"/>
      <c r="K141" s="4" t="n"/>
      <c r="L141" s="4" t="n"/>
      <c r="M141" s="4" t="n"/>
      <c r="N141" s="4" t="n"/>
      <c r="O141" s="4" t="n"/>
      <c r="P141" s="4" t="n"/>
      <c r="Q141" s="4" t="n"/>
    </row>
    <row r="142" hidden="1">
      <c r="J142" s="4" t="n"/>
      <c r="K142" s="4" t="n"/>
      <c r="L142" s="4" t="n"/>
      <c r="M142" s="4" t="n"/>
      <c r="N142" s="4" t="n"/>
      <c r="O142" s="4" t="n"/>
      <c r="P142" s="4" t="n"/>
      <c r="Q142" s="4" t="n"/>
    </row>
    <row r="143" hidden="1">
      <c r="J143" s="4" t="n"/>
      <c r="K143" s="4" t="n"/>
      <c r="L143" s="4" t="n"/>
      <c r="M143" s="4" t="n"/>
      <c r="N143" s="4" t="n"/>
      <c r="O143" s="4" t="n"/>
      <c r="P143" s="4" t="n"/>
      <c r="Q143" s="4" t="n"/>
    </row>
    <row r="144" hidden="1">
      <c r="J144" s="4" t="n"/>
      <c r="K144" s="4" t="n"/>
      <c r="L144" s="4" t="n"/>
      <c r="M144" s="4" t="n"/>
      <c r="N144" s="4" t="n"/>
      <c r="O144" s="4" t="n"/>
      <c r="P144" s="4" t="n"/>
      <c r="Q144" s="4" t="n"/>
    </row>
    <row r="145" hidden="1">
      <c r="J145" s="4" t="n"/>
      <c r="K145" s="4" t="n"/>
      <c r="L145" s="4" t="n"/>
      <c r="M145" s="4" t="n"/>
      <c r="N145" s="4" t="n"/>
      <c r="O145" s="4" t="n"/>
      <c r="P145" s="4" t="n"/>
      <c r="Q145" s="4" t="n"/>
    </row>
    <row r="146" hidden="1">
      <c r="J146" s="4" t="n"/>
      <c r="K146" s="4" t="n"/>
      <c r="L146" s="4" t="n"/>
      <c r="M146" s="4" t="n"/>
      <c r="N146" s="4" t="n"/>
      <c r="O146" s="4" t="n"/>
      <c r="P146" s="4" t="n"/>
      <c r="Q146" s="4" t="n"/>
    </row>
    <row r="147" hidden="1">
      <c r="J147" s="4" t="n"/>
      <c r="K147" s="4" t="n"/>
      <c r="L147" s="4" t="n"/>
      <c r="M147" s="4" t="n"/>
      <c r="N147" s="4" t="n"/>
      <c r="O147" s="4" t="n"/>
      <c r="P147" s="4" t="n"/>
      <c r="Q147" s="4" t="n"/>
    </row>
    <row r="148" hidden="1">
      <c r="J148" s="4" t="n"/>
      <c r="K148" s="4" t="n"/>
      <c r="L148" s="4" t="n"/>
      <c r="M148" s="4" t="n"/>
      <c r="N148" s="4" t="n"/>
      <c r="O148" s="4" t="n"/>
      <c r="P148" s="4" t="n"/>
      <c r="Q148" s="4" t="n"/>
    </row>
    <row r="149" hidden="1">
      <c r="J149" s="4" t="n"/>
      <c r="K149" s="4" t="n"/>
      <c r="L149" s="4" t="n"/>
      <c r="M149" s="4" t="n"/>
      <c r="N149" s="4" t="n"/>
      <c r="O149" s="4" t="n"/>
      <c r="P149" s="4" t="n"/>
      <c r="Q149" s="4" t="n"/>
    </row>
    <row r="150" hidden="1">
      <c r="J150" s="4" t="n"/>
      <c r="K150" s="4" t="n"/>
      <c r="L150" s="4" t="n"/>
      <c r="M150" s="4" t="n"/>
      <c r="N150" s="4" t="n"/>
      <c r="O150" s="4" t="n"/>
      <c r="P150" s="4" t="n"/>
      <c r="Q150" s="4" t="n"/>
    </row>
    <row r="151" hidden="1">
      <c r="J151" s="4" t="n"/>
      <c r="K151" s="4" t="n"/>
      <c r="L151" s="4" t="n"/>
      <c r="M151" s="4" t="n"/>
      <c r="N151" s="4" t="n"/>
      <c r="O151" s="4" t="n"/>
      <c r="P151" s="4" t="n"/>
      <c r="Q151" s="4" t="n"/>
    </row>
    <row r="152" hidden="1">
      <c r="J152" s="4" t="n"/>
      <c r="K152" s="4" t="n"/>
      <c r="L152" s="4" t="n"/>
      <c r="M152" s="4" t="n"/>
      <c r="N152" s="4" t="n"/>
      <c r="O152" s="4" t="n"/>
      <c r="P152" s="4" t="n"/>
      <c r="Q152" s="4" t="n"/>
    </row>
    <row r="153" hidden="1">
      <c r="J153" s="4" t="n"/>
      <c r="K153" s="4" t="n"/>
      <c r="L153" s="4" t="n"/>
      <c r="M153" s="4" t="n"/>
      <c r="N153" s="4" t="n"/>
      <c r="O153" s="4" t="n"/>
      <c r="P153" s="4" t="n"/>
      <c r="Q153" s="4" t="n"/>
    </row>
    <row r="154" hidden="1">
      <c r="J154" s="4" t="n"/>
      <c r="K154" s="4" t="n"/>
      <c r="L154" s="4" t="n"/>
      <c r="M154" s="4" t="n"/>
      <c r="N154" s="4" t="n"/>
      <c r="O154" s="4" t="n"/>
      <c r="P154" s="4" t="n"/>
      <c r="Q154" s="4" t="n"/>
    </row>
    <row r="155" hidden="1">
      <c r="J155" s="4" t="n"/>
      <c r="K155" s="4" t="n"/>
      <c r="L155" s="4" t="n"/>
      <c r="M155" s="4" t="n"/>
      <c r="N155" s="4" t="n"/>
      <c r="O155" s="4" t="n"/>
      <c r="P155" s="4" t="n"/>
      <c r="Q155" s="4" t="n"/>
    </row>
    <row r="156" hidden="1">
      <c r="J156" s="4" t="n"/>
      <c r="K156" s="4" t="n"/>
      <c r="L156" s="4" t="n"/>
      <c r="M156" s="4" t="n"/>
      <c r="N156" s="4" t="n"/>
      <c r="O156" s="4" t="n"/>
      <c r="P156" s="4" t="n"/>
      <c r="Q156" s="4" t="n"/>
    </row>
    <row r="157" hidden="1">
      <c r="J157" s="4" t="n"/>
      <c r="K157" s="4" t="n"/>
      <c r="L157" s="4" t="n"/>
      <c r="M157" s="4" t="n"/>
      <c r="N157" s="4" t="n"/>
      <c r="O157" s="4" t="n"/>
      <c r="P157" s="4" t="n"/>
      <c r="Q157" s="4" t="n"/>
    </row>
    <row r="158" hidden="1">
      <c r="J158" s="4" t="n"/>
      <c r="K158" s="4" t="n"/>
      <c r="L158" s="4" t="n"/>
      <c r="M158" s="4" t="n"/>
      <c r="N158" s="4" t="n"/>
      <c r="O158" s="4" t="n"/>
      <c r="P158" s="4" t="n"/>
      <c r="Q158" s="4" t="n"/>
    </row>
    <row r="159" hidden="1">
      <c r="J159" s="4" t="n"/>
      <c r="K159" s="4" t="n"/>
      <c r="L159" s="4" t="n"/>
      <c r="M159" s="4" t="n"/>
      <c r="N159" s="4" t="n"/>
      <c r="O159" s="4" t="n"/>
      <c r="P159" s="4" t="n"/>
      <c r="Q159" s="4" t="n"/>
    </row>
    <row r="160" hidden="1">
      <c r="J160" s="4" t="n"/>
      <c r="K160" s="4" t="n"/>
      <c r="L160" s="4" t="n"/>
      <c r="M160" s="4" t="n"/>
      <c r="N160" s="4" t="n"/>
      <c r="O160" s="4" t="n"/>
      <c r="P160" s="4" t="n"/>
      <c r="Q160" s="4" t="n"/>
    </row>
    <row r="161" hidden="1">
      <c r="J161" s="4" t="n"/>
      <c r="K161" s="4" t="n"/>
      <c r="L161" s="4" t="n"/>
      <c r="M161" s="4" t="n"/>
      <c r="N161" s="4" t="n"/>
      <c r="O161" s="4" t="n"/>
      <c r="P161" s="4" t="n"/>
      <c r="Q161" s="4" t="n"/>
    </row>
    <row r="162" hidden="1">
      <c r="J162" s="4" t="n"/>
      <c r="K162" s="4" t="n"/>
      <c r="L162" s="4" t="n"/>
      <c r="M162" s="4" t="n"/>
      <c r="N162" s="4" t="n"/>
      <c r="O162" s="4" t="n"/>
      <c r="P162" s="4" t="n"/>
      <c r="Q162" s="4" t="n"/>
    </row>
    <row r="163" hidden="1">
      <c r="J163" s="4" t="n"/>
      <c r="K163" s="4" t="n"/>
      <c r="L163" s="4" t="n"/>
      <c r="M163" s="4" t="n"/>
      <c r="N163" s="4" t="n"/>
      <c r="O163" s="4" t="n"/>
      <c r="P163" s="4" t="n"/>
      <c r="Q163" s="4" t="n"/>
    </row>
    <row r="164" hidden="1">
      <c r="J164" s="4" t="n"/>
      <c r="K164" s="4" t="n"/>
      <c r="L164" s="4" t="n"/>
      <c r="M164" s="4" t="n"/>
      <c r="N164" s="4" t="n"/>
      <c r="O164" s="4" t="n"/>
      <c r="P164" s="4" t="n"/>
      <c r="Q164" s="4" t="n"/>
    </row>
    <row r="165" hidden="1">
      <c r="J165" s="4" t="n"/>
      <c r="K165" s="4" t="n"/>
      <c r="L165" s="4" t="n"/>
      <c r="M165" s="4" t="n"/>
      <c r="N165" s="4" t="n"/>
      <c r="O165" s="4" t="n"/>
      <c r="P165" s="4" t="n"/>
      <c r="Q165" s="4" t="n"/>
    </row>
    <row r="166" hidden="1">
      <c r="J166" s="4" t="n"/>
      <c r="K166" s="4" t="n"/>
      <c r="L166" s="4" t="n"/>
      <c r="M166" s="4" t="n"/>
      <c r="N166" s="4" t="n"/>
      <c r="O166" s="4" t="n"/>
      <c r="P166" s="4" t="n"/>
      <c r="Q166" s="4" t="n"/>
    </row>
    <row r="167" hidden="1">
      <c r="J167" s="4" t="n"/>
      <c r="K167" s="4" t="n"/>
      <c r="L167" s="4" t="n"/>
      <c r="M167" s="4" t="n"/>
      <c r="N167" s="4" t="n"/>
      <c r="O167" s="4" t="n"/>
      <c r="P167" s="4" t="n"/>
      <c r="Q167" s="4" t="n"/>
    </row>
    <row r="168" hidden="1">
      <c r="J168" s="4" t="n"/>
      <c r="K168" s="4" t="n"/>
      <c r="L168" s="4" t="n"/>
      <c r="M168" s="4" t="n"/>
      <c r="N168" s="4" t="n"/>
      <c r="O168" s="4" t="n"/>
      <c r="P168" s="4" t="n"/>
      <c r="Q168" s="4" t="n"/>
    </row>
    <row r="169" hidden="1">
      <c r="J169" s="4" t="n"/>
      <c r="K169" s="4" t="n"/>
      <c r="L169" s="4" t="n"/>
      <c r="M169" s="4" t="n"/>
      <c r="N169" s="4" t="n"/>
      <c r="O169" s="4" t="n"/>
      <c r="P169" s="4" t="n"/>
      <c r="Q169" s="4" t="n"/>
    </row>
    <row r="170" hidden="1">
      <c r="J170" s="4" t="n"/>
      <c r="K170" s="4" t="n"/>
      <c r="L170" s="4" t="n"/>
      <c r="M170" s="4" t="n"/>
      <c r="N170" s="4" t="n"/>
      <c r="O170" s="4" t="n"/>
      <c r="P170" s="4" t="n"/>
      <c r="Q170" s="4" t="n"/>
    </row>
    <row r="171" hidden="1">
      <c r="J171" s="4" t="n"/>
      <c r="K171" s="4" t="n"/>
      <c r="L171" s="4" t="n"/>
      <c r="M171" s="4" t="n"/>
      <c r="N171" s="4" t="n"/>
      <c r="O171" s="4" t="n"/>
      <c r="P171" s="4" t="n"/>
      <c r="Q171" s="4" t="n"/>
    </row>
    <row r="172" hidden="1">
      <c r="J172" s="4" t="n"/>
      <c r="K172" s="4" t="n"/>
      <c r="L172" s="4" t="n"/>
      <c r="M172" s="4" t="n"/>
      <c r="N172" s="4" t="n"/>
      <c r="O172" s="4" t="n"/>
      <c r="P172" s="4" t="n"/>
      <c r="Q172" s="4" t="n"/>
    </row>
    <row r="173" hidden="1">
      <c r="J173" s="4" t="n"/>
      <c r="K173" s="4" t="n"/>
      <c r="L173" s="4" t="n"/>
      <c r="M173" s="4" t="n"/>
      <c r="N173" s="4" t="n"/>
      <c r="O173" s="4" t="n"/>
      <c r="P173" s="4" t="n"/>
      <c r="Q173" s="4" t="n"/>
    </row>
    <row r="174" hidden="1">
      <c r="J174" s="4" t="n"/>
      <c r="K174" s="4" t="n"/>
      <c r="L174" s="4" t="n"/>
      <c r="M174" s="4" t="n"/>
      <c r="N174" s="4" t="n"/>
      <c r="O174" s="4" t="n"/>
      <c r="P174" s="4" t="n"/>
      <c r="Q174" s="4" t="n"/>
    </row>
    <row r="175" hidden="1">
      <c r="J175" s="4" t="n"/>
      <c r="K175" s="4" t="n"/>
      <c r="L175" s="4" t="n"/>
      <c r="M175" s="4" t="n"/>
      <c r="N175" s="4" t="n"/>
      <c r="O175" s="4" t="n"/>
      <c r="P175" s="4" t="n"/>
      <c r="Q175" s="4" t="n"/>
    </row>
    <row r="176" hidden="1">
      <c r="J176" s="4" t="n"/>
      <c r="K176" s="4" t="n"/>
      <c r="L176" s="4" t="n"/>
      <c r="M176" s="4" t="n"/>
      <c r="N176" s="4" t="n"/>
      <c r="O176" s="4" t="n"/>
      <c r="P176" s="4" t="n"/>
      <c r="Q176" s="4" t="n"/>
    </row>
    <row r="177" hidden="1">
      <c r="J177" s="4" t="n"/>
      <c r="K177" s="4" t="n"/>
      <c r="L177" s="4" t="n"/>
      <c r="M177" s="4" t="n"/>
      <c r="N177" s="4" t="n"/>
      <c r="O177" s="4" t="n"/>
      <c r="P177" s="4" t="n"/>
      <c r="Q177" s="4" t="n"/>
    </row>
    <row r="178" hidden="1">
      <c r="J178" s="4" t="n"/>
      <c r="K178" s="4" t="n"/>
      <c r="L178" s="4" t="n"/>
      <c r="M178" s="4" t="n"/>
      <c r="N178" s="4" t="n"/>
      <c r="O178" s="4" t="n"/>
      <c r="P178" s="4" t="n"/>
      <c r="Q178" s="4" t="n"/>
    </row>
    <row r="179" hidden="1">
      <c r="J179" s="4" t="n"/>
      <c r="K179" s="4" t="n"/>
      <c r="L179" s="4" t="n"/>
      <c r="M179" s="4" t="n"/>
      <c r="N179" s="4" t="n"/>
      <c r="O179" s="4" t="n"/>
      <c r="P179" s="4" t="n"/>
      <c r="Q179" s="4" t="n"/>
    </row>
    <row r="180" hidden="1">
      <c r="J180" s="4" t="n"/>
      <c r="K180" s="4" t="n"/>
      <c r="L180" s="4" t="n"/>
      <c r="M180" s="4" t="n"/>
      <c r="N180" s="4" t="n"/>
      <c r="O180" s="4" t="n"/>
      <c r="P180" s="4" t="n"/>
      <c r="Q180" s="4" t="n"/>
    </row>
    <row r="181" hidden="1">
      <c r="J181" s="4" t="n"/>
      <c r="K181" s="4" t="n"/>
      <c r="L181" s="4" t="n"/>
      <c r="M181" s="4" t="n"/>
      <c r="N181" s="4" t="n"/>
      <c r="O181" s="4" t="n"/>
      <c r="P181" s="4" t="n"/>
      <c r="Q181" s="4" t="n"/>
    </row>
    <row r="182" hidden="1">
      <c r="J182" s="4" t="n"/>
      <c r="K182" s="4" t="n"/>
      <c r="L182" s="4" t="n"/>
      <c r="M182" s="4" t="n"/>
      <c r="N182" s="4" t="n"/>
      <c r="O182" s="4" t="n"/>
      <c r="P182" s="4" t="n"/>
      <c r="Q182" s="4" t="n"/>
    </row>
    <row r="183" hidden="1">
      <c r="J183" s="4" t="n"/>
      <c r="K183" s="4" t="n"/>
      <c r="L183" s="4" t="n"/>
      <c r="M183" s="4" t="n"/>
      <c r="N183" s="4" t="n"/>
      <c r="O183" s="4" t="n"/>
      <c r="P183" s="4" t="n"/>
      <c r="Q183" s="4" t="n"/>
    </row>
    <row r="184" hidden="1">
      <c r="J184" s="4" t="n"/>
      <c r="K184" s="4" t="n"/>
      <c r="L184" s="4" t="n"/>
      <c r="M184" s="4" t="n"/>
      <c r="N184" s="4" t="n"/>
      <c r="O184" s="4" t="n"/>
      <c r="P184" s="4" t="n"/>
      <c r="Q184" s="4" t="n"/>
    </row>
    <row r="185" hidden="1">
      <c r="J185" s="4" t="n"/>
      <c r="K185" s="4" t="n"/>
      <c r="L185" s="4" t="n"/>
      <c r="M185" s="4" t="n"/>
      <c r="N185" s="4" t="n"/>
      <c r="O185" s="4" t="n"/>
      <c r="P185" s="4" t="n"/>
      <c r="Q185" s="4" t="n"/>
    </row>
    <row r="186" hidden="1">
      <c r="J186" s="4" t="n"/>
      <c r="K186" s="4" t="n"/>
      <c r="L186" s="4" t="n"/>
      <c r="M186" s="4" t="n"/>
      <c r="N186" s="4" t="n"/>
      <c r="O186" s="4" t="n"/>
      <c r="P186" s="4" t="n"/>
      <c r="Q186" s="4" t="n"/>
    </row>
    <row r="187" hidden="1">
      <c r="J187" s="4" t="n"/>
      <c r="K187" s="4" t="n"/>
      <c r="L187" s="4" t="n"/>
      <c r="M187" s="4" t="n"/>
      <c r="N187" s="4" t="n"/>
      <c r="O187" s="4" t="n"/>
      <c r="P187" s="4" t="n"/>
      <c r="Q187" s="4" t="n"/>
    </row>
    <row r="188" hidden="1">
      <c r="J188" s="4" t="n"/>
      <c r="K188" s="4" t="n"/>
      <c r="L188" s="4" t="n"/>
      <c r="M188" s="4" t="n"/>
      <c r="N188" s="4" t="n"/>
      <c r="O188" s="4" t="n"/>
      <c r="P188" s="4" t="n"/>
      <c r="Q188" s="4" t="n"/>
    </row>
    <row r="189" hidden="1">
      <c r="J189" s="4" t="n"/>
      <c r="K189" s="4" t="n"/>
      <c r="L189" s="4" t="n"/>
      <c r="M189" s="4" t="n"/>
      <c r="N189" s="4" t="n"/>
      <c r="O189" s="4" t="n"/>
      <c r="P189" s="4" t="n"/>
      <c r="Q189" s="4" t="n"/>
    </row>
    <row r="190" hidden="1">
      <c r="J190" s="4" t="n"/>
      <c r="K190" s="4" t="n"/>
      <c r="L190" s="4" t="n"/>
      <c r="M190" s="4" t="n"/>
      <c r="N190" s="4" t="n"/>
      <c r="O190" s="4" t="n"/>
      <c r="P190" s="4" t="n"/>
      <c r="Q190" s="4" t="n"/>
    </row>
    <row r="191" hidden="1">
      <c r="J191" s="4" t="n"/>
      <c r="K191" s="4" t="n"/>
      <c r="L191" s="4" t="n"/>
      <c r="M191" s="4" t="n"/>
      <c r="N191" s="4" t="n"/>
      <c r="O191" s="4" t="n"/>
      <c r="P191" s="4" t="n"/>
      <c r="Q191" s="4" t="n"/>
    </row>
    <row r="192" hidden="1">
      <c r="J192" s="4" t="n"/>
      <c r="K192" s="4" t="n"/>
      <c r="L192" s="4" t="n"/>
      <c r="M192" s="4" t="n"/>
      <c r="N192" s="4" t="n"/>
      <c r="O192" s="4" t="n"/>
      <c r="P192" s="4" t="n"/>
      <c r="Q192" s="4" t="n"/>
    </row>
    <row r="193" hidden="1">
      <c r="J193" s="4" t="n"/>
      <c r="K193" s="4" t="n"/>
      <c r="L193" s="4" t="n"/>
      <c r="M193" s="4" t="n"/>
      <c r="N193" s="4" t="n"/>
      <c r="O193" s="4" t="n"/>
      <c r="P193" s="4" t="n"/>
      <c r="Q193" s="4" t="n"/>
    </row>
    <row r="194" hidden="1">
      <c r="J194" s="4" t="n"/>
      <c r="K194" s="4" t="n"/>
      <c r="L194" s="4" t="n"/>
      <c r="M194" s="4" t="n"/>
      <c r="N194" s="4" t="n"/>
      <c r="O194" s="4" t="n"/>
      <c r="P194" s="4" t="n"/>
      <c r="Q194" s="4" t="n"/>
    </row>
    <row r="195" hidden="1">
      <c r="J195" s="4" t="n"/>
      <c r="K195" s="4" t="n"/>
      <c r="L195" s="4" t="n"/>
      <c r="M195" s="4" t="n"/>
      <c r="N195" s="4" t="n"/>
      <c r="O195" s="4" t="n"/>
      <c r="P195" s="4" t="n"/>
      <c r="Q195" s="4" t="n"/>
    </row>
    <row r="196" hidden="1">
      <c r="J196" s="4" t="n"/>
      <c r="K196" s="4" t="n"/>
      <c r="L196" s="4" t="n"/>
      <c r="M196" s="4" t="n"/>
      <c r="N196" s="4" t="n"/>
      <c r="O196" s="4" t="n"/>
      <c r="P196" s="4" t="n"/>
      <c r="Q196" s="4" t="n"/>
    </row>
    <row r="197" hidden="1">
      <c r="J197" s="4" t="n"/>
      <c r="K197" s="4" t="n"/>
      <c r="L197" s="4" t="n"/>
      <c r="M197" s="4" t="n"/>
      <c r="N197" s="4" t="n"/>
      <c r="O197" s="4" t="n"/>
      <c r="P197" s="4" t="n"/>
      <c r="Q197" s="4" t="n"/>
    </row>
    <row r="198" hidden="1">
      <c r="J198" s="4" t="n"/>
      <c r="K198" s="4" t="n"/>
      <c r="L198" s="4" t="n"/>
      <c r="M198" s="4" t="n"/>
      <c r="N198" s="4" t="n"/>
      <c r="O198" s="4" t="n"/>
      <c r="P198" s="4" t="n"/>
      <c r="Q198" s="4" t="n"/>
    </row>
    <row r="199" hidden="1">
      <c r="J199" s="4" t="n"/>
      <c r="K199" s="4" t="n"/>
      <c r="L199" s="4" t="n"/>
      <c r="M199" s="4" t="n"/>
      <c r="N199" s="4" t="n"/>
      <c r="O199" s="4" t="n"/>
      <c r="P199" s="4" t="n"/>
      <c r="Q199" s="4" t="n"/>
    </row>
    <row r="200" hidden="1">
      <c r="J200" s="4" t="n"/>
      <c r="K200" s="4" t="n"/>
      <c r="L200" s="4" t="n"/>
      <c r="M200" s="4" t="n"/>
      <c r="N200" s="4" t="n"/>
      <c r="O200" s="4" t="n"/>
      <c r="P200" s="4" t="n"/>
      <c r="Q200" s="4" t="n"/>
    </row>
    <row r="201" hidden="1">
      <c r="J201" s="4" t="n"/>
      <c r="K201" s="4" t="n"/>
      <c r="L201" s="4" t="n"/>
      <c r="M201" s="4" t="n"/>
      <c r="N201" s="4" t="n"/>
      <c r="O201" s="4" t="n"/>
      <c r="P201" s="4" t="n"/>
      <c r="Q201" s="4" t="n"/>
    </row>
    <row r="202" hidden="1">
      <c r="J202" s="4" t="n"/>
      <c r="K202" s="4" t="n"/>
      <c r="L202" s="4" t="n"/>
      <c r="M202" s="4" t="n"/>
      <c r="N202" s="4" t="n"/>
      <c r="O202" s="4" t="n"/>
      <c r="P202" s="4" t="n"/>
      <c r="Q202" s="4" t="n"/>
    </row>
    <row r="203" hidden="1">
      <c r="J203" s="4" t="n"/>
      <c r="K203" s="4" t="n"/>
      <c r="L203" s="4" t="n"/>
      <c r="M203" s="4" t="n"/>
      <c r="N203" s="4" t="n"/>
      <c r="O203" s="4" t="n"/>
      <c r="P203" s="4" t="n"/>
      <c r="Q203" s="4" t="n"/>
    </row>
    <row r="204" hidden="1">
      <c r="J204" s="4" t="n"/>
      <c r="K204" s="4" t="n"/>
      <c r="L204" s="4" t="n"/>
      <c r="M204" s="4" t="n"/>
      <c r="N204" s="4" t="n"/>
      <c r="O204" s="4" t="n"/>
      <c r="P204" s="4" t="n"/>
      <c r="Q204" s="4" t="n"/>
    </row>
    <row r="205" hidden="1">
      <c r="J205" s="4" t="n"/>
      <c r="K205" s="4" t="n"/>
      <c r="L205" s="4" t="n"/>
      <c r="M205" s="4" t="n"/>
      <c r="N205" s="4" t="n"/>
      <c r="O205" s="4" t="n"/>
      <c r="P205" s="4" t="n"/>
      <c r="Q205" s="4" t="n"/>
    </row>
    <row r="206" hidden="1">
      <c r="J206" s="4" t="n"/>
      <c r="K206" s="4" t="n"/>
      <c r="L206" s="4" t="n"/>
      <c r="M206" s="4" t="n"/>
      <c r="N206" s="4" t="n"/>
      <c r="O206" s="4" t="n"/>
      <c r="P206" s="4" t="n"/>
      <c r="Q206" s="4" t="n"/>
    </row>
    <row r="207" hidden="1">
      <c r="J207" s="4" t="n"/>
      <c r="K207" s="4" t="n"/>
      <c r="L207" s="4" t="n"/>
      <c r="M207" s="4" t="n"/>
      <c r="N207" s="4" t="n"/>
      <c r="O207" s="4" t="n"/>
      <c r="P207" s="4" t="n"/>
      <c r="Q207" s="4" t="n"/>
    </row>
    <row r="208" hidden="1">
      <c r="J208" s="4" t="n"/>
      <c r="K208" s="4" t="n"/>
      <c r="L208" s="4" t="n"/>
      <c r="M208" s="4" t="n"/>
      <c r="N208" s="4" t="n"/>
      <c r="O208" s="4" t="n"/>
      <c r="P208" s="4" t="n"/>
      <c r="Q208" s="4" t="n"/>
    </row>
    <row r="209" hidden="1">
      <c r="J209" s="4" t="n"/>
      <c r="K209" s="4" t="n"/>
      <c r="L209" s="4" t="n"/>
      <c r="M209" s="4" t="n"/>
      <c r="N209" s="4" t="n"/>
      <c r="O209" s="4" t="n"/>
      <c r="P209" s="4" t="n"/>
      <c r="Q209" s="4" t="n"/>
    </row>
    <row r="210" hidden="1">
      <c r="J210" s="4" t="n"/>
      <c r="K210" s="4" t="n"/>
      <c r="L210" s="4" t="n"/>
      <c r="M210" s="4" t="n"/>
      <c r="N210" s="4" t="n"/>
      <c r="O210" s="4" t="n"/>
      <c r="P210" s="4" t="n"/>
      <c r="Q210" s="4" t="n"/>
    </row>
    <row r="211" hidden="1">
      <c r="J211" s="4" t="n"/>
      <c r="K211" s="4" t="n"/>
      <c r="L211" s="4" t="n"/>
      <c r="M211" s="4" t="n"/>
      <c r="N211" s="4" t="n"/>
      <c r="O211" s="4" t="n"/>
      <c r="P211" s="4" t="n"/>
      <c r="Q211" s="4" t="n"/>
    </row>
    <row r="212" hidden="1">
      <c r="J212" s="4" t="n"/>
      <c r="K212" s="4" t="n"/>
      <c r="L212" s="4" t="n"/>
      <c r="M212" s="4" t="n"/>
      <c r="N212" s="4" t="n"/>
      <c r="O212" s="4" t="n"/>
      <c r="P212" s="4" t="n"/>
      <c r="Q212" s="4" t="n"/>
    </row>
    <row r="213" hidden="1">
      <c r="J213" s="4" t="n"/>
      <c r="K213" s="4" t="n"/>
      <c r="L213" s="4" t="n"/>
      <c r="M213" s="4" t="n"/>
      <c r="N213" s="4" t="n"/>
      <c r="O213" s="4" t="n"/>
      <c r="P213" s="4" t="n"/>
      <c r="Q213" s="4" t="n"/>
    </row>
    <row r="214" hidden="1">
      <c r="J214" s="4" t="n"/>
      <c r="K214" s="4" t="n"/>
      <c r="L214" s="4" t="n"/>
      <c r="M214" s="4" t="n"/>
      <c r="N214" s="4" t="n"/>
      <c r="O214" s="4" t="n"/>
      <c r="P214" s="4" t="n"/>
      <c r="Q214" s="4" t="n"/>
    </row>
    <row r="215" hidden="1">
      <c r="J215" s="4" t="n"/>
      <c r="K215" s="4" t="n"/>
      <c r="L215" s="4" t="n"/>
      <c r="M215" s="4" t="n"/>
      <c r="N215" s="4" t="n"/>
      <c r="O215" s="4" t="n"/>
      <c r="P215" s="4" t="n"/>
      <c r="Q215" s="4" t="n"/>
    </row>
    <row r="216" hidden="1">
      <c r="J216" s="4" t="n"/>
      <c r="K216" s="4" t="n"/>
      <c r="L216" s="4" t="n"/>
      <c r="M216" s="4" t="n"/>
      <c r="N216" s="4" t="n"/>
      <c r="O216" s="4" t="n"/>
      <c r="P216" s="4" t="n"/>
      <c r="Q216" s="4" t="n"/>
    </row>
    <row r="217" hidden="1">
      <c r="J217" s="4" t="n"/>
      <c r="K217" s="4" t="n"/>
      <c r="L217" s="4" t="n"/>
      <c r="M217" s="4" t="n"/>
      <c r="N217" s="4" t="n"/>
      <c r="O217" s="4" t="n"/>
      <c r="P217" s="4" t="n"/>
      <c r="Q217" s="4" t="n"/>
    </row>
    <row r="218" hidden="1">
      <c r="J218" s="4" t="n"/>
      <c r="K218" s="4" t="n"/>
      <c r="L218" s="4" t="n"/>
      <c r="M218" s="4" t="n"/>
      <c r="N218" s="4" t="n"/>
      <c r="O218" s="4" t="n"/>
      <c r="P218" s="4" t="n"/>
      <c r="Q218" s="4" t="n"/>
    </row>
    <row r="219" hidden="1">
      <c r="J219" s="4" t="n"/>
      <c r="K219" s="4" t="n"/>
      <c r="L219" s="4" t="n"/>
      <c r="M219" s="4" t="n"/>
      <c r="N219" s="4" t="n"/>
      <c r="O219" s="4" t="n"/>
      <c r="P219" s="4" t="n"/>
      <c r="Q219" s="4" t="n"/>
    </row>
    <row r="220" hidden="1">
      <c r="J220" s="4" t="n"/>
      <c r="K220" s="4" t="n"/>
      <c r="L220" s="4" t="n"/>
      <c r="M220" s="4" t="n"/>
      <c r="N220" s="4" t="n"/>
      <c r="O220" s="4" t="n"/>
      <c r="P220" s="4" t="n"/>
      <c r="Q220" s="4" t="n"/>
    </row>
    <row r="221" hidden="1">
      <c r="J221" s="4" t="n"/>
      <c r="K221" s="4" t="n"/>
      <c r="L221" s="4" t="n"/>
      <c r="M221" s="4" t="n"/>
      <c r="N221" s="4" t="n"/>
      <c r="O221" s="4" t="n"/>
      <c r="P221" s="4" t="n"/>
      <c r="Q221" s="4" t="n"/>
    </row>
    <row r="222" hidden="1">
      <c r="J222" s="4" t="n"/>
      <c r="K222" s="4" t="n"/>
      <c r="L222" s="4" t="n"/>
      <c r="M222" s="4" t="n"/>
      <c r="N222" s="4" t="n"/>
      <c r="O222" s="4" t="n"/>
      <c r="P222" s="4" t="n"/>
      <c r="Q222" s="4" t="n"/>
    </row>
    <row r="223" hidden="1">
      <c r="J223" s="4" t="n"/>
      <c r="K223" s="4" t="n"/>
      <c r="L223" s="4" t="n"/>
      <c r="M223" s="4" t="n"/>
      <c r="N223" s="4" t="n"/>
      <c r="O223" s="4" t="n"/>
      <c r="P223" s="4" t="n"/>
      <c r="Q223" s="4" t="n"/>
    </row>
    <row r="224" hidden="1">
      <c r="J224" s="4" t="n"/>
      <c r="K224" s="4" t="n"/>
      <c r="L224" s="4" t="n"/>
      <c r="M224" s="4" t="n"/>
      <c r="N224" s="4" t="n"/>
      <c r="O224" s="4" t="n"/>
      <c r="P224" s="4" t="n"/>
      <c r="Q224" s="4" t="n"/>
    </row>
    <row r="225" hidden="1">
      <c r="J225" s="4" t="n"/>
      <c r="K225" s="4" t="n"/>
      <c r="L225" s="4" t="n"/>
      <c r="M225" s="4" t="n"/>
      <c r="N225" s="4" t="n"/>
      <c r="O225" s="4" t="n"/>
      <c r="P225" s="4" t="n"/>
      <c r="Q225" s="4" t="n"/>
    </row>
    <row r="226" hidden="1">
      <c r="J226" s="4" t="n"/>
      <c r="K226" s="4" t="n"/>
      <c r="L226" s="4" t="n"/>
      <c r="M226" s="4" t="n"/>
      <c r="N226" s="4" t="n"/>
      <c r="O226" s="4" t="n"/>
      <c r="P226" s="4" t="n"/>
      <c r="Q226" s="4" t="n"/>
    </row>
    <row r="227" hidden="1">
      <c r="J227" s="4" t="n"/>
      <c r="K227" s="4" t="n"/>
      <c r="L227" s="4" t="n"/>
      <c r="M227" s="4" t="n"/>
      <c r="N227" s="4" t="n"/>
      <c r="O227" s="4" t="n"/>
      <c r="P227" s="4" t="n"/>
      <c r="Q227" s="4" t="n"/>
    </row>
    <row r="228" hidden="1">
      <c r="J228" s="4" t="n"/>
      <c r="K228" s="4" t="n"/>
      <c r="L228" s="4" t="n"/>
      <c r="M228" s="4" t="n"/>
      <c r="N228" s="4" t="n"/>
      <c r="O228" s="4" t="n"/>
      <c r="P228" s="4" t="n"/>
      <c r="Q228" s="4" t="n"/>
    </row>
    <row r="229" hidden="1">
      <c r="J229" s="4" t="n"/>
      <c r="K229" s="4" t="n"/>
      <c r="L229" s="4" t="n"/>
      <c r="M229" s="4" t="n"/>
      <c r="N229" s="4" t="n"/>
      <c r="O229" s="4" t="n"/>
      <c r="P229" s="4" t="n"/>
      <c r="Q229" s="4" t="n"/>
    </row>
    <row r="230" hidden="1">
      <c r="J230" s="4" t="n"/>
      <c r="K230" s="4" t="n"/>
      <c r="L230" s="4" t="n"/>
      <c r="M230" s="4" t="n"/>
      <c r="N230" s="4" t="n"/>
      <c r="O230" s="4" t="n"/>
      <c r="P230" s="4" t="n"/>
      <c r="Q230" s="4" t="n"/>
    </row>
    <row r="231" hidden="1">
      <c r="J231" s="4" t="n"/>
      <c r="K231" s="4" t="n"/>
      <c r="L231" s="4" t="n"/>
      <c r="M231" s="4" t="n"/>
      <c r="N231" s="4" t="n"/>
      <c r="O231" s="4" t="n"/>
      <c r="P231" s="4" t="n"/>
      <c r="Q231" s="4" t="n"/>
    </row>
    <row r="232" hidden="1">
      <c r="J232" s="4" t="n"/>
      <c r="K232" s="4" t="n"/>
      <c r="L232" s="4" t="n"/>
      <c r="M232" s="4" t="n"/>
      <c r="N232" s="4" t="n"/>
      <c r="O232" s="4" t="n"/>
      <c r="P232" s="4" t="n"/>
      <c r="Q232" s="4" t="n"/>
    </row>
    <row r="233" hidden="1">
      <c r="J233" s="4" t="n"/>
      <c r="K233" s="4" t="n"/>
      <c r="L233" s="4" t="n"/>
      <c r="M233" s="4" t="n"/>
      <c r="N233" s="4" t="n"/>
      <c r="O233" s="4" t="n"/>
      <c r="P233" s="4" t="n"/>
      <c r="Q233" s="4" t="n"/>
    </row>
    <row r="234" hidden="1">
      <c r="J234" s="4" t="n"/>
      <c r="K234" s="4" t="n"/>
      <c r="L234" s="4" t="n"/>
      <c r="M234" s="4" t="n"/>
      <c r="N234" s="4" t="n"/>
      <c r="O234" s="4" t="n"/>
      <c r="P234" s="4" t="n"/>
      <c r="Q234" s="4" t="n"/>
    </row>
    <row r="235" hidden="1">
      <c r="J235" s="4" t="n"/>
      <c r="K235" s="4" t="n"/>
      <c r="L235" s="4" t="n"/>
      <c r="M235" s="4" t="n"/>
      <c r="N235" s="4" t="n"/>
      <c r="O235" s="4" t="n"/>
      <c r="P235" s="4" t="n"/>
      <c r="Q235" s="4" t="n"/>
    </row>
    <row r="236" hidden="1">
      <c r="J236" s="4" t="n"/>
      <c r="K236" s="4" t="n"/>
      <c r="L236" s="4" t="n"/>
      <c r="M236" s="4" t="n"/>
      <c r="N236" s="4" t="n"/>
      <c r="O236" s="4" t="n"/>
      <c r="P236" s="4" t="n"/>
      <c r="Q236" s="4" t="n"/>
    </row>
    <row r="237" hidden="1">
      <c r="J237" s="4" t="n"/>
      <c r="K237" s="4" t="n"/>
      <c r="L237" s="4" t="n"/>
      <c r="M237" s="4" t="n"/>
      <c r="N237" s="4" t="n"/>
      <c r="O237" s="4" t="n"/>
      <c r="P237" s="4" t="n"/>
      <c r="Q237" s="4" t="n"/>
    </row>
    <row r="238" hidden="1">
      <c r="J238" s="4" t="n"/>
      <c r="K238" s="4" t="n"/>
      <c r="L238" s="4" t="n"/>
      <c r="M238" s="4" t="n"/>
      <c r="N238" s="4" t="n"/>
      <c r="O238" s="4" t="n"/>
      <c r="P238" s="4" t="n"/>
      <c r="Q238" s="4" t="n"/>
    </row>
    <row r="239" hidden="1">
      <c r="J239" s="4" t="n"/>
      <c r="K239" s="4" t="n"/>
      <c r="L239" s="4" t="n"/>
      <c r="M239" s="4" t="n"/>
      <c r="N239" s="4" t="n"/>
      <c r="O239" s="4" t="n"/>
      <c r="P239" s="4" t="n"/>
      <c r="Q239" s="4" t="n"/>
    </row>
    <row r="240" hidden="1">
      <c r="J240" s="4" t="n"/>
      <c r="K240" s="4" t="n"/>
      <c r="L240" s="4" t="n"/>
      <c r="M240" s="4" t="n"/>
      <c r="N240" s="4" t="n"/>
      <c r="O240" s="4" t="n"/>
      <c r="P240" s="4" t="n"/>
      <c r="Q240" s="4" t="n"/>
    </row>
    <row r="241" hidden="1">
      <c r="J241" s="4" t="n"/>
      <c r="K241" s="4" t="n"/>
      <c r="L241" s="4" t="n"/>
      <c r="M241" s="4" t="n"/>
      <c r="N241" s="4" t="n"/>
      <c r="O241" s="4" t="n"/>
      <c r="P241" s="4" t="n"/>
      <c r="Q241" s="4" t="n"/>
    </row>
    <row r="242" hidden="1">
      <c r="J242" s="4" t="n"/>
      <c r="K242" s="4" t="n"/>
      <c r="L242" s="4" t="n"/>
      <c r="M242" s="4" t="n"/>
      <c r="N242" s="4" t="n"/>
      <c r="O242" s="4" t="n"/>
      <c r="P242" s="4" t="n"/>
      <c r="Q242" s="4" t="n"/>
    </row>
    <row r="243" hidden="1">
      <c r="J243" s="4" t="n"/>
      <c r="K243" s="4" t="n"/>
      <c r="L243" s="4" t="n"/>
      <c r="M243" s="4" t="n"/>
      <c r="N243" s="4" t="n"/>
      <c r="O243" s="4" t="n"/>
      <c r="P243" s="4" t="n"/>
      <c r="Q243" s="4" t="n"/>
    </row>
    <row r="244" hidden="1">
      <c r="J244" s="4" t="n"/>
      <c r="K244" s="4" t="n"/>
      <c r="L244" s="4" t="n"/>
      <c r="M244" s="4" t="n"/>
      <c r="N244" s="4" t="n"/>
      <c r="O244" s="4" t="n"/>
      <c r="P244" s="4" t="n"/>
      <c r="Q244" s="4" t="n"/>
    </row>
    <row r="245" hidden="1">
      <c r="J245" s="4" t="n"/>
      <c r="K245" s="4" t="n"/>
      <c r="L245" s="4" t="n"/>
      <c r="M245" s="4" t="n"/>
      <c r="N245" s="4" t="n"/>
      <c r="O245" s="4" t="n"/>
      <c r="P245" s="4" t="n"/>
      <c r="Q245" s="4" t="n"/>
    </row>
    <row r="246" hidden="1">
      <c r="J246" s="4" t="n"/>
      <c r="K246" s="4" t="n"/>
      <c r="L246" s="4" t="n"/>
      <c r="M246" s="4" t="n"/>
      <c r="N246" s="4" t="n"/>
      <c r="O246" s="4" t="n"/>
      <c r="P246" s="4" t="n"/>
      <c r="Q246" s="4" t="n"/>
    </row>
    <row r="247" hidden="1">
      <c r="J247" s="4" t="n"/>
      <c r="K247" s="4" t="n"/>
      <c r="L247" s="4" t="n"/>
      <c r="M247" s="4" t="n"/>
      <c r="N247" s="4" t="n"/>
      <c r="O247" s="4" t="n"/>
      <c r="P247" s="4" t="n"/>
      <c r="Q247" s="4" t="n"/>
    </row>
    <row r="248" hidden="1">
      <c r="J248" s="4" t="n"/>
      <c r="K248" s="4" t="n"/>
      <c r="L248" s="4" t="n"/>
      <c r="M248" s="4" t="n"/>
      <c r="N248" s="4" t="n"/>
      <c r="O248" s="4" t="n"/>
      <c r="P248" s="4" t="n"/>
      <c r="Q248" s="4" t="n"/>
    </row>
    <row r="249" hidden="1">
      <c r="J249" s="4" t="n"/>
      <c r="K249" s="4" t="n"/>
      <c r="L249" s="4" t="n"/>
      <c r="M249" s="4" t="n"/>
      <c r="N249" s="4" t="n"/>
      <c r="O249" s="4" t="n"/>
      <c r="P249" s="4" t="n"/>
      <c r="Q249" s="4" t="n"/>
    </row>
    <row r="250" hidden="1">
      <c r="J250" s="4" t="n"/>
      <c r="K250" s="4" t="n"/>
      <c r="L250" s="4" t="n"/>
      <c r="M250" s="4" t="n"/>
      <c r="N250" s="4" t="n"/>
      <c r="O250" s="4" t="n"/>
      <c r="P250" s="4" t="n"/>
      <c r="Q250" s="4" t="n"/>
    </row>
    <row r="251" hidden="1">
      <c r="J251" s="4" t="n"/>
      <c r="K251" s="4" t="n"/>
      <c r="L251" s="4" t="n"/>
      <c r="M251" s="4" t="n"/>
      <c r="N251" s="4" t="n"/>
      <c r="O251" s="4" t="n"/>
      <c r="P251" s="4" t="n"/>
      <c r="Q251" s="4" t="n"/>
    </row>
    <row r="252" hidden="1">
      <c r="J252" s="4" t="n"/>
      <c r="K252" s="4" t="n"/>
      <c r="L252" s="4" t="n"/>
      <c r="M252" s="4" t="n"/>
      <c r="N252" s="4" t="n"/>
      <c r="O252" s="4" t="n"/>
      <c r="P252" s="4" t="n"/>
      <c r="Q252" s="4" t="n"/>
    </row>
    <row r="253" hidden="1">
      <c r="J253" s="4" t="n"/>
      <c r="K253" s="4" t="n"/>
      <c r="L253" s="4" t="n"/>
      <c r="M253" s="4" t="n"/>
      <c r="N253" s="4" t="n"/>
      <c r="O253" s="4" t="n"/>
      <c r="P253" s="4" t="n"/>
      <c r="Q253" s="4" t="n"/>
    </row>
    <row r="254" hidden="1">
      <c r="J254" s="4" t="n"/>
      <c r="K254" s="4" t="n"/>
      <c r="L254" s="4" t="n"/>
      <c r="M254" s="4" t="n"/>
      <c r="N254" s="4" t="n"/>
      <c r="O254" s="4" t="n"/>
      <c r="P254" s="4" t="n"/>
      <c r="Q254" s="4" t="n"/>
    </row>
    <row r="255" hidden="1">
      <c r="J255" s="4" t="n"/>
      <c r="K255" s="4" t="n"/>
      <c r="L255" s="4" t="n"/>
      <c r="M255" s="4" t="n"/>
      <c r="N255" s="4" t="n"/>
      <c r="O255" s="4" t="n"/>
      <c r="P255" s="4" t="n"/>
      <c r="Q255" s="4" t="n"/>
    </row>
    <row r="256" hidden="1">
      <c r="J256" s="4" t="n"/>
      <c r="K256" s="4" t="n"/>
      <c r="L256" s="4" t="n"/>
      <c r="M256" s="4" t="n"/>
      <c r="N256" s="4" t="n"/>
      <c r="O256" s="4" t="n"/>
      <c r="P256" s="4" t="n"/>
      <c r="Q256" s="4" t="n"/>
    </row>
    <row r="257" hidden="1">
      <c r="J257" s="4" t="n"/>
      <c r="K257" s="4" t="n"/>
      <c r="L257" s="4" t="n"/>
      <c r="M257" s="4" t="n"/>
      <c r="N257" s="4" t="n"/>
      <c r="O257" s="4" t="n"/>
      <c r="P257" s="4" t="n"/>
      <c r="Q257" s="4" t="n"/>
    </row>
    <row r="258" hidden="1">
      <c r="J258" s="4" t="n"/>
      <c r="K258" s="4" t="n"/>
      <c r="L258" s="4" t="n"/>
      <c r="M258" s="4" t="n"/>
      <c r="N258" s="4" t="n"/>
      <c r="O258" s="4" t="n"/>
      <c r="P258" s="4" t="n"/>
      <c r="Q258" s="4" t="n"/>
    </row>
    <row r="259" hidden="1">
      <c r="J259" s="4" t="n"/>
      <c r="K259" s="4" t="n"/>
      <c r="L259" s="4" t="n"/>
      <c r="M259" s="4" t="n"/>
      <c r="N259" s="4" t="n"/>
      <c r="O259" s="4" t="n"/>
      <c r="P259" s="4" t="n"/>
      <c r="Q259" s="4" t="n"/>
    </row>
    <row r="260" hidden="1">
      <c r="J260" s="4" t="n"/>
      <c r="K260" s="4" t="n"/>
      <c r="L260" s="4" t="n"/>
      <c r="M260" s="4" t="n"/>
      <c r="N260" s="4" t="n"/>
      <c r="O260" s="4" t="n"/>
      <c r="P260" s="4" t="n"/>
      <c r="Q260" s="4" t="n"/>
    </row>
    <row r="261" hidden="1">
      <c r="J261" s="4" t="n"/>
      <c r="K261" s="4" t="n"/>
      <c r="L261" s="4" t="n"/>
      <c r="M261" s="4" t="n"/>
      <c r="N261" s="4" t="n"/>
      <c r="O261" s="4" t="n"/>
      <c r="P261" s="4" t="n"/>
      <c r="Q261" s="4" t="n"/>
    </row>
    <row r="262" hidden="1">
      <c r="J262" s="4" t="n"/>
      <c r="K262" s="4" t="n"/>
      <c r="L262" s="4" t="n"/>
      <c r="M262" s="4" t="n"/>
      <c r="N262" s="4" t="n"/>
      <c r="O262" s="4" t="n"/>
      <c r="P262" s="4" t="n"/>
      <c r="Q262" s="4" t="n"/>
    </row>
    <row r="263" hidden="1">
      <c r="J263" s="4" t="n"/>
      <c r="K263" s="4" t="n"/>
      <c r="L263" s="4" t="n"/>
      <c r="M263" s="4" t="n"/>
      <c r="N263" s="4" t="n"/>
      <c r="O263" s="4" t="n"/>
      <c r="P263" s="4" t="n"/>
      <c r="Q263" s="4" t="n"/>
    </row>
    <row r="264" hidden="1">
      <c r="J264" s="4" t="n"/>
      <c r="K264" s="4" t="n"/>
      <c r="L264" s="4" t="n"/>
      <c r="M264" s="4" t="n"/>
      <c r="N264" s="4" t="n"/>
      <c r="O264" s="4" t="n"/>
      <c r="P264" s="4" t="n"/>
      <c r="Q264" s="4" t="n"/>
    </row>
    <row r="265" hidden="1">
      <c r="J265" s="4" t="n"/>
      <c r="K265" s="4" t="n"/>
      <c r="L265" s="4" t="n"/>
      <c r="M265" s="4" t="n"/>
      <c r="N265" s="4" t="n"/>
      <c r="O265" s="4" t="n"/>
      <c r="P265" s="4" t="n"/>
      <c r="Q265" s="4" t="n"/>
    </row>
    <row r="266" hidden="1">
      <c r="J266" s="4" t="n"/>
      <c r="K266" s="4" t="n"/>
      <c r="L266" s="4" t="n"/>
      <c r="M266" s="4" t="n"/>
      <c r="N266" s="4" t="n"/>
      <c r="O266" s="4" t="n"/>
      <c r="P266" s="4" t="n"/>
      <c r="Q266" s="4" t="n"/>
    </row>
    <row r="267" hidden="1">
      <c r="J267" s="4" t="n"/>
      <c r="K267" s="4" t="n"/>
      <c r="L267" s="4" t="n"/>
      <c r="M267" s="4" t="n"/>
      <c r="N267" s="4" t="n"/>
      <c r="O267" s="4" t="n"/>
      <c r="P267" s="4" t="n"/>
      <c r="Q267" s="4" t="n"/>
    </row>
    <row r="268" hidden="1">
      <c r="J268" s="4" t="n"/>
      <c r="K268" s="4" t="n"/>
      <c r="L268" s="4" t="n"/>
      <c r="M268" s="4" t="n"/>
      <c r="N268" s="4" t="n"/>
      <c r="O268" s="4" t="n"/>
      <c r="P268" s="4" t="n"/>
      <c r="Q268" s="4" t="n"/>
    </row>
    <row r="269" hidden="1">
      <c r="J269" s="4" t="n"/>
      <c r="K269" s="4" t="n"/>
      <c r="L269" s="4" t="n"/>
      <c r="M269" s="4" t="n"/>
      <c r="N269" s="4" t="n"/>
      <c r="O269" s="4" t="n"/>
      <c r="P269" s="4" t="n"/>
      <c r="Q269" s="4" t="n"/>
    </row>
    <row r="270" hidden="1">
      <c r="J270" s="4" t="n"/>
      <c r="K270" s="4" t="n"/>
      <c r="L270" s="4" t="n"/>
      <c r="M270" s="4" t="n"/>
      <c r="N270" s="4" t="n"/>
      <c r="O270" s="4" t="n"/>
      <c r="P270" s="4" t="n"/>
      <c r="Q270" s="4" t="n"/>
    </row>
    <row r="271" hidden="1">
      <c r="J271" s="4" t="n"/>
      <c r="K271" s="4" t="n"/>
      <c r="L271" s="4" t="n"/>
      <c r="M271" s="4" t="n"/>
      <c r="N271" s="4" t="n"/>
      <c r="O271" s="4" t="n"/>
      <c r="P271" s="4" t="n"/>
      <c r="Q271" s="4" t="n"/>
    </row>
    <row r="272" hidden="1">
      <c r="J272" s="4" t="n"/>
      <c r="K272" s="4" t="n"/>
      <c r="L272" s="4" t="n"/>
      <c r="M272" s="4" t="n"/>
      <c r="N272" s="4" t="n"/>
      <c r="O272" s="4" t="n"/>
      <c r="P272" s="4" t="n"/>
      <c r="Q272" s="4" t="n"/>
    </row>
    <row r="273" hidden="1">
      <c r="J273" s="4" t="n"/>
      <c r="K273" s="4" t="n"/>
      <c r="L273" s="4" t="n"/>
      <c r="M273" s="4" t="n"/>
      <c r="N273" s="4" t="n"/>
      <c r="O273" s="4" t="n"/>
      <c r="P273" s="4" t="n"/>
      <c r="Q273" s="4" t="n"/>
    </row>
    <row r="274" hidden="1">
      <c r="J274" s="4" t="n"/>
      <c r="K274" s="4" t="n"/>
      <c r="L274" s="4" t="n"/>
      <c r="M274" s="4" t="n"/>
      <c r="N274" s="4" t="n"/>
      <c r="O274" s="4" t="n"/>
      <c r="P274" s="4" t="n"/>
      <c r="Q274" s="4" t="n"/>
    </row>
    <row r="275" hidden="1">
      <c r="J275" s="4" t="n"/>
      <c r="K275" s="4" t="n"/>
      <c r="L275" s="4" t="n"/>
      <c r="M275" s="4" t="n"/>
      <c r="N275" s="4" t="n"/>
      <c r="O275" s="4" t="n"/>
      <c r="P275" s="4" t="n"/>
      <c r="Q275" s="4" t="n"/>
    </row>
    <row r="276" hidden="1">
      <c r="J276" s="4" t="n"/>
      <c r="K276" s="4" t="n"/>
      <c r="L276" s="4" t="n"/>
      <c r="M276" s="4" t="n"/>
      <c r="N276" s="4" t="n"/>
      <c r="O276" s="4" t="n"/>
      <c r="P276" s="4" t="n"/>
      <c r="Q276" s="4" t="n"/>
    </row>
    <row r="277" hidden="1">
      <c r="J277" s="4" t="n"/>
      <c r="K277" s="4" t="n"/>
      <c r="L277" s="4" t="n"/>
      <c r="M277" s="4" t="n"/>
      <c r="N277" s="4" t="n"/>
      <c r="O277" s="4" t="n"/>
      <c r="P277" s="4" t="n"/>
      <c r="Q277" s="4" t="n"/>
    </row>
    <row r="278" hidden="1">
      <c r="J278" s="4" t="n"/>
      <c r="K278" s="4" t="n"/>
      <c r="L278" s="4" t="n"/>
      <c r="M278" s="4" t="n"/>
      <c r="N278" s="4" t="n"/>
      <c r="O278" s="4" t="n"/>
      <c r="P278" s="4" t="n"/>
      <c r="Q278" s="4" t="n"/>
    </row>
    <row r="279" hidden="1">
      <c r="J279" s="4" t="n"/>
      <c r="K279" s="4" t="n"/>
      <c r="L279" s="4" t="n"/>
      <c r="M279" s="4" t="n"/>
      <c r="N279" s="4" t="n"/>
      <c r="O279" s="4" t="n"/>
      <c r="P279" s="4" t="n"/>
      <c r="Q279" s="4" t="n"/>
    </row>
    <row r="280" hidden="1">
      <c r="J280" s="4" t="n"/>
      <c r="K280" s="4" t="n"/>
      <c r="L280" s="4" t="n"/>
      <c r="M280" s="4" t="n"/>
      <c r="N280" s="4" t="n"/>
      <c r="O280" s="4" t="n"/>
      <c r="P280" s="4" t="n"/>
      <c r="Q280" s="4" t="n"/>
    </row>
    <row r="281" hidden="1">
      <c r="J281" s="4" t="n"/>
      <c r="K281" s="4" t="n"/>
      <c r="L281" s="4" t="n"/>
      <c r="M281" s="4" t="n"/>
      <c r="N281" s="4" t="n"/>
      <c r="O281" s="4" t="n"/>
      <c r="P281" s="4" t="n"/>
      <c r="Q281" s="4" t="n"/>
    </row>
    <row r="282" hidden="1">
      <c r="J282" s="4" t="n"/>
      <c r="K282" s="4" t="n"/>
      <c r="L282" s="4" t="n"/>
      <c r="M282" s="4" t="n"/>
      <c r="N282" s="4" t="n"/>
      <c r="O282" s="4" t="n"/>
      <c r="P282" s="4" t="n"/>
      <c r="Q282" s="4" t="n"/>
    </row>
    <row r="283" hidden="1">
      <c r="J283" s="4" t="n"/>
      <c r="K283" s="4" t="n"/>
      <c r="L283" s="4" t="n"/>
      <c r="M283" s="4" t="n"/>
      <c r="N283" s="4" t="n"/>
      <c r="O283" s="4" t="n"/>
      <c r="P283" s="4" t="n"/>
      <c r="Q283" s="4" t="n"/>
    </row>
    <row r="284" hidden="1">
      <c r="J284" s="4" t="n"/>
      <c r="K284" s="4" t="n"/>
      <c r="L284" s="4" t="n"/>
      <c r="M284" s="4" t="n"/>
      <c r="N284" s="4" t="n"/>
      <c r="O284" s="4" t="n"/>
      <c r="P284" s="4" t="n"/>
      <c r="Q284" s="4" t="n"/>
    </row>
    <row r="285" hidden="1">
      <c r="J285" s="4" t="n"/>
      <c r="K285" s="4" t="n"/>
      <c r="L285" s="4" t="n"/>
      <c r="M285" s="4" t="n"/>
      <c r="N285" s="4" t="n"/>
      <c r="O285" s="4" t="n"/>
      <c r="P285" s="4" t="n"/>
      <c r="Q285" s="4" t="n"/>
    </row>
    <row r="286" hidden="1">
      <c r="J286" s="4" t="n"/>
      <c r="K286" s="4" t="n"/>
      <c r="L286" s="4" t="n"/>
      <c r="M286" s="4" t="n"/>
      <c r="N286" s="4" t="n"/>
      <c r="O286" s="4" t="n"/>
      <c r="P286" s="4" t="n"/>
      <c r="Q286" s="4" t="n"/>
    </row>
    <row r="287" hidden="1">
      <c r="J287" s="4" t="n"/>
      <c r="K287" s="4" t="n"/>
      <c r="L287" s="4" t="n"/>
      <c r="M287" s="4" t="n"/>
      <c r="N287" s="4" t="n"/>
      <c r="O287" s="4" t="n"/>
      <c r="P287" s="4" t="n"/>
      <c r="Q287" s="4" t="n"/>
    </row>
    <row r="288" hidden="1">
      <c r="J288" s="4" t="n"/>
      <c r="K288" s="4" t="n"/>
      <c r="L288" s="4" t="n"/>
      <c r="M288" s="4" t="n"/>
      <c r="N288" s="4" t="n"/>
      <c r="O288" s="4" t="n"/>
      <c r="P288" s="4" t="n"/>
      <c r="Q288" s="4" t="n"/>
    </row>
    <row r="289" hidden="1">
      <c r="J289" s="4" t="n"/>
      <c r="K289" s="4" t="n"/>
      <c r="L289" s="4" t="n"/>
      <c r="M289" s="4" t="n"/>
      <c r="N289" s="4" t="n"/>
      <c r="O289" s="4" t="n"/>
      <c r="P289" s="4" t="n"/>
      <c r="Q289" s="4" t="n"/>
    </row>
    <row r="290" hidden="1">
      <c r="J290" s="4" t="n"/>
      <c r="K290" s="4" t="n"/>
      <c r="L290" s="4" t="n"/>
      <c r="M290" s="4" t="n"/>
      <c r="N290" s="4" t="n"/>
      <c r="O290" s="4" t="n"/>
      <c r="P290" s="4" t="n"/>
      <c r="Q290" s="4" t="n"/>
    </row>
    <row r="291" hidden="1">
      <c r="J291" s="4" t="n"/>
      <c r="K291" s="4" t="n"/>
      <c r="L291" s="4" t="n"/>
      <c r="M291" s="4" t="n"/>
      <c r="N291" s="4" t="n"/>
      <c r="O291" s="4" t="n"/>
      <c r="P291" s="4" t="n"/>
      <c r="Q291" s="4" t="n"/>
    </row>
    <row r="292" hidden="1">
      <c r="J292" s="4" t="n"/>
      <c r="K292" s="4" t="n"/>
      <c r="L292" s="4" t="n"/>
      <c r="M292" s="4" t="n"/>
      <c r="N292" s="4" t="n"/>
      <c r="O292" s="4" t="n"/>
      <c r="P292" s="4" t="n"/>
      <c r="Q292" s="4" t="n"/>
    </row>
    <row r="293" hidden="1">
      <c r="J293" s="4" t="n"/>
      <c r="K293" s="4" t="n"/>
      <c r="L293" s="4" t="n"/>
      <c r="M293" s="4" t="n"/>
      <c r="N293" s="4" t="n"/>
      <c r="O293" s="4" t="n"/>
      <c r="P293" s="4" t="n"/>
      <c r="Q293" s="4" t="n"/>
    </row>
    <row r="294" hidden="1">
      <c r="J294" s="4" t="n"/>
      <c r="K294" s="4" t="n"/>
      <c r="L294" s="4" t="n"/>
      <c r="M294" s="4" t="n"/>
      <c r="N294" s="4" t="n"/>
      <c r="O294" s="4" t="n"/>
      <c r="P294" s="4" t="n"/>
      <c r="Q294" s="4" t="n"/>
    </row>
    <row r="295" hidden="1">
      <c r="J295" s="4" t="n"/>
      <c r="K295" s="4" t="n"/>
      <c r="L295" s="4" t="n"/>
      <c r="M295" s="4" t="n"/>
      <c r="N295" s="4" t="n"/>
      <c r="O295" s="4" t="n"/>
      <c r="P295" s="4" t="n"/>
      <c r="Q295" s="4" t="n"/>
    </row>
    <row r="296" hidden="1">
      <c r="J296" s="4" t="n"/>
      <c r="K296" s="4" t="n"/>
      <c r="L296" s="4" t="n"/>
      <c r="M296" s="4" t="n"/>
      <c r="N296" s="4" t="n"/>
      <c r="O296" s="4" t="n"/>
      <c r="P296" s="4" t="n"/>
      <c r="Q296" s="4" t="n"/>
    </row>
    <row r="297" hidden="1">
      <c r="J297" s="4" t="n"/>
      <c r="K297" s="4" t="n"/>
      <c r="L297" s="4" t="n"/>
      <c r="M297" s="4" t="n"/>
      <c r="N297" s="4" t="n"/>
      <c r="O297" s="4" t="n"/>
      <c r="P297" s="4" t="n"/>
      <c r="Q297" s="4" t="n"/>
    </row>
    <row r="298" hidden="1">
      <c r="J298" s="4" t="n"/>
      <c r="K298" s="4" t="n"/>
      <c r="L298" s="4" t="n"/>
      <c r="M298" s="4" t="n"/>
      <c r="N298" s="4" t="n"/>
      <c r="O298" s="4" t="n"/>
      <c r="P298" s="4" t="n"/>
      <c r="Q298" s="4" t="n"/>
    </row>
    <row r="299" hidden="1">
      <c r="J299" s="4" t="n"/>
      <c r="K299" s="4" t="n"/>
      <c r="L299" s="4" t="n"/>
      <c r="M299" s="4" t="n"/>
      <c r="N299" s="4" t="n"/>
      <c r="O299" s="4" t="n"/>
      <c r="P299" s="4" t="n"/>
      <c r="Q299" s="4" t="n"/>
    </row>
    <row r="300" hidden="1">
      <c r="J300" s="4" t="n"/>
      <c r="K300" s="4" t="n"/>
      <c r="L300" s="4" t="n"/>
      <c r="M300" s="4" t="n"/>
      <c r="N300" s="4" t="n"/>
      <c r="O300" s="4" t="n"/>
      <c r="P300" s="4" t="n"/>
      <c r="Q300" s="4" t="n"/>
    </row>
    <row r="301" hidden="1">
      <c r="J301" s="4" t="n"/>
      <c r="K301" s="4" t="n"/>
      <c r="L301" s="4" t="n"/>
      <c r="M301" s="4" t="n"/>
      <c r="N301" s="4" t="n"/>
      <c r="O301" s="4" t="n"/>
      <c r="P301" s="4" t="n"/>
      <c r="Q301" s="4" t="n"/>
    </row>
    <row r="302" hidden="1">
      <c r="J302" s="4" t="n"/>
      <c r="K302" s="4" t="n"/>
      <c r="L302" s="4" t="n"/>
      <c r="M302" s="4" t="n"/>
      <c r="N302" s="4" t="n"/>
      <c r="O302" s="4" t="n"/>
      <c r="P302" s="4" t="n"/>
      <c r="Q302" s="4" t="n"/>
    </row>
    <row r="303" hidden="1">
      <c r="J303" s="4" t="n"/>
      <c r="K303" s="4" t="n"/>
      <c r="L303" s="4" t="n"/>
      <c r="M303" s="4" t="n"/>
      <c r="N303" s="4" t="n"/>
      <c r="O303" s="4" t="n"/>
      <c r="P303" s="4" t="n"/>
      <c r="Q303" s="4" t="n"/>
    </row>
    <row r="304" hidden="1">
      <c r="J304" s="4" t="n"/>
      <c r="K304" s="4" t="n"/>
      <c r="L304" s="4" t="n"/>
      <c r="M304" s="4" t="n"/>
      <c r="N304" s="4" t="n"/>
      <c r="O304" s="4" t="n"/>
      <c r="P304" s="4" t="n"/>
      <c r="Q304" s="4" t="n"/>
    </row>
    <row r="305" hidden="1">
      <c r="J305" s="4" t="n"/>
      <c r="K305" s="4" t="n"/>
      <c r="L305" s="4" t="n"/>
      <c r="M305" s="4" t="n"/>
      <c r="N305" s="4" t="n"/>
      <c r="O305" s="4" t="n"/>
      <c r="P305" s="4" t="n"/>
      <c r="Q305" s="4" t="n"/>
    </row>
    <row r="306" hidden="1">
      <c r="J306" s="4" t="n"/>
      <c r="K306" s="4" t="n"/>
      <c r="L306" s="4" t="n"/>
      <c r="M306" s="4" t="n"/>
      <c r="N306" s="4" t="n"/>
      <c r="O306" s="4" t="n"/>
      <c r="P306" s="4" t="n"/>
      <c r="Q306" s="4" t="n"/>
    </row>
    <row r="307" hidden="1">
      <c r="J307" s="4" t="n"/>
      <c r="K307" s="4" t="n"/>
      <c r="L307" s="4" t="n"/>
      <c r="M307" s="4" t="n"/>
      <c r="N307" s="4" t="n"/>
      <c r="O307" s="4" t="n"/>
      <c r="P307" s="4" t="n"/>
      <c r="Q307" s="4" t="n"/>
    </row>
    <row r="308" hidden="1">
      <c r="J308" s="4" t="n"/>
      <c r="K308" s="4" t="n"/>
      <c r="L308" s="4" t="n"/>
      <c r="M308" s="4" t="n"/>
      <c r="N308" s="4" t="n"/>
      <c r="O308" s="4" t="n"/>
      <c r="P308" s="4" t="n"/>
      <c r="Q308" s="4" t="n"/>
    </row>
    <row r="309" hidden="1">
      <c r="J309" s="4" t="n"/>
      <c r="K309" s="4" t="n"/>
      <c r="L309" s="4" t="n"/>
      <c r="M309" s="4" t="n"/>
      <c r="N309" s="4" t="n"/>
      <c r="O309" s="4" t="n"/>
      <c r="P309" s="4" t="n"/>
      <c r="Q309" s="4" t="n"/>
    </row>
    <row r="310" hidden="1">
      <c r="J310" s="4" t="n"/>
      <c r="K310" s="4" t="n"/>
      <c r="L310" s="4" t="n"/>
      <c r="M310" s="4" t="n"/>
      <c r="N310" s="4" t="n"/>
      <c r="O310" s="4" t="n"/>
      <c r="P310" s="4" t="n"/>
      <c r="Q310" s="4" t="n"/>
    </row>
    <row r="311" hidden="1">
      <c r="J311" s="4" t="n"/>
      <c r="K311" s="4" t="n"/>
      <c r="L311" s="4" t="n"/>
      <c r="M311" s="4" t="n"/>
      <c r="N311" s="4" t="n"/>
      <c r="O311" s="4" t="n"/>
      <c r="P311" s="4" t="n"/>
      <c r="Q311" s="4" t="n"/>
    </row>
    <row r="312" hidden="1">
      <c r="J312" s="4" t="n"/>
      <c r="K312" s="4" t="n"/>
      <c r="L312" s="4" t="n"/>
      <c r="M312" s="4" t="n"/>
      <c r="N312" s="4" t="n"/>
      <c r="O312" s="4" t="n"/>
      <c r="P312" s="4" t="n"/>
      <c r="Q312" s="4" t="n"/>
    </row>
    <row r="313" hidden="1">
      <c r="J313" s="4" t="n"/>
      <c r="K313" s="4" t="n"/>
      <c r="L313" s="4" t="n"/>
      <c r="M313" s="4" t="n"/>
      <c r="N313" s="4" t="n"/>
      <c r="O313" s="4" t="n"/>
      <c r="P313" s="4" t="n"/>
      <c r="Q313" s="4" t="n"/>
    </row>
    <row r="314" hidden="1">
      <c r="J314" s="4" t="n"/>
      <c r="K314" s="4" t="n"/>
      <c r="L314" s="4" t="n"/>
      <c r="M314" s="4" t="n"/>
      <c r="N314" s="4" t="n"/>
      <c r="O314" s="4" t="n"/>
      <c r="P314" s="4" t="n"/>
      <c r="Q314" s="4" t="n"/>
    </row>
    <row r="315" hidden="1">
      <c r="J315" s="4" t="n"/>
      <c r="K315" s="4" t="n"/>
      <c r="L315" s="4" t="n"/>
      <c r="M315" s="4" t="n"/>
      <c r="N315" s="4" t="n"/>
      <c r="O315" s="4" t="n"/>
      <c r="P315" s="4" t="n"/>
      <c r="Q315" s="4" t="n"/>
    </row>
    <row r="316" hidden="1">
      <c r="J316" s="4" t="n"/>
      <c r="K316" s="4" t="n"/>
      <c r="L316" s="4" t="n"/>
      <c r="M316" s="4" t="n"/>
      <c r="N316" s="4" t="n"/>
      <c r="O316" s="4" t="n"/>
      <c r="P316" s="4" t="n"/>
      <c r="Q316" s="4" t="n"/>
    </row>
    <row r="317" hidden="1">
      <c r="J317" s="4" t="n"/>
      <c r="K317" s="4" t="n"/>
      <c r="L317" s="4" t="n"/>
      <c r="M317" s="4" t="n"/>
      <c r="N317" s="4" t="n"/>
      <c r="O317" s="4" t="n"/>
      <c r="P317" s="4" t="n"/>
      <c r="Q317" s="4" t="n"/>
    </row>
    <row r="318" hidden="1">
      <c r="J318" s="4" t="n"/>
      <c r="K318" s="4" t="n"/>
      <c r="L318" s="4" t="n"/>
      <c r="M318" s="4" t="n"/>
      <c r="N318" s="4" t="n"/>
      <c r="O318" s="4" t="n"/>
      <c r="P318" s="4" t="n"/>
      <c r="Q318" s="4" t="n"/>
    </row>
    <row r="319" hidden="1">
      <c r="J319" s="4" t="n"/>
      <c r="K319" s="4" t="n"/>
      <c r="L319" s="4" t="n"/>
      <c r="M319" s="4" t="n"/>
      <c r="N319" s="4" t="n"/>
      <c r="O319" s="4" t="n"/>
      <c r="P319" s="4" t="n"/>
      <c r="Q319" s="4" t="n"/>
    </row>
    <row r="320" hidden="1">
      <c r="J320" s="4" t="n"/>
      <c r="K320" s="4" t="n"/>
      <c r="L320" s="4" t="n"/>
      <c r="M320" s="4" t="n"/>
      <c r="N320" s="4" t="n"/>
      <c r="O320" s="4" t="n"/>
      <c r="P320" s="4" t="n"/>
      <c r="Q320" s="4" t="n"/>
    </row>
    <row r="321" hidden="1">
      <c r="J321" s="4" t="n"/>
      <c r="K321" s="4" t="n"/>
      <c r="L321" s="4" t="n"/>
      <c r="M321" s="4" t="n"/>
      <c r="N321" s="4" t="n"/>
      <c r="O321" s="4" t="n"/>
      <c r="P321" s="4" t="n"/>
      <c r="Q321" s="4" t="n"/>
    </row>
    <row r="322" hidden="1">
      <c r="J322" s="4" t="n"/>
      <c r="K322" s="4" t="n"/>
      <c r="L322" s="4" t="n"/>
      <c r="M322" s="4" t="n"/>
      <c r="N322" s="4" t="n"/>
      <c r="O322" s="4" t="n"/>
      <c r="P322" s="4" t="n"/>
      <c r="Q322" s="4" t="n"/>
    </row>
    <row r="323" hidden="1">
      <c r="J323" s="4" t="n"/>
      <c r="K323" s="4" t="n"/>
      <c r="L323" s="4" t="n"/>
      <c r="M323" s="4" t="n"/>
      <c r="N323" s="4" t="n"/>
      <c r="O323" s="4" t="n"/>
      <c r="P323" s="4" t="n"/>
      <c r="Q323" s="4" t="n"/>
    </row>
    <row r="324" hidden="1">
      <c r="J324" s="4" t="n"/>
      <c r="K324" s="4" t="n"/>
      <c r="L324" s="4" t="n"/>
      <c r="M324" s="4" t="n"/>
      <c r="N324" s="4" t="n"/>
      <c r="O324" s="4" t="n"/>
      <c r="P324" s="4" t="n"/>
      <c r="Q324" s="4" t="n"/>
    </row>
    <row r="325" hidden="1">
      <c r="J325" s="4" t="n"/>
      <c r="K325" s="4" t="n"/>
      <c r="L325" s="4" t="n"/>
      <c r="M325" s="4" t="n"/>
      <c r="N325" s="4" t="n"/>
      <c r="O325" s="4" t="n"/>
      <c r="P325" s="4" t="n"/>
      <c r="Q325" s="4" t="n"/>
    </row>
    <row r="326" hidden="1">
      <c r="J326" s="4" t="n"/>
      <c r="K326" s="4" t="n"/>
      <c r="L326" s="4" t="n"/>
      <c r="M326" s="4" t="n"/>
      <c r="N326" s="4" t="n"/>
      <c r="O326" s="4" t="n"/>
      <c r="P326" s="4" t="n"/>
      <c r="Q326" s="4" t="n"/>
    </row>
    <row r="327" hidden="1">
      <c r="J327" s="4" t="n"/>
      <c r="K327" s="4" t="n"/>
      <c r="L327" s="4" t="n"/>
      <c r="M327" s="4" t="n"/>
      <c r="N327" s="4" t="n"/>
      <c r="O327" s="4" t="n"/>
      <c r="P327" s="4" t="n"/>
      <c r="Q327" s="4" t="n"/>
    </row>
    <row r="328" hidden="1">
      <c r="J328" s="4">
        <f t="array" ref="J328">IFERROR(INDEX(Unified_Matrix!$A:$ZZ,ROW(A325),MATCH("Max "&amp;$J$9,Unified_Matrix!$1:$1,0)),"")</f>
        <v/>
      </c>
      <c r="K328" s="4">
        <f t="array" ref="K328">IFERROR(INDEX(Unified_Matrix!$A:$ZZ,ROW(A325),MATCH("Evolution_Name",Unified_Matrix!$1:$1,0)),"")</f>
        <v/>
      </c>
      <c r="L328" s="4">
        <f>IF(J328="","",IF(J328=0,"",IF(J328=$AB$28,1,IF(J328=$AB$29,2,IF(J328=$AB$30,3,"")))))</f>
        <v/>
      </c>
      <c r="M328" s="4">
        <f t="array" ref="M328">IFERROR(INDEX(Unified_Matrix!$A:$ZZ,ROW(A325),MATCH("+ OVR",Unified_Matrix!$1:$1,0)),"")</f>
        <v/>
      </c>
      <c r="N328" s="4">
        <f t="array" ref="N328">IFERROR(INDEX(Unified_Matrix!$A:$ZZ,ROW(A325),MATCH("Max OVR",Unified_Matrix!$1:$1,0)),"")</f>
        <v/>
      </c>
      <c r="O328" s="4">
        <f t="array" ref="O328">IFERROR(INDEX(Unified_Matrix!$A:$ZZ,ROW(A325),MATCH("Req_Position",Unified_Matrix!$1:$1,0)),"")</f>
        <v/>
      </c>
      <c r="P328" s="4">
        <f t="array" ref="P328">IFERROR(INDEX(Unified_Matrix!$A:$ZZ,ROW(A325),MATCH("Req_OVR_Max",Unified_Matrix!$1:$1,0)),"")</f>
        <v/>
      </c>
      <c r="Q328" s="4">
        <f t="array" ref="Q328">IFERROR(INDEX(Unified_Matrix!$A:$ZZ,ROW(A325),MATCH("Req_Other",Unified_Matrix!$1:$1,0)),"")</f>
        <v/>
      </c>
    </row>
    <row r="329" hidden="1">
      <c r="J329" s="4">
        <f t="array" ref="J329">IFERROR(INDEX(Unified_Matrix!$A:$ZZ,ROW(A326),MATCH("Max "&amp;$J$9,Unified_Matrix!$1:$1,0)),"")</f>
        <v/>
      </c>
      <c r="K329" s="4">
        <f t="array" ref="K329">IFERROR(INDEX(Unified_Matrix!$A:$ZZ,ROW(A326),MATCH("Evolution_Name",Unified_Matrix!$1:$1,0)),"")</f>
        <v/>
      </c>
      <c r="L329" s="4">
        <f>IF(J329="","",IF(J329=0,"",IF(J329=$AB$28,1,IF(J329=$AB$29,2,IF(J329=$AB$30,3,"")))))</f>
        <v/>
      </c>
      <c r="M329" s="4">
        <f t="array" ref="M329">IFERROR(INDEX(Unified_Matrix!$A:$ZZ,ROW(A326),MATCH("+ OVR",Unified_Matrix!$1:$1,0)),"")</f>
        <v/>
      </c>
      <c r="N329" s="4">
        <f t="array" ref="N329">IFERROR(INDEX(Unified_Matrix!$A:$ZZ,ROW(A326),MATCH("Max OVR",Unified_Matrix!$1:$1,0)),"")</f>
        <v/>
      </c>
      <c r="O329" s="4">
        <f t="array" ref="O329">IFERROR(INDEX(Unified_Matrix!$A:$ZZ,ROW(A326),MATCH("Req_Position",Unified_Matrix!$1:$1,0)),"")</f>
        <v/>
      </c>
      <c r="P329" s="4">
        <f t="array" ref="P329">IFERROR(INDEX(Unified_Matrix!$A:$ZZ,ROW(A326),MATCH("Req_OVR_Max",Unified_Matrix!$1:$1,0)),"")</f>
        <v/>
      </c>
      <c r="Q329" s="4">
        <f t="array" ref="Q329">IFERROR(INDEX(Unified_Matrix!$A:$ZZ,ROW(A326),MATCH("Req_Other",Unified_Matrix!$1:$1,0)),"")</f>
        <v/>
      </c>
    </row>
    <row r="330" hidden="1">
      <c r="J330" s="4">
        <f t="array" ref="J330">IFERROR(INDEX(Unified_Matrix!$A:$ZZ,ROW(A327),MATCH("Max "&amp;$J$9,Unified_Matrix!$1:$1,0)),"")</f>
        <v/>
      </c>
      <c r="K330" s="4">
        <f t="array" ref="K330">IFERROR(INDEX(Unified_Matrix!$A:$ZZ,ROW(A327),MATCH("Evolution_Name",Unified_Matrix!$1:$1,0)),"")</f>
        <v/>
      </c>
      <c r="L330" s="4">
        <f>IF(J330="","",IF(J330=0,"",IF(J330=$AB$28,1,IF(J330=$AB$29,2,IF(J330=$AB$30,3,"")))))</f>
        <v/>
      </c>
      <c r="M330" s="4">
        <f t="array" ref="M330">IFERROR(INDEX(Unified_Matrix!$A:$ZZ,ROW(A327),MATCH("+ OVR",Unified_Matrix!$1:$1,0)),"")</f>
        <v/>
      </c>
      <c r="N330" s="4">
        <f t="array" ref="N330">IFERROR(INDEX(Unified_Matrix!$A:$ZZ,ROW(A327),MATCH("Max OVR",Unified_Matrix!$1:$1,0)),"")</f>
        <v/>
      </c>
      <c r="O330" s="4">
        <f t="array" ref="O330">IFERROR(INDEX(Unified_Matrix!$A:$ZZ,ROW(A327),MATCH("Req_Position",Unified_Matrix!$1:$1,0)),"")</f>
        <v/>
      </c>
      <c r="P330" s="4">
        <f t="array" ref="P330">IFERROR(INDEX(Unified_Matrix!$A:$ZZ,ROW(A327),MATCH("Req_OVR_Max",Unified_Matrix!$1:$1,0)),"")</f>
        <v/>
      </c>
      <c r="Q330" s="4">
        <f t="array" ref="Q330">IFERROR(INDEX(Unified_Matrix!$A:$ZZ,ROW(A327),MATCH("Req_Other",Unified_Matrix!$1:$1,0)),"")</f>
        <v/>
      </c>
    </row>
    <row r="331" hidden="1">
      <c r="J331" s="4">
        <f t="array" ref="J331">IFERROR(INDEX(Unified_Matrix!$A:$ZZ,ROW(A328),MATCH("Max "&amp;$J$9,Unified_Matrix!$1:$1,0)),"")</f>
        <v/>
      </c>
      <c r="K331" s="4">
        <f t="array" ref="K331">IFERROR(INDEX(Unified_Matrix!$A:$ZZ,ROW(A328),MATCH("Evolution_Name",Unified_Matrix!$1:$1,0)),"")</f>
        <v/>
      </c>
      <c r="L331" s="4">
        <f>IF(J331="","",IF(J331=0,"",IF(J331=$AB$28,1,IF(J331=$AB$29,2,IF(J331=$AB$30,3,"")))))</f>
        <v/>
      </c>
      <c r="M331" s="4">
        <f t="array" ref="M331">IFERROR(INDEX(Unified_Matrix!$A:$ZZ,ROW(A328),MATCH("+ OVR",Unified_Matrix!$1:$1,0)),"")</f>
        <v/>
      </c>
      <c r="N331" s="4">
        <f t="array" ref="N331">IFERROR(INDEX(Unified_Matrix!$A:$ZZ,ROW(A328),MATCH("Max OVR",Unified_Matrix!$1:$1,0)),"")</f>
        <v/>
      </c>
      <c r="O331" s="4">
        <f t="array" ref="O331">IFERROR(INDEX(Unified_Matrix!$A:$ZZ,ROW(A328),MATCH("Req_Position",Unified_Matrix!$1:$1,0)),"")</f>
        <v/>
      </c>
      <c r="P331" s="4">
        <f t="array" ref="P331">IFERROR(INDEX(Unified_Matrix!$A:$ZZ,ROW(A328),MATCH("Req_OVR_Max",Unified_Matrix!$1:$1,0)),"")</f>
        <v/>
      </c>
      <c r="Q331" s="4">
        <f t="array" ref="Q331">IFERROR(INDEX(Unified_Matrix!$A:$ZZ,ROW(A328),MATCH("Req_Other",Unified_Matrix!$1:$1,0)),"")</f>
        <v/>
      </c>
    </row>
    <row r="332" hidden="1">
      <c r="J332" s="4">
        <f t="array" ref="J332">IFERROR(INDEX(Unified_Matrix!$A:$ZZ,ROW(A329),MATCH("Max "&amp;$J$9,Unified_Matrix!$1:$1,0)),"")</f>
        <v/>
      </c>
      <c r="K332" s="4">
        <f t="array" ref="K332">IFERROR(INDEX(Unified_Matrix!$A:$ZZ,ROW(A329),MATCH("Evolution_Name",Unified_Matrix!$1:$1,0)),"")</f>
        <v/>
      </c>
      <c r="L332" s="4">
        <f>IF(J332="","",IF(J332=0,"",IF(J332=$AB$28,1,IF(J332=$AB$29,2,IF(J332=$AB$30,3,"")))))</f>
        <v/>
      </c>
      <c r="M332" s="4">
        <f t="array" ref="M332">IFERROR(INDEX(Unified_Matrix!$A:$ZZ,ROW(A329),MATCH("+ OVR",Unified_Matrix!$1:$1,0)),"")</f>
        <v/>
      </c>
      <c r="N332" s="4">
        <f t="array" ref="N332">IFERROR(INDEX(Unified_Matrix!$A:$ZZ,ROW(A329),MATCH("Max OVR",Unified_Matrix!$1:$1,0)),"")</f>
        <v/>
      </c>
      <c r="O332" s="4">
        <f t="array" ref="O332">IFERROR(INDEX(Unified_Matrix!$A:$ZZ,ROW(A329),MATCH("Req_Position",Unified_Matrix!$1:$1,0)),"")</f>
        <v/>
      </c>
      <c r="P332" s="4">
        <f t="array" ref="P332">IFERROR(INDEX(Unified_Matrix!$A:$ZZ,ROW(A329),MATCH("Req_OVR_Max",Unified_Matrix!$1:$1,0)),"")</f>
        <v/>
      </c>
      <c r="Q332" s="4">
        <f t="array" ref="Q332">IFERROR(INDEX(Unified_Matrix!$A:$ZZ,ROW(A329),MATCH("Req_Other",Unified_Matrix!$1:$1,0)),"")</f>
        <v/>
      </c>
    </row>
    <row r="333" hidden="1">
      <c r="J333" s="4">
        <f t="array" ref="J333">IFERROR(INDEX(Unified_Matrix!$A:$ZZ,ROW(A330),MATCH("Max "&amp;$J$9,Unified_Matrix!$1:$1,0)),"")</f>
        <v/>
      </c>
      <c r="K333" s="4">
        <f t="array" ref="K333">IFERROR(INDEX(Unified_Matrix!$A:$ZZ,ROW(A330),MATCH("Evolution_Name",Unified_Matrix!$1:$1,0)),"")</f>
        <v/>
      </c>
      <c r="L333" s="4">
        <f>IF(J333="","",IF(J333=0,"",IF(J333=$AB$28,1,IF(J333=$AB$29,2,IF(J333=$AB$30,3,"")))))</f>
        <v/>
      </c>
      <c r="M333" s="4">
        <f t="array" ref="M333">IFERROR(INDEX(Unified_Matrix!$A:$ZZ,ROW(A330),MATCH("+ OVR",Unified_Matrix!$1:$1,0)),"")</f>
        <v/>
      </c>
      <c r="N333" s="4">
        <f t="array" ref="N333">IFERROR(INDEX(Unified_Matrix!$A:$ZZ,ROW(A330),MATCH("Max OVR",Unified_Matrix!$1:$1,0)),"")</f>
        <v/>
      </c>
      <c r="O333" s="4">
        <f t="array" ref="O333">IFERROR(INDEX(Unified_Matrix!$A:$ZZ,ROW(A330),MATCH("Req_Position",Unified_Matrix!$1:$1,0)),"")</f>
        <v/>
      </c>
      <c r="P333" s="4">
        <f t="array" ref="P333">IFERROR(INDEX(Unified_Matrix!$A:$ZZ,ROW(A330),MATCH("Req_OVR_Max",Unified_Matrix!$1:$1,0)),"")</f>
        <v/>
      </c>
      <c r="Q333" s="4">
        <f t="array" ref="Q333">IFERROR(INDEX(Unified_Matrix!$A:$ZZ,ROW(A330),MATCH("Req_Other",Unified_Matrix!$1:$1,0)),"")</f>
        <v/>
      </c>
    </row>
    <row r="334" hidden="1">
      <c r="J334" s="4">
        <f t="array" ref="J334">IFERROR(INDEX(Unified_Matrix!$A:$ZZ,ROW(A331),MATCH("Max "&amp;$J$9,Unified_Matrix!$1:$1,0)),"")</f>
        <v/>
      </c>
      <c r="K334" s="4">
        <f t="array" ref="K334">IFERROR(INDEX(Unified_Matrix!$A:$ZZ,ROW(A331),MATCH("Evolution_Name",Unified_Matrix!$1:$1,0)),"")</f>
        <v/>
      </c>
      <c r="L334" s="4">
        <f>IF(J334="","",IF(J334=0,"",IF(J334=$AB$28,1,IF(J334=$AB$29,2,IF(J334=$AB$30,3,"")))))</f>
        <v/>
      </c>
      <c r="M334" s="4">
        <f t="array" ref="M334">IFERROR(INDEX(Unified_Matrix!$A:$ZZ,ROW(A331),MATCH("+ OVR",Unified_Matrix!$1:$1,0)),"")</f>
        <v/>
      </c>
      <c r="N334" s="4">
        <f t="array" ref="N334">IFERROR(INDEX(Unified_Matrix!$A:$ZZ,ROW(A331),MATCH("Max OVR",Unified_Matrix!$1:$1,0)),"")</f>
        <v/>
      </c>
      <c r="O334" s="4">
        <f t="array" ref="O334">IFERROR(INDEX(Unified_Matrix!$A:$ZZ,ROW(A331),MATCH("Req_Position",Unified_Matrix!$1:$1,0)),"")</f>
        <v/>
      </c>
      <c r="P334" s="4">
        <f t="array" ref="P334">IFERROR(INDEX(Unified_Matrix!$A:$ZZ,ROW(A331),MATCH("Req_OVR_Max",Unified_Matrix!$1:$1,0)),"")</f>
        <v/>
      </c>
      <c r="Q334" s="4">
        <f t="array" ref="Q334">IFERROR(INDEX(Unified_Matrix!$A:$ZZ,ROW(A331),MATCH("Req_Other",Unified_Matrix!$1:$1,0)),"")</f>
        <v/>
      </c>
    </row>
    <row r="335" hidden="1">
      <c r="J335" s="4">
        <f t="array" ref="J335">IFERROR(INDEX(Unified_Matrix!$A:$ZZ,ROW(A332),MATCH("Max "&amp;$J$9,Unified_Matrix!$1:$1,0)),"")</f>
        <v/>
      </c>
      <c r="K335" s="4">
        <f t="array" ref="K335">IFERROR(INDEX(Unified_Matrix!$A:$ZZ,ROW(A332),MATCH("Evolution_Name",Unified_Matrix!$1:$1,0)),"")</f>
        <v/>
      </c>
      <c r="L335" s="4">
        <f>IF(J335="","",IF(J335=0,"",IF(J335=$AB$28,1,IF(J335=$AB$29,2,IF(J335=$AB$30,3,"")))))</f>
        <v/>
      </c>
      <c r="M335" s="4">
        <f t="array" ref="M335">IFERROR(INDEX(Unified_Matrix!$A:$ZZ,ROW(A332),MATCH("+ OVR",Unified_Matrix!$1:$1,0)),"")</f>
        <v/>
      </c>
      <c r="N335" s="4">
        <f t="array" ref="N335">IFERROR(INDEX(Unified_Matrix!$A:$ZZ,ROW(A332),MATCH("Max OVR",Unified_Matrix!$1:$1,0)),"")</f>
        <v/>
      </c>
      <c r="O335" s="4">
        <f t="array" ref="O335">IFERROR(INDEX(Unified_Matrix!$A:$ZZ,ROW(A332),MATCH("Req_Position",Unified_Matrix!$1:$1,0)),"")</f>
        <v/>
      </c>
      <c r="P335" s="4">
        <f t="array" ref="P335">IFERROR(INDEX(Unified_Matrix!$A:$ZZ,ROW(A332),MATCH("Req_OVR_Max",Unified_Matrix!$1:$1,0)),"")</f>
        <v/>
      </c>
      <c r="Q335" s="4">
        <f t="array" ref="Q335">IFERROR(INDEX(Unified_Matrix!$A:$ZZ,ROW(A332),MATCH("Req_Other",Unified_Matrix!$1:$1,0)),"")</f>
        <v/>
      </c>
    </row>
    <row r="336" hidden="1">
      <c r="J336" s="4">
        <f t="array" ref="J336">IFERROR(INDEX(Unified_Matrix!$A:$ZZ,ROW(A333),MATCH("Max "&amp;$J$9,Unified_Matrix!$1:$1,0)),"")</f>
        <v/>
      </c>
      <c r="K336" s="4">
        <f t="array" ref="K336">IFERROR(INDEX(Unified_Matrix!$A:$ZZ,ROW(A333),MATCH("Evolution_Name",Unified_Matrix!$1:$1,0)),"")</f>
        <v/>
      </c>
      <c r="L336" s="4">
        <f>IF(J336="","",IF(J336=0,"",IF(J336=$AB$28,1,IF(J336=$AB$29,2,IF(J336=$AB$30,3,"")))))</f>
        <v/>
      </c>
      <c r="M336" s="4">
        <f t="array" ref="M336">IFERROR(INDEX(Unified_Matrix!$A:$ZZ,ROW(A333),MATCH("+ OVR",Unified_Matrix!$1:$1,0)),"")</f>
        <v/>
      </c>
      <c r="N336" s="4">
        <f t="array" ref="N336">IFERROR(INDEX(Unified_Matrix!$A:$ZZ,ROW(A333),MATCH("Max OVR",Unified_Matrix!$1:$1,0)),"")</f>
        <v/>
      </c>
      <c r="O336" s="4">
        <f t="array" ref="O336">IFERROR(INDEX(Unified_Matrix!$A:$ZZ,ROW(A333),MATCH("Req_Position",Unified_Matrix!$1:$1,0)),"")</f>
        <v/>
      </c>
      <c r="P336" s="4">
        <f t="array" ref="P336">IFERROR(INDEX(Unified_Matrix!$A:$ZZ,ROW(A333),MATCH("Req_OVR_Max",Unified_Matrix!$1:$1,0)),"")</f>
        <v/>
      </c>
      <c r="Q336" s="4">
        <f t="array" ref="Q336">IFERROR(INDEX(Unified_Matrix!$A:$ZZ,ROW(A333),MATCH("Req_Other",Unified_Matrix!$1:$1,0)),"")</f>
        <v/>
      </c>
    </row>
    <row r="337" hidden="1">
      <c r="J337" s="4">
        <f t="array" ref="J337">IFERROR(INDEX(Unified_Matrix!$A:$ZZ,ROW(A334),MATCH("Max "&amp;$J$9,Unified_Matrix!$1:$1,0)),"")</f>
        <v/>
      </c>
      <c r="K337" s="4">
        <f t="array" ref="K337">IFERROR(INDEX(Unified_Matrix!$A:$ZZ,ROW(A334),MATCH("Evolution_Name",Unified_Matrix!$1:$1,0)),"")</f>
        <v/>
      </c>
      <c r="L337" s="4">
        <f>IF(J337="","",IF(J337=0,"",IF(J337=$AB$28,1,IF(J337=$AB$29,2,IF(J337=$AB$30,3,"")))))</f>
        <v/>
      </c>
      <c r="M337" s="4">
        <f t="array" ref="M337">IFERROR(INDEX(Unified_Matrix!$A:$ZZ,ROW(A334),MATCH("+ OVR",Unified_Matrix!$1:$1,0)),"")</f>
        <v/>
      </c>
      <c r="N337" s="4">
        <f t="array" ref="N337">IFERROR(INDEX(Unified_Matrix!$A:$ZZ,ROW(A334),MATCH("Max OVR",Unified_Matrix!$1:$1,0)),"")</f>
        <v/>
      </c>
      <c r="O337" s="4">
        <f t="array" ref="O337">IFERROR(INDEX(Unified_Matrix!$A:$ZZ,ROW(A334),MATCH("Req_Position",Unified_Matrix!$1:$1,0)),"")</f>
        <v/>
      </c>
      <c r="P337" s="4">
        <f t="array" ref="P337">IFERROR(INDEX(Unified_Matrix!$A:$ZZ,ROW(A334),MATCH("Req_OVR_Max",Unified_Matrix!$1:$1,0)),"")</f>
        <v/>
      </c>
      <c r="Q337" s="4">
        <f t="array" ref="Q337">IFERROR(INDEX(Unified_Matrix!$A:$ZZ,ROW(A334),MATCH("Req_Other",Unified_Matrix!$1:$1,0)),"")</f>
        <v/>
      </c>
    </row>
    <row r="338" hidden="1">
      <c r="J338" s="4">
        <f t="array" ref="J338">IFERROR(INDEX(Unified_Matrix!$A:$ZZ,ROW(A335),MATCH("Max "&amp;$J$9,Unified_Matrix!$1:$1,0)),"")</f>
        <v/>
      </c>
      <c r="K338" s="4">
        <f t="array" ref="K338">IFERROR(INDEX(Unified_Matrix!$A:$ZZ,ROW(A335),MATCH("Evolution_Name",Unified_Matrix!$1:$1,0)),"")</f>
        <v/>
      </c>
      <c r="L338" s="4">
        <f>IF(J338="","",IF(J338=0,"",IF(J338=$AB$28,1,IF(J338=$AB$29,2,IF(J338=$AB$30,3,"")))))</f>
        <v/>
      </c>
      <c r="M338" s="4">
        <f t="array" ref="M338">IFERROR(INDEX(Unified_Matrix!$A:$ZZ,ROW(A335),MATCH("+ OVR",Unified_Matrix!$1:$1,0)),"")</f>
        <v/>
      </c>
      <c r="N338" s="4">
        <f t="array" ref="N338">IFERROR(INDEX(Unified_Matrix!$A:$ZZ,ROW(A335),MATCH("Max OVR",Unified_Matrix!$1:$1,0)),"")</f>
        <v/>
      </c>
      <c r="O338" s="4">
        <f t="array" ref="O338">IFERROR(INDEX(Unified_Matrix!$A:$ZZ,ROW(A335),MATCH("Req_Position",Unified_Matrix!$1:$1,0)),"")</f>
        <v/>
      </c>
      <c r="P338" s="4">
        <f t="array" ref="P338">IFERROR(INDEX(Unified_Matrix!$A:$ZZ,ROW(A335),MATCH("Req_OVR_Max",Unified_Matrix!$1:$1,0)),"")</f>
        <v/>
      </c>
      <c r="Q338" s="4">
        <f t="array" ref="Q338">IFERROR(INDEX(Unified_Matrix!$A:$ZZ,ROW(A335),MATCH("Req_Other",Unified_Matrix!$1:$1,0)),"")</f>
        <v/>
      </c>
    </row>
    <row r="339" hidden="1">
      <c r="J339" s="4">
        <f t="array" ref="J339">IFERROR(INDEX(Unified_Matrix!$A:$ZZ,ROW(A336),MATCH("Max "&amp;$J$9,Unified_Matrix!$1:$1,0)),"")</f>
        <v/>
      </c>
      <c r="K339" s="4">
        <f t="array" ref="K339">IFERROR(INDEX(Unified_Matrix!$A:$ZZ,ROW(A336),MATCH("Evolution_Name",Unified_Matrix!$1:$1,0)),"")</f>
        <v/>
      </c>
      <c r="L339" s="4">
        <f>IF(J339="","",IF(J339=0,"",IF(J339=$AB$28,1,IF(J339=$AB$29,2,IF(J339=$AB$30,3,"")))))</f>
        <v/>
      </c>
      <c r="M339" s="4">
        <f t="array" ref="M339">IFERROR(INDEX(Unified_Matrix!$A:$ZZ,ROW(A336),MATCH("+ OVR",Unified_Matrix!$1:$1,0)),"")</f>
        <v/>
      </c>
      <c r="N339" s="4">
        <f t="array" ref="N339">IFERROR(INDEX(Unified_Matrix!$A:$ZZ,ROW(A336),MATCH("Max OVR",Unified_Matrix!$1:$1,0)),"")</f>
        <v/>
      </c>
      <c r="O339" s="4">
        <f t="array" ref="O339">IFERROR(INDEX(Unified_Matrix!$A:$ZZ,ROW(A336),MATCH("Req_Position",Unified_Matrix!$1:$1,0)),"")</f>
        <v/>
      </c>
      <c r="P339" s="4">
        <f t="array" ref="P339">IFERROR(INDEX(Unified_Matrix!$A:$ZZ,ROW(A336),MATCH("Req_OVR_Max",Unified_Matrix!$1:$1,0)),"")</f>
        <v/>
      </c>
      <c r="Q339" s="4">
        <f t="array" ref="Q339">IFERROR(INDEX(Unified_Matrix!$A:$ZZ,ROW(A336),MATCH("Req_Other",Unified_Matrix!$1:$1,0)),"")</f>
        <v/>
      </c>
    </row>
    <row r="340" hidden="1">
      <c r="J340" s="4">
        <f t="array" ref="J340">IFERROR(INDEX(Unified_Matrix!$A:$ZZ,ROW(A337),MATCH("Max "&amp;$J$9,Unified_Matrix!$1:$1,0)),"")</f>
        <v/>
      </c>
      <c r="K340" s="4">
        <f t="array" ref="K340">IFERROR(INDEX(Unified_Matrix!$A:$ZZ,ROW(A337),MATCH("Evolution_Name",Unified_Matrix!$1:$1,0)),"")</f>
        <v/>
      </c>
      <c r="L340" s="4">
        <f>IF(J340="","",IF(J340=0,"",IF(J340=$AB$28,1,IF(J340=$AB$29,2,IF(J340=$AB$30,3,"")))))</f>
        <v/>
      </c>
      <c r="M340" s="4">
        <f t="array" ref="M340">IFERROR(INDEX(Unified_Matrix!$A:$ZZ,ROW(A337),MATCH("+ OVR",Unified_Matrix!$1:$1,0)),"")</f>
        <v/>
      </c>
      <c r="N340" s="4">
        <f t="array" ref="N340">IFERROR(INDEX(Unified_Matrix!$A:$ZZ,ROW(A337),MATCH("Max OVR",Unified_Matrix!$1:$1,0)),"")</f>
        <v/>
      </c>
      <c r="O340" s="4">
        <f t="array" ref="O340">IFERROR(INDEX(Unified_Matrix!$A:$ZZ,ROW(A337),MATCH("Req_Position",Unified_Matrix!$1:$1,0)),"")</f>
        <v/>
      </c>
      <c r="P340" s="4">
        <f t="array" ref="P340">IFERROR(INDEX(Unified_Matrix!$A:$ZZ,ROW(A337),MATCH("Req_OVR_Max",Unified_Matrix!$1:$1,0)),"")</f>
        <v/>
      </c>
      <c r="Q340" s="4">
        <f t="array" ref="Q340">IFERROR(INDEX(Unified_Matrix!$A:$ZZ,ROW(A337),MATCH("Req_Other",Unified_Matrix!$1:$1,0)),"")</f>
        <v/>
      </c>
    </row>
    <row r="341" hidden="1">
      <c r="J341" s="4">
        <f t="array" ref="J341">IFERROR(INDEX(Unified_Matrix!$A:$ZZ,ROW(A338),MATCH("Max "&amp;$J$9,Unified_Matrix!$1:$1,0)),"")</f>
        <v/>
      </c>
      <c r="K341" s="4">
        <f t="array" ref="K341">IFERROR(INDEX(Unified_Matrix!$A:$ZZ,ROW(A338),MATCH("Evolution_Name",Unified_Matrix!$1:$1,0)),"")</f>
        <v/>
      </c>
      <c r="L341" s="4">
        <f>IF(J341="","",IF(J341=0,"",IF(J341=$AB$28,1,IF(J341=$AB$29,2,IF(J341=$AB$30,3,"")))))</f>
        <v/>
      </c>
      <c r="M341" s="4">
        <f t="array" ref="M341">IFERROR(INDEX(Unified_Matrix!$A:$ZZ,ROW(A338),MATCH("+ OVR",Unified_Matrix!$1:$1,0)),"")</f>
        <v/>
      </c>
      <c r="N341" s="4">
        <f t="array" ref="N341">IFERROR(INDEX(Unified_Matrix!$A:$ZZ,ROW(A338),MATCH("Max OVR",Unified_Matrix!$1:$1,0)),"")</f>
        <v/>
      </c>
      <c r="O341" s="4">
        <f t="array" ref="O341">IFERROR(INDEX(Unified_Matrix!$A:$ZZ,ROW(A338),MATCH("Req_Position",Unified_Matrix!$1:$1,0)),"")</f>
        <v/>
      </c>
      <c r="P341" s="4">
        <f t="array" ref="P341">IFERROR(INDEX(Unified_Matrix!$A:$ZZ,ROW(A338),MATCH("Req_OVR_Max",Unified_Matrix!$1:$1,0)),"")</f>
        <v/>
      </c>
      <c r="Q341" s="4">
        <f t="array" ref="Q341">IFERROR(INDEX(Unified_Matrix!$A:$ZZ,ROW(A338),MATCH("Req_Other",Unified_Matrix!$1:$1,0)),"")</f>
        <v/>
      </c>
    </row>
    <row r="342" hidden="1">
      <c r="J342" s="4">
        <f t="array" ref="J342">IFERROR(INDEX(Unified_Matrix!$A:$ZZ,ROW(A339),MATCH("Max "&amp;$J$9,Unified_Matrix!$1:$1,0)),"")</f>
        <v/>
      </c>
      <c r="K342" s="4">
        <f t="array" ref="K342">IFERROR(INDEX(Unified_Matrix!$A:$ZZ,ROW(A339),MATCH("Evolution_Name",Unified_Matrix!$1:$1,0)),"")</f>
        <v/>
      </c>
      <c r="L342" s="4">
        <f>IF(J342="","",IF(J342=0,"",IF(J342=$AB$28,1,IF(J342=$AB$29,2,IF(J342=$AB$30,3,"")))))</f>
        <v/>
      </c>
      <c r="M342" s="4">
        <f t="array" ref="M342">IFERROR(INDEX(Unified_Matrix!$A:$ZZ,ROW(A339),MATCH("+ OVR",Unified_Matrix!$1:$1,0)),"")</f>
        <v/>
      </c>
      <c r="N342" s="4">
        <f t="array" ref="N342">IFERROR(INDEX(Unified_Matrix!$A:$ZZ,ROW(A339),MATCH("Max OVR",Unified_Matrix!$1:$1,0)),"")</f>
        <v/>
      </c>
      <c r="O342" s="4">
        <f t="array" ref="O342">IFERROR(INDEX(Unified_Matrix!$A:$ZZ,ROW(A339),MATCH("Req_Position",Unified_Matrix!$1:$1,0)),"")</f>
        <v/>
      </c>
      <c r="P342" s="4">
        <f t="array" ref="P342">IFERROR(INDEX(Unified_Matrix!$A:$ZZ,ROW(A339),MATCH("Req_OVR_Max",Unified_Matrix!$1:$1,0)),"")</f>
        <v/>
      </c>
      <c r="Q342" s="4">
        <f t="array" ref="Q342">IFERROR(INDEX(Unified_Matrix!$A:$ZZ,ROW(A339),MATCH("Req_Other",Unified_Matrix!$1:$1,0)),"")</f>
        <v/>
      </c>
    </row>
    <row r="343" hidden="1">
      <c r="J343" s="4">
        <f t="array" ref="J343">IFERROR(INDEX(Unified_Matrix!$A:$ZZ,ROW(A340),MATCH("Max "&amp;$J$9,Unified_Matrix!$1:$1,0)),"")</f>
        <v/>
      </c>
      <c r="K343" s="4">
        <f t="array" ref="K343">IFERROR(INDEX(Unified_Matrix!$A:$ZZ,ROW(A340),MATCH("Evolution_Name",Unified_Matrix!$1:$1,0)),"")</f>
        <v/>
      </c>
      <c r="L343" s="4">
        <f>IF(J343="","",IF(J343=0,"",IF(J343=$AB$28,1,IF(J343=$AB$29,2,IF(J343=$AB$30,3,"")))))</f>
        <v/>
      </c>
      <c r="M343" s="4">
        <f t="array" ref="M343">IFERROR(INDEX(Unified_Matrix!$A:$ZZ,ROW(A340),MATCH("+ OVR",Unified_Matrix!$1:$1,0)),"")</f>
        <v/>
      </c>
      <c r="N343" s="4">
        <f t="array" ref="N343">IFERROR(INDEX(Unified_Matrix!$A:$ZZ,ROW(A340),MATCH("Max OVR",Unified_Matrix!$1:$1,0)),"")</f>
        <v/>
      </c>
      <c r="O343" s="4">
        <f t="array" ref="O343">IFERROR(INDEX(Unified_Matrix!$A:$ZZ,ROW(A340),MATCH("Req_Position",Unified_Matrix!$1:$1,0)),"")</f>
        <v/>
      </c>
      <c r="P343" s="4">
        <f t="array" ref="P343">IFERROR(INDEX(Unified_Matrix!$A:$ZZ,ROW(A340),MATCH("Req_OVR_Max",Unified_Matrix!$1:$1,0)),"")</f>
        <v/>
      </c>
      <c r="Q343" s="4">
        <f t="array" ref="Q343">IFERROR(INDEX(Unified_Matrix!$A:$ZZ,ROW(A340),MATCH("Req_Other",Unified_Matrix!$1:$1,0)),"")</f>
        <v/>
      </c>
    </row>
    <row r="344" hidden="1">
      <c r="J344" s="4">
        <f t="array" ref="J344">IFERROR(INDEX(Unified_Matrix!$A:$ZZ,ROW(A341),MATCH("Max "&amp;$J$9,Unified_Matrix!$1:$1,0)),"")</f>
        <v/>
      </c>
      <c r="K344" s="4">
        <f t="array" ref="K344">IFERROR(INDEX(Unified_Matrix!$A:$ZZ,ROW(A341),MATCH("Evolution_Name",Unified_Matrix!$1:$1,0)),"")</f>
        <v/>
      </c>
      <c r="L344" s="4">
        <f>IF(J344="","",IF(J344=0,"",IF(J344=$AB$28,1,IF(J344=$AB$29,2,IF(J344=$AB$30,3,"")))))</f>
        <v/>
      </c>
      <c r="M344" s="4">
        <f t="array" ref="M344">IFERROR(INDEX(Unified_Matrix!$A:$ZZ,ROW(A341),MATCH("+ OVR",Unified_Matrix!$1:$1,0)),"")</f>
        <v/>
      </c>
      <c r="N344" s="4">
        <f t="array" ref="N344">IFERROR(INDEX(Unified_Matrix!$A:$ZZ,ROW(A341),MATCH("Max OVR",Unified_Matrix!$1:$1,0)),"")</f>
        <v/>
      </c>
      <c r="O344" s="4">
        <f t="array" ref="O344">IFERROR(INDEX(Unified_Matrix!$A:$ZZ,ROW(A341),MATCH("Req_Position",Unified_Matrix!$1:$1,0)),"")</f>
        <v/>
      </c>
      <c r="P344" s="4">
        <f t="array" ref="P344">IFERROR(INDEX(Unified_Matrix!$A:$ZZ,ROW(A341),MATCH("Req_OVR_Max",Unified_Matrix!$1:$1,0)),"")</f>
        <v/>
      </c>
      <c r="Q344" s="4">
        <f t="array" ref="Q344">IFERROR(INDEX(Unified_Matrix!$A:$ZZ,ROW(A341),MATCH("Req_Other",Unified_Matrix!$1:$1,0)),"")</f>
        <v/>
      </c>
    </row>
    <row r="345" hidden="1">
      <c r="J345" s="4">
        <f t="array" ref="J345">IFERROR(INDEX(Unified_Matrix!$A:$ZZ,ROW(A342),MATCH("Max "&amp;$J$9,Unified_Matrix!$1:$1,0)),"")</f>
        <v/>
      </c>
      <c r="K345" s="4">
        <f t="array" ref="K345">IFERROR(INDEX(Unified_Matrix!$A:$ZZ,ROW(A342),MATCH("Evolution_Name",Unified_Matrix!$1:$1,0)),"")</f>
        <v/>
      </c>
      <c r="L345" s="4">
        <f>IF(J345="","",IF(J345=0,"",IF(J345=$AB$28,1,IF(J345=$AB$29,2,IF(J345=$AB$30,3,"")))))</f>
        <v/>
      </c>
      <c r="M345" s="4">
        <f t="array" ref="M345">IFERROR(INDEX(Unified_Matrix!$A:$ZZ,ROW(A342),MATCH("+ OVR",Unified_Matrix!$1:$1,0)),"")</f>
        <v/>
      </c>
      <c r="N345" s="4">
        <f t="array" ref="N345">IFERROR(INDEX(Unified_Matrix!$A:$ZZ,ROW(A342),MATCH("Max OVR",Unified_Matrix!$1:$1,0)),"")</f>
        <v/>
      </c>
      <c r="O345" s="4">
        <f t="array" ref="O345">IFERROR(INDEX(Unified_Matrix!$A:$ZZ,ROW(A342),MATCH("Req_Position",Unified_Matrix!$1:$1,0)),"")</f>
        <v/>
      </c>
      <c r="P345" s="4">
        <f t="array" ref="P345">IFERROR(INDEX(Unified_Matrix!$A:$ZZ,ROW(A342),MATCH("Req_OVR_Max",Unified_Matrix!$1:$1,0)),"")</f>
        <v/>
      </c>
      <c r="Q345" s="4">
        <f t="array" ref="Q345">IFERROR(INDEX(Unified_Matrix!$A:$ZZ,ROW(A342),MATCH("Req_Other",Unified_Matrix!$1:$1,0)),"")</f>
        <v/>
      </c>
    </row>
    <row r="346" hidden="1">
      <c r="J346" s="4">
        <f t="array" ref="J346">IFERROR(INDEX(Unified_Matrix!$A:$ZZ,ROW(A343),MATCH("Max "&amp;$J$9,Unified_Matrix!$1:$1,0)),"")</f>
        <v/>
      </c>
      <c r="K346" s="4">
        <f t="array" ref="K346">IFERROR(INDEX(Unified_Matrix!$A:$ZZ,ROW(A343),MATCH("Evolution_Name",Unified_Matrix!$1:$1,0)),"")</f>
        <v/>
      </c>
      <c r="L346" s="4">
        <f>IF(J346="","",IF(J346=0,"",IF(J346=$AB$28,1,IF(J346=$AB$29,2,IF(J346=$AB$30,3,"")))))</f>
        <v/>
      </c>
      <c r="M346" s="4">
        <f t="array" ref="M346">IFERROR(INDEX(Unified_Matrix!$A:$ZZ,ROW(A343),MATCH("+ OVR",Unified_Matrix!$1:$1,0)),"")</f>
        <v/>
      </c>
      <c r="N346" s="4">
        <f t="array" ref="N346">IFERROR(INDEX(Unified_Matrix!$A:$ZZ,ROW(A343),MATCH("Max OVR",Unified_Matrix!$1:$1,0)),"")</f>
        <v/>
      </c>
      <c r="O346" s="4">
        <f t="array" ref="O346">IFERROR(INDEX(Unified_Matrix!$A:$ZZ,ROW(A343),MATCH("Req_Position",Unified_Matrix!$1:$1,0)),"")</f>
        <v/>
      </c>
      <c r="P346" s="4">
        <f t="array" ref="P346">IFERROR(INDEX(Unified_Matrix!$A:$ZZ,ROW(A343),MATCH("Req_OVR_Max",Unified_Matrix!$1:$1,0)),"")</f>
        <v/>
      </c>
      <c r="Q346" s="4">
        <f t="array" ref="Q346">IFERROR(INDEX(Unified_Matrix!$A:$ZZ,ROW(A343),MATCH("Req_Other",Unified_Matrix!$1:$1,0)),"")</f>
        <v/>
      </c>
    </row>
    <row r="347" hidden="1">
      <c r="J347" s="4">
        <f t="array" ref="J347">IFERROR(INDEX(Unified_Matrix!$A:$ZZ,ROW(A344),MATCH("Max "&amp;$J$9,Unified_Matrix!$1:$1,0)),"")</f>
        <v/>
      </c>
      <c r="K347" s="4">
        <f t="array" ref="K347">IFERROR(INDEX(Unified_Matrix!$A:$ZZ,ROW(A344),MATCH("Evolution_Name",Unified_Matrix!$1:$1,0)),"")</f>
        <v/>
      </c>
      <c r="L347" s="4">
        <f>IF(J347="","",IF(J347=0,"",IF(J347=$AB$28,1,IF(J347=$AB$29,2,IF(J347=$AB$30,3,"")))))</f>
        <v/>
      </c>
      <c r="M347" s="4">
        <f t="array" ref="M347">IFERROR(INDEX(Unified_Matrix!$A:$ZZ,ROW(A344),MATCH("+ OVR",Unified_Matrix!$1:$1,0)),"")</f>
        <v/>
      </c>
      <c r="N347" s="4">
        <f t="array" ref="N347">IFERROR(INDEX(Unified_Matrix!$A:$ZZ,ROW(A344),MATCH("Max OVR",Unified_Matrix!$1:$1,0)),"")</f>
        <v/>
      </c>
      <c r="O347" s="4">
        <f t="array" ref="O347">IFERROR(INDEX(Unified_Matrix!$A:$ZZ,ROW(A344),MATCH("Req_Position",Unified_Matrix!$1:$1,0)),"")</f>
        <v/>
      </c>
      <c r="P347" s="4">
        <f t="array" ref="P347">IFERROR(INDEX(Unified_Matrix!$A:$ZZ,ROW(A344),MATCH("Req_OVR_Max",Unified_Matrix!$1:$1,0)),"")</f>
        <v/>
      </c>
      <c r="Q347" s="4">
        <f t="array" ref="Q347">IFERROR(INDEX(Unified_Matrix!$A:$ZZ,ROW(A344),MATCH("Req_Other",Unified_Matrix!$1:$1,0)),"")</f>
        <v/>
      </c>
    </row>
    <row r="348" hidden="1">
      <c r="J348" s="4">
        <f t="array" ref="J348">IFERROR(INDEX(Unified_Matrix!$A:$ZZ,ROW(A345),MATCH("Max "&amp;$J$9,Unified_Matrix!$1:$1,0)),"")</f>
        <v/>
      </c>
      <c r="K348" s="4">
        <f t="array" ref="K348">IFERROR(INDEX(Unified_Matrix!$A:$ZZ,ROW(A345),MATCH("Evolution_Name",Unified_Matrix!$1:$1,0)),"")</f>
        <v/>
      </c>
      <c r="L348" s="4">
        <f>IF(J348="","",IF(J348=0,"",IF(J348=$AB$28,1,IF(J348=$AB$29,2,IF(J348=$AB$30,3,"")))))</f>
        <v/>
      </c>
      <c r="M348" s="4">
        <f t="array" ref="M348">IFERROR(INDEX(Unified_Matrix!$A:$ZZ,ROW(A345),MATCH("+ OVR",Unified_Matrix!$1:$1,0)),"")</f>
        <v/>
      </c>
      <c r="N348" s="4">
        <f t="array" ref="N348">IFERROR(INDEX(Unified_Matrix!$A:$ZZ,ROW(A345),MATCH("Max OVR",Unified_Matrix!$1:$1,0)),"")</f>
        <v/>
      </c>
      <c r="O348" s="4">
        <f t="array" ref="O348">IFERROR(INDEX(Unified_Matrix!$A:$ZZ,ROW(A345),MATCH("Req_Position",Unified_Matrix!$1:$1,0)),"")</f>
        <v/>
      </c>
      <c r="P348" s="4">
        <f t="array" ref="P348">IFERROR(INDEX(Unified_Matrix!$A:$ZZ,ROW(A345),MATCH("Req_OVR_Max",Unified_Matrix!$1:$1,0)),"")</f>
        <v/>
      </c>
      <c r="Q348" s="4">
        <f t="array" ref="Q348">IFERROR(INDEX(Unified_Matrix!$A:$ZZ,ROW(A345),MATCH("Req_Other",Unified_Matrix!$1:$1,0)),"")</f>
        <v/>
      </c>
    </row>
    <row r="349" hidden="1">
      <c r="J349" s="4">
        <f t="array" ref="J349">IFERROR(INDEX(Unified_Matrix!$A:$ZZ,ROW(A346),MATCH("Max "&amp;$J$9,Unified_Matrix!$1:$1,0)),"")</f>
        <v/>
      </c>
      <c r="K349" s="4">
        <f t="array" ref="K349">IFERROR(INDEX(Unified_Matrix!$A:$ZZ,ROW(A346),MATCH("Evolution_Name",Unified_Matrix!$1:$1,0)),"")</f>
        <v/>
      </c>
      <c r="L349" s="4">
        <f>IF(J349="","",IF(J349=0,"",IF(J349=$AB$28,1,IF(J349=$AB$29,2,IF(J349=$AB$30,3,"")))))</f>
        <v/>
      </c>
      <c r="M349" s="4">
        <f t="array" ref="M349">IFERROR(INDEX(Unified_Matrix!$A:$ZZ,ROW(A346),MATCH("+ OVR",Unified_Matrix!$1:$1,0)),"")</f>
        <v/>
      </c>
      <c r="N349" s="4">
        <f t="array" ref="N349">IFERROR(INDEX(Unified_Matrix!$A:$ZZ,ROW(A346),MATCH("Max OVR",Unified_Matrix!$1:$1,0)),"")</f>
        <v/>
      </c>
      <c r="O349" s="4">
        <f t="array" ref="O349">IFERROR(INDEX(Unified_Matrix!$A:$ZZ,ROW(A346),MATCH("Req_Position",Unified_Matrix!$1:$1,0)),"")</f>
        <v/>
      </c>
      <c r="P349" s="4">
        <f t="array" ref="P349">IFERROR(INDEX(Unified_Matrix!$A:$ZZ,ROW(A346),MATCH("Req_OVR_Max",Unified_Matrix!$1:$1,0)),"")</f>
        <v/>
      </c>
      <c r="Q349" s="4">
        <f t="array" ref="Q349">IFERROR(INDEX(Unified_Matrix!$A:$ZZ,ROW(A346),MATCH("Req_Other",Unified_Matrix!$1:$1,0)),"")</f>
        <v/>
      </c>
    </row>
    <row r="350" hidden="1">
      <c r="J350" s="4">
        <f t="array" ref="J350">IFERROR(INDEX(Unified_Matrix!$A:$ZZ,ROW(A347),MATCH("Max "&amp;$J$9,Unified_Matrix!$1:$1,0)),"")</f>
        <v/>
      </c>
      <c r="K350" s="4">
        <f t="array" ref="K350">IFERROR(INDEX(Unified_Matrix!$A:$ZZ,ROW(A347),MATCH("Evolution_Name",Unified_Matrix!$1:$1,0)),"")</f>
        <v/>
      </c>
      <c r="L350" s="4">
        <f>IF(J350="","",IF(J350=0,"",IF(J350=$AB$28,1,IF(J350=$AB$29,2,IF(J350=$AB$30,3,"")))))</f>
        <v/>
      </c>
      <c r="M350" s="4">
        <f t="array" ref="M350">IFERROR(INDEX(Unified_Matrix!$A:$ZZ,ROW(A347),MATCH("+ OVR",Unified_Matrix!$1:$1,0)),"")</f>
        <v/>
      </c>
      <c r="N350" s="4">
        <f t="array" ref="N350">IFERROR(INDEX(Unified_Matrix!$A:$ZZ,ROW(A347),MATCH("Max OVR",Unified_Matrix!$1:$1,0)),"")</f>
        <v/>
      </c>
      <c r="O350" s="4">
        <f t="array" ref="O350">IFERROR(INDEX(Unified_Matrix!$A:$ZZ,ROW(A347),MATCH("Req_Position",Unified_Matrix!$1:$1,0)),"")</f>
        <v/>
      </c>
      <c r="P350" s="4">
        <f t="array" ref="P350">IFERROR(INDEX(Unified_Matrix!$A:$ZZ,ROW(A347),MATCH("Req_OVR_Max",Unified_Matrix!$1:$1,0)),"")</f>
        <v/>
      </c>
      <c r="Q350" s="4">
        <f t="array" ref="Q350">IFERROR(INDEX(Unified_Matrix!$A:$ZZ,ROW(A347),MATCH("Req_Other",Unified_Matrix!$1:$1,0)),"")</f>
        <v/>
      </c>
    </row>
    <row r="351" hidden="1">
      <c r="J351" s="4">
        <f t="array" ref="J351">IFERROR(INDEX(Unified_Matrix!$A:$ZZ,ROW(A348),MATCH("Max "&amp;$J$9,Unified_Matrix!$1:$1,0)),"")</f>
        <v/>
      </c>
      <c r="K351" s="4">
        <f t="array" ref="K351">IFERROR(INDEX(Unified_Matrix!$A:$ZZ,ROW(A348),MATCH("Evolution_Name",Unified_Matrix!$1:$1,0)),"")</f>
        <v/>
      </c>
      <c r="L351" s="4">
        <f>IF(J351="","",IF(J351=0,"",IF(J351=$AB$28,1,IF(J351=$AB$29,2,IF(J351=$AB$30,3,"")))))</f>
        <v/>
      </c>
      <c r="M351" s="4">
        <f t="array" ref="M351">IFERROR(INDEX(Unified_Matrix!$A:$ZZ,ROW(A348),MATCH("+ OVR",Unified_Matrix!$1:$1,0)),"")</f>
        <v/>
      </c>
      <c r="N351" s="4">
        <f t="array" ref="N351">IFERROR(INDEX(Unified_Matrix!$A:$ZZ,ROW(A348),MATCH("Max OVR",Unified_Matrix!$1:$1,0)),"")</f>
        <v/>
      </c>
      <c r="O351" s="4">
        <f t="array" ref="O351">IFERROR(INDEX(Unified_Matrix!$A:$ZZ,ROW(A348),MATCH("Req_Position",Unified_Matrix!$1:$1,0)),"")</f>
        <v/>
      </c>
      <c r="P351" s="4">
        <f t="array" ref="P351">IFERROR(INDEX(Unified_Matrix!$A:$ZZ,ROW(A348),MATCH("Req_OVR_Max",Unified_Matrix!$1:$1,0)),"")</f>
        <v/>
      </c>
      <c r="Q351" s="4">
        <f t="array" ref="Q351">IFERROR(INDEX(Unified_Matrix!$A:$ZZ,ROW(A348),MATCH("Req_Other",Unified_Matrix!$1:$1,0)),"")</f>
        <v/>
      </c>
    </row>
    <row r="352" hidden="1">
      <c r="J352" s="4">
        <f t="array" ref="J352">IFERROR(INDEX(Unified_Matrix!$A:$ZZ,ROW(A349),MATCH("Max "&amp;$J$9,Unified_Matrix!$1:$1,0)),"")</f>
        <v/>
      </c>
      <c r="K352" s="4">
        <f t="array" ref="K352">IFERROR(INDEX(Unified_Matrix!$A:$ZZ,ROW(A349),MATCH("Evolution_Name",Unified_Matrix!$1:$1,0)),"")</f>
        <v/>
      </c>
      <c r="L352" s="4">
        <f>IF(J352="","",IF(J352=0,"",IF(J352=$AB$28,1,IF(J352=$AB$29,2,IF(J352=$AB$30,3,"")))))</f>
        <v/>
      </c>
      <c r="M352" s="4">
        <f t="array" ref="M352">IFERROR(INDEX(Unified_Matrix!$A:$ZZ,ROW(A349),MATCH("+ OVR",Unified_Matrix!$1:$1,0)),"")</f>
        <v/>
      </c>
      <c r="N352" s="4">
        <f t="array" ref="N352">IFERROR(INDEX(Unified_Matrix!$A:$ZZ,ROW(A349),MATCH("Max OVR",Unified_Matrix!$1:$1,0)),"")</f>
        <v/>
      </c>
      <c r="O352" s="4">
        <f t="array" ref="O352">IFERROR(INDEX(Unified_Matrix!$A:$ZZ,ROW(A349),MATCH("Req_Position",Unified_Matrix!$1:$1,0)),"")</f>
        <v/>
      </c>
      <c r="P352" s="4">
        <f t="array" ref="P352">IFERROR(INDEX(Unified_Matrix!$A:$ZZ,ROW(A349),MATCH("Req_OVR_Max",Unified_Matrix!$1:$1,0)),"")</f>
        <v/>
      </c>
      <c r="Q352" s="4">
        <f t="array" ref="Q352">IFERROR(INDEX(Unified_Matrix!$A:$ZZ,ROW(A349),MATCH("Req_Other",Unified_Matrix!$1:$1,0)),"")</f>
        <v/>
      </c>
    </row>
    <row r="353" hidden="1">
      <c r="J353" s="4">
        <f t="array" ref="J353">IFERROR(INDEX(Unified_Matrix!$A:$ZZ,ROW(A350),MATCH("Max "&amp;$J$9,Unified_Matrix!$1:$1,0)),"")</f>
        <v/>
      </c>
      <c r="K353" s="4">
        <f t="array" ref="K353">IFERROR(INDEX(Unified_Matrix!$A:$ZZ,ROW(A350),MATCH("Evolution_Name",Unified_Matrix!$1:$1,0)),"")</f>
        <v/>
      </c>
      <c r="L353" s="4">
        <f>IF(J353="","",IF(J353=0,"",IF(J353=$AB$28,1,IF(J353=$AB$29,2,IF(J353=$AB$30,3,"")))))</f>
        <v/>
      </c>
      <c r="M353" s="4">
        <f t="array" ref="M353">IFERROR(INDEX(Unified_Matrix!$A:$ZZ,ROW(A350),MATCH("+ OVR",Unified_Matrix!$1:$1,0)),"")</f>
        <v/>
      </c>
      <c r="N353" s="4">
        <f t="array" ref="N353">IFERROR(INDEX(Unified_Matrix!$A:$ZZ,ROW(A350),MATCH("Max OVR",Unified_Matrix!$1:$1,0)),"")</f>
        <v/>
      </c>
      <c r="O353" s="4">
        <f t="array" ref="O353">IFERROR(INDEX(Unified_Matrix!$A:$ZZ,ROW(A350),MATCH("Req_Position",Unified_Matrix!$1:$1,0)),"")</f>
        <v/>
      </c>
      <c r="P353" s="4">
        <f t="array" ref="P353">IFERROR(INDEX(Unified_Matrix!$A:$ZZ,ROW(A350),MATCH("Req_OVR_Max",Unified_Matrix!$1:$1,0)),"")</f>
        <v/>
      </c>
      <c r="Q353" s="4">
        <f t="array" ref="Q353">IFERROR(INDEX(Unified_Matrix!$A:$ZZ,ROW(A350),MATCH("Req_Other",Unified_Matrix!$1:$1,0)),"")</f>
        <v/>
      </c>
    </row>
    <row r="354" hidden="1">
      <c r="J354" s="4">
        <f t="array" ref="J354">IFERROR(INDEX(Unified_Matrix!$A:$ZZ,ROW(A351),MATCH("Max "&amp;$J$9,Unified_Matrix!$1:$1,0)),"")</f>
        <v/>
      </c>
      <c r="K354" s="4">
        <f t="array" ref="K354">IFERROR(INDEX(Unified_Matrix!$A:$ZZ,ROW(A351),MATCH("Evolution_Name",Unified_Matrix!$1:$1,0)),"")</f>
        <v/>
      </c>
      <c r="L354" s="4">
        <f>IF(J354="","",IF(J354=0,"",IF(J354=$AB$28,1,IF(J354=$AB$29,2,IF(J354=$AB$30,3,"")))))</f>
        <v/>
      </c>
      <c r="M354" s="4">
        <f t="array" ref="M354">IFERROR(INDEX(Unified_Matrix!$A:$ZZ,ROW(A351),MATCH("+ OVR",Unified_Matrix!$1:$1,0)),"")</f>
        <v/>
      </c>
      <c r="N354" s="4">
        <f t="array" ref="N354">IFERROR(INDEX(Unified_Matrix!$A:$ZZ,ROW(A351),MATCH("Max OVR",Unified_Matrix!$1:$1,0)),"")</f>
        <v/>
      </c>
      <c r="O354" s="4">
        <f t="array" ref="O354">IFERROR(INDEX(Unified_Matrix!$A:$ZZ,ROW(A351),MATCH("Req_Position",Unified_Matrix!$1:$1,0)),"")</f>
        <v/>
      </c>
      <c r="P354" s="4">
        <f t="array" ref="P354">IFERROR(INDEX(Unified_Matrix!$A:$ZZ,ROW(A351),MATCH("Req_OVR_Max",Unified_Matrix!$1:$1,0)),"")</f>
        <v/>
      </c>
      <c r="Q354" s="4">
        <f t="array" ref="Q354">IFERROR(INDEX(Unified_Matrix!$A:$ZZ,ROW(A351),MATCH("Req_Other",Unified_Matrix!$1:$1,0)),"")</f>
        <v/>
      </c>
    </row>
    <row r="355" hidden="1">
      <c r="J355" s="4">
        <f t="array" ref="J355">IFERROR(INDEX(Unified_Matrix!$A:$ZZ,ROW(A352),MATCH("Max "&amp;$J$9,Unified_Matrix!$1:$1,0)),"")</f>
        <v/>
      </c>
      <c r="K355" s="4">
        <f t="array" ref="K355">IFERROR(INDEX(Unified_Matrix!$A:$ZZ,ROW(A352),MATCH("Evolution_Name",Unified_Matrix!$1:$1,0)),"")</f>
        <v/>
      </c>
      <c r="L355" s="4">
        <f>IF(J355="","",IF(J355=0,"",IF(J355=$AB$28,1,IF(J355=$AB$29,2,IF(J355=$AB$30,3,"")))))</f>
        <v/>
      </c>
      <c r="M355" s="4">
        <f t="array" ref="M355">IFERROR(INDEX(Unified_Matrix!$A:$ZZ,ROW(A352),MATCH("+ OVR",Unified_Matrix!$1:$1,0)),"")</f>
        <v/>
      </c>
      <c r="N355" s="4">
        <f t="array" ref="N355">IFERROR(INDEX(Unified_Matrix!$A:$ZZ,ROW(A352),MATCH("Max OVR",Unified_Matrix!$1:$1,0)),"")</f>
        <v/>
      </c>
      <c r="O355" s="4">
        <f t="array" ref="O355">IFERROR(INDEX(Unified_Matrix!$A:$ZZ,ROW(A352),MATCH("Req_Position",Unified_Matrix!$1:$1,0)),"")</f>
        <v/>
      </c>
      <c r="P355" s="4">
        <f t="array" ref="P355">IFERROR(INDEX(Unified_Matrix!$A:$ZZ,ROW(A352),MATCH("Req_OVR_Max",Unified_Matrix!$1:$1,0)),"")</f>
        <v/>
      </c>
      <c r="Q355" s="4">
        <f t="array" ref="Q355">IFERROR(INDEX(Unified_Matrix!$A:$ZZ,ROW(A352),MATCH("Req_Other",Unified_Matrix!$1:$1,0)),"")</f>
        <v/>
      </c>
    </row>
    <row r="356" hidden="1">
      <c r="J356" s="4">
        <f t="array" ref="J356">IFERROR(INDEX(Unified_Matrix!$A:$ZZ,ROW(A353),MATCH("Max "&amp;$J$9,Unified_Matrix!$1:$1,0)),"")</f>
        <v/>
      </c>
      <c r="K356" s="4">
        <f t="array" ref="K356">IFERROR(INDEX(Unified_Matrix!$A:$ZZ,ROW(A353),MATCH("Evolution_Name",Unified_Matrix!$1:$1,0)),"")</f>
        <v/>
      </c>
      <c r="L356" s="4">
        <f>IF(J356="","",IF(J356=0,"",IF(J356=$AB$28,1,IF(J356=$AB$29,2,IF(J356=$AB$30,3,"")))))</f>
        <v/>
      </c>
      <c r="M356" s="4">
        <f t="array" ref="M356">IFERROR(INDEX(Unified_Matrix!$A:$ZZ,ROW(A353),MATCH("+ OVR",Unified_Matrix!$1:$1,0)),"")</f>
        <v/>
      </c>
      <c r="N356" s="4">
        <f t="array" ref="N356">IFERROR(INDEX(Unified_Matrix!$A:$ZZ,ROW(A353),MATCH("Max OVR",Unified_Matrix!$1:$1,0)),"")</f>
        <v/>
      </c>
      <c r="O356" s="4">
        <f t="array" ref="O356">IFERROR(INDEX(Unified_Matrix!$A:$ZZ,ROW(A353),MATCH("Req_Position",Unified_Matrix!$1:$1,0)),"")</f>
        <v/>
      </c>
      <c r="P356" s="4">
        <f t="array" ref="P356">IFERROR(INDEX(Unified_Matrix!$A:$ZZ,ROW(A353),MATCH("Req_OVR_Max",Unified_Matrix!$1:$1,0)),"")</f>
        <v/>
      </c>
      <c r="Q356" s="4">
        <f t="array" ref="Q356">IFERROR(INDEX(Unified_Matrix!$A:$ZZ,ROW(A353),MATCH("Req_Other",Unified_Matrix!$1:$1,0)),"")</f>
        <v/>
      </c>
    </row>
    <row r="357" hidden="1">
      <c r="J357" s="4">
        <f t="array" ref="J357">IFERROR(INDEX(Unified_Matrix!$A:$ZZ,ROW(A354),MATCH("Max "&amp;$J$9,Unified_Matrix!$1:$1,0)),"")</f>
        <v/>
      </c>
      <c r="K357" s="4">
        <f t="array" ref="K357">IFERROR(INDEX(Unified_Matrix!$A:$ZZ,ROW(A354),MATCH("Evolution_Name",Unified_Matrix!$1:$1,0)),"")</f>
        <v/>
      </c>
      <c r="L357" s="4">
        <f>IF(J357="","",IF(J357=0,"",IF(J357=$AB$28,1,IF(J357=$AB$29,2,IF(J357=$AB$30,3,"")))))</f>
        <v/>
      </c>
      <c r="M357" s="4">
        <f t="array" ref="M357">IFERROR(INDEX(Unified_Matrix!$A:$ZZ,ROW(A354),MATCH("+ OVR",Unified_Matrix!$1:$1,0)),"")</f>
        <v/>
      </c>
      <c r="N357" s="4">
        <f t="array" ref="N357">IFERROR(INDEX(Unified_Matrix!$A:$ZZ,ROW(A354),MATCH("Max OVR",Unified_Matrix!$1:$1,0)),"")</f>
        <v/>
      </c>
      <c r="O357" s="4">
        <f t="array" ref="O357">IFERROR(INDEX(Unified_Matrix!$A:$ZZ,ROW(A354),MATCH("Req_Position",Unified_Matrix!$1:$1,0)),"")</f>
        <v/>
      </c>
      <c r="P357" s="4">
        <f t="array" ref="P357">IFERROR(INDEX(Unified_Matrix!$A:$ZZ,ROW(A354),MATCH("Req_OVR_Max",Unified_Matrix!$1:$1,0)),"")</f>
        <v/>
      </c>
      <c r="Q357" s="4">
        <f t="array" ref="Q357">IFERROR(INDEX(Unified_Matrix!$A:$ZZ,ROW(A354),MATCH("Req_Other",Unified_Matrix!$1:$1,0)),"")</f>
        <v/>
      </c>
    </row>
    <row r="358" hidden="1">
      <c r="J358" s="4">
        <f t="array" ref="J358">IFERROR(INDEX(Unified_Matrix!$A:$ZZ,ROW(A355),MATCH("Max "&amp;$J$9,Unified_Matrix!$1:$1,0)),"")</f>
        <v/>
      </c>
      <c r="K358" s="4">
        <f t="array" ref="K358">IFERROR(INDEX(Unified_Matrix!$A:$ZZ,ROW(A355),MATCH("Evolution_Name",Unified_Matrix!$1:$1,0)),"")</f>
        <v/>
      </c>
      <c r="L358" s="4">
        <f>IF(J358="","",IF(J358=0,"",IF(J358=$AB$28,1,IF(J358=$AB$29,2,IF(J358=$AB$30,3,"")))))</f>
        <v/>
      </c>
      <c r="M358" s="4">
        <f t="array" ref="M358">IFERROR(INDEX(Unified_Matrix!$A:$ZZ,ROW(A355),MATCH("+ OVR",Unified_Matrix!$1:$1,0)),"")</f>
        <v/>
      </c>
      <c r="N358" s="4">
        <f t="array" ref="N358">IFERROR(INDEX(Unified_Matrix!$A:$ZZ,ROW(A355),MATCH("Max OVR",Unified_Matrix!$1:$1,0)),"")</f>
        <v/>
      </c>
      <c r="O358" s="4">
        <f t="array" ref="O358">IFERROR(INDEX(Unified_Matrix!$A:$ZZ,ROW(A355),MATCH("Req_Position",Unified_Matrix!$1:$1,0)),"")</f>
        <v/>
      </c>
      <c r="P358" s="4">
        <f t="array" ref="P358">IFERROR(INDEX(Unified_Matrix!$A:$ZZ,ROW(A355),MATCH("Req_OVR_Max",Unified_Matrix!$1:$1,0)),"")</f>
        <v/>
      </c>
      <c r="Q358" s="4">
        <f t="array" ref="Q358">IFERROR(INDEX(Unified_Matrix!$A:$ZZ,ROW(A355),MATCH("Req_Other",Unified_Matrix!$1:$1,0)),"")</f>
        <v/>
      </c>
    </row>
    <row r="359" hidden="1">
      <c r="J359" s="4">
        <f t="array" ref="J359">IFERROR(INDEX(Unified_Matrix!$A:$ZZ,ROW(A356),MATCH("Max "&amp;$J$9,Unified_Matrix!$1:$1,0)),"")</f>
        <v/>
      </c>
      <c r="K359" s="4">
        <f t="array" ref="K359">IFERROR(INDEX(Unified_Matrix!$A:$ZZ,ROW(A356),MATCH("Evolution_Name",Unified_Matrix!$1:$1,0)),"")</f>
        <v/>
      </c>
      <c r="L359" s="4">
        <f>IF(J359="","",IF(J359=0,"",IF(J359=$AB$28,1,IF(J359=$AB$29,2,IF(J359=$AB$30,3,"")))))</f>
        <v/>
      </c>
      <c r="M359" s="4">
        <f t="array" ref="M359">IFERROR(INDEX(Unified_Matrix!$A:$ZZ,ROW(A356),MATCH("+ OVR",Unified_Matrix!$1:$1,0)),"")</f>
        <v/>
      </c>
      <c r="N359" s="4">
        <f t="array" ref="N359">IFERROR(INDEX(Unified_Matrix!$A:$ZZ,ROW(A356),MATCH("Max OVR",Unified_Matrix!$1:$1,0)),"")</f>
        <v/>
      </c>
      <c r="O359" s="4">
        <f t="array" ref="O359">IFERROR(INDEX(Unified_Matrix!$A:$ZZ,ROW(A356),MATCH("Req_Position",Unified_Matrix!$1:$1,0)),"")</f>
        <v/>
      </c>
      <c r="P359" s="4">
        <f t="array" ref="P359">IFERROR(INDEX(Unified_Matrix!$A:$ZZ,ROW(A356),MATCH("Req_OVR_Max",Unified_Matrix!$1:$1,0)),"")</f>
        <v/>
      </c>
      <c r="Q359" s="4">
        <f t="array" ref="Q359">IFERROR(INDEX(Unified_Matrix!$A:$ZZ,ROW(A356),MATCH("Req_Other",Unified_Matrix!$1:$1,0)),"")</f>
        <v/>
      </c>
    </row>
    <row r="360" hidden="1">
      <c r="J360" s="4">
        <f t="array" ref="J360">IFERROR(INDEX(Unified_Matrix!$A:$ZZ,ROW(A357),MATCH("Max "&amp;$J$9,Unified_Matrix!$1:$1,0)),"")</f>
        <v/>
      </c>
      <c r="K360" s="4">
        <f t="array" ref="K360">IFERROR(INDEX(Unified_Matrix!$A:$ZZ,ROW(A357),MATCH("Evolution_Name",Unified_Matrix!$1:$1,0)),"")</f>
        <v/>
      </c>
      <c r="L360" s="4">
        <f>IF(J360="","",IF(J360=0,"",IF(J360=$AB$28,1,IF(J360=$AB$29,2,IF(J360=$AB$30,3,"")))))</f>
        <v/>
      </c>
      <c r="M360" s="4">
        <f t="array" ref="M360">IFERROR(INDEX(Unified_Matrix!$A:$ZZ,ROW(A357),MATCH("+ OVR",Unified_Matrix!$1:$1,0)),"")</f>
        <v/>
      </c>
      <c r="N360" s="4">
        <f t="array" ref="N360">IFERROR(INDEX(Unified_Matrix!$A:$ZZ,ROW(A357),MATCH("Max OVR",Unified_Matrix!$1:$1,0)),"")</f>
        <v/>
      </c>
      <c r="O360" s="4">
        <f t="array" ref="O360">IFERROR(INDEX(Unified_Matrix!$A:$ZZ,ROW(A357),MATCH("Req_Position",Unified_Matrix!$1:$1,0)),"")</f>
        <v/>
      </c>
      <c r="P360" s="4">
        <f t="array" ref="P360">IFERROR(INDEX(Unified_Matrix!$A:$ZZ,ROW(A357),MATCH("Req_OVR_Max",Unified_Matrix!$1:$1,0)),"")</f>
        <v/>
      </c>
      <c r="Q360" s="4">
        <f t="array" ref="Q360">IFERROR(INDEX(Unified_Matrix!$A:$ZZ,ROW(A357),MATCH("Req_Other",Unified_Matrix!$1:$1,0)),"")</f>
        <v/>
      </c>
    </row>
    <row r="361" hidden="1">
      <c r="J361" s="4">
        <f t="array" ref="J361">IFERROR(INDEX(Unified_Matrix!$A:$ZZ,ROW(A358),MATCH("Max "&amp;$J$9,Unified_Matrix!$1:$1,0)),"")</f>
        <v/>
      </c>
      <c r="K361" s="4">
        <f t="array" ref="K361">IFERROR(INDEX(Unified_Matrix!$A:$ZZ,ROW(A358),MATCH("Evolution_Name",Unified_Matrix!$1:$1,0)),"")</f>
        <v/>
      </c>
      <c r="L361" s="4">
        <f>IF(J361="","",IF(J361=0,"",IF(J361=$AB$28,1,IF(J361=$AB$29,2,IF(J361=$AB$30,3,"")))))</f>
        <v/>
      </c>
      <c r="M361" s="4">
        <f t="array" ref="M361">IFERROR(INDEX(Unified_Matrix!$A:$ZZ,ROW(A358),MATCH("+ OVR",Unified_Matrix!$1:$1,0)),"")</f>
        <v/>
      </c>
      <c r="N361" s="4">
        <f t="array" ref="N361">IFERROR(INDEX(Unified_Matrix!$A:$ZZ,ROW(A358),MATCH("Max OVR",Unified_Matrix!$1:$1,0)),"")</f>
        <v/>
      </c>
      <c r="O361" s="4">
        <f t="array" ref="O361">IFERROR(INDEX(Unified_Matrix!$A:$ZZ,ROW(A358),MATCH("Req_Position",Unified_Matrix!$1:$1,0)),"")</f>
        <v/>
      </c>
      <c r="P361" s="4">
        <f t="array" ref="P361">IFERROR(INDEX(Unified_Matrix!$A:$ZZ,ROW(A358),MATCH("Req_OVR_Max",Unified_Matrix!$1:$1,0)),"")</f>
        <v/>
      </c>
      <c r="Q361" s="4">
        <f t="array" ref="Q361">IFERROR(INDEX(Unified_Matrix!$A:$ZZ,ROW(A358),MATCH("Req_Other",Unified_Matrix!$1:$1,0)),"")</f>
        <v/>
      </c>
    </row>
    <row r="362" hidden="1">
      <c r="J362" s="4">
        <f t="array" ref="J362">IFERROR(INDEX(Unified_Matrix!$A:$ZZ,ROW(A359),MATCH("Max "&amp;$J$9,Unified_Matrix!$1:$1,0)),"")</f>
        <v/>
      </c>
      <c r="K362" s="4">
        <f t="array" ref="K362">IFERROR(INDEX(Unified_Matrix!$A:$ZZ,ROW(A359),MATCH("Evolution_Name",Unified_Matrix!$1:$1,0)),"")</f>
        <v/>
      </c>
      <c r="L362" s="4">
        <f>IF(J362="","",IF(J362=0,"",IF(J362=$AB$28,1,IF(J362=$AB$29,2,IF(J362=$AB$30,3,"")))))</f>
        <v/>
      </c>
      <c r="M362" s="4">
        <f t="array" ref="M362">IFERROR(INDEX(Unified_Matrix!$A:$ZZ,ROW(A359),MATCH("+ OVR",Unified_Matrix!$1:$1,0)),"")</f>
        <v/>
      </c>
      <c r="N362" s="4">
        <f t="array" ref="N362">IFERROR(INDEX(Unified_Matrix!$A:$ZZ,ROW(A359),MATCH("Max OVR",Unified_Matrix!$1:$1,0)),"")</f>
        <v/>
      </c>
      <c r="O362" s="4">
        <f t="array" ref="O362">IFERROR(INDEX(Unified_Matrix!$A:$ZZ,ROW(A359),MATCH("Req_Position",Unified_Matrix!$1:$1,0)),"")</f>
        <v/>
      </c>
      <c r="P362" s="4">
        <f t="array" ref="P362">IFERROR(INDEX(Unified_Matrix!$A:$ZZ,ROW(A359),MATCH("Req_OVR_Max",Unified_Matrix!$1:$1,0)),"")</f>
        <v/>
      </c>
      <c r="Q362" s="4">
        <f t="array" ref="Q362">IFERROR(INDEX(Unified_Matrix!$A:$ZZ,ROW(A359),MATCH("Req_Other",Unified_Matrix!$1:$1,0)),"")</f>
        <v/>
      </c>
    </row>
    <row r="363" hidden="1">
      <c r="J363" s="4">
        <f t="array" ref="J363">IFERROR(INDEX(Unified_Matrix!$A:$ZZ,ROW(A360),MATCH("Max "&amp;$J$9,Unified_Matrix!$1:$1,0)),"")</f>
        <v/>
      </c>
      <c r="K363" s="4">
        <f t="array" ref="K363">IFERROR(INDEX(Unified_Matrix!$A:$ZZ,ROW(A360),MATCH("Evolution_Name",Unified_Matrix!$1:$1,0)),"")</f>
        <v/>
      </c>
      <c r="L363" s="4">
        <f>IF(J363="","",IF(J363=0,"",IF(J363=$AB$28,1,IF(J363=$AB$29,2,IF(J363=$AB$30,3,"")))))</f>
        <v/>
      </c>
      <c r="M363" s="4">
        <f t="array" ref="M363">IFERROR(INDEX(Unified_Matrix!$A:$ZZ,ROW(A360),MATCH("+ OVR",Unified_Matrix!$1:$1,0)),"")</f>
        <v/>
      </c>
      <c r="N363" s="4">
        <f t="array" ref="N363">IFERROR(INDEX(Unified_Matrix!$A:$ZZ,ROW(A360),MATCH("Max OVR",Unified_Matrix!$1:$1,0)),"")</f>
        <v/>
      </c>
      <c r="O363" s="4">
        <f t="array" ref="O363">IFERROR(INDEX(Unified_Matrix!$A:$ZZ,ROW(A360),MATCH("Req_Position",Unified_Matrix!$1:$1,0)),"")</f>
        <v/>
      </c>
      <c r="P363" s="4">
        <f t="array" ref="P363">IFERROR(INDEX(Unified_Matrix!$A:$ZZ,ROW(A360),MATCH("Req_OVR_Max",Unified_Matrix!$1:$1,0)),"")</f>
        <v/>
      </c>
      <c r="Q363" s="4">
        <f t="array" ref="Q363">IFERROR(INDEX(Unified_Matrix!$A:$ZZ,ROW(A360),MATCH("Req_Other",Unified_Matrix!$1:$1,0)),"")</f>
        <v/>
      </c>
    </row>
    <row r="364" hidden="1">
      <c r="J364" s="4">
        <f t="array" ref="J364">IFERROR(INDEX(Unified_Matrix!$A:$ZZ,ROW(A361),MATCH("Max "&amp;$J$9,Unified_Matrix!$1:$1,0)),"")</f>
        <v/>
      </c>
      <c r="K364" s="4">
        <f t="array" ref="K364">IFERROR(INDEX(Unified_Matrix!$A:$ZZ,ROW(A361),MATCH("Evolution_Name",Unified_Matrix!$1:$1,0)),"")</f>
        <v/>
      </c>
      <c r="L364" s="4">
        <f>IF(J364="","",IF(J364=0,"",IF(J364=$AB$28,1,IF(J364=$AB$29,2,IF(J364=$AB$30,3,"")))))</f>
        <v/>
      </c>
      <c r="M364" s="4">
        <f t="array" ref="M364">IFERROR(INDEX(Unified_Matrix!$A:$ZZ,ROW(A361),MATCH("+ OVR",Unified_Matrix!$1:$1,0)),"")</f>
        <v/>
      </c>
      <c r="N364" s="4">
        <f t="array" ref="N364">IFERROR(INDEX(Unified_Matrix!$A:$ZZ,ROW(A361),MATCH("Max OVR",Unified_Matrix!$1:$1,0)),"")</f>
        <v/>
      </c>
      <c r="O364" s="4">
        <f t="array" ref="O364">IFERROR(INDEX(Unified_Matrix!$A:$ZZ,ROW(A361),MATCH("Req_Position",Unified_Matrix!$1:$1,0)),"")</f>
        <v/>
      </c>
      <c r="P364" s="4">
        <f t="array" ref="P364">IFERROR(INDEX(Unified_Matrix!$A:$ZZ,ROW(A361),MATCH("Req_OVR_Max",Unified_Matrix!$1:$1,0)),"")</f>
        <v/>
      </c>
      <c r="Q364" s="4">
        <f t="array" ref="Q364">IFERROR(INDEX(Unified_Matrix!$A:$ZZ,ROW(A361),MATCH("Req_Other",Unified_Matrix!$1:$1,0)),"")</f>
        <v/>
      </c>
    </row>
    <row r="365" hidden="1">
      <c r="J365" s="4">
        <f t="array" ref="J365">IFERROR(INDEX(Unified_Matrix!$A:$ZZ,ROW(A362),MATCH("Max "&amp;$J$9,Unified_Matrix!$1:$1,0)),"")</f>
        <v/>
      </c>
      <c r="K365" s="4">
        <f t="array" ref="K365">IFERROR(INDEX(Unified_Matrix!$A:$ZZ,ROW(A362),MATCH("Evolution_Name",Unified_Matrix!$1:$1,0)),"")</f>
        <v/>
      </c>
      <c r="L365" s="4">
        <f>IF(J365="","",IF(J365=0,"",IF(J365=$AB$28,1,IF(J365=$AB$29,2,IF(J365=$AB$30,3,"")))))</f>
        <v/>
      </c>
      <c r="M365" s="4">
        <f t="array" ref="M365">IFERROR(INDEX(Unified_Matrix!$A:$ZZ,ROW(A362),MATCH("+ OVR",Unified_Matrix!$1:$1,0)),"")</f>
        <v/>
      </c>
      <c r="N365" s="4">
        <f t="array" ref="N365">IFERROR(INDEX(Unified_Matrix!$A:$ZZ,ROW(A362),MATCH("Max OVR",Unified_Matrix!$1:$1,0)),"")</f>
        <v/>
      </c>
      <c r="O365" s="4">
        <f t="array" ref="O365">IFERROR(INDEX(Unified_Matrix!$A:$ZZ,ROW(A362),MATCH("Req_Position",Unified_Matrix!$1:$1,0)),"")</f>
        <v/>
      </c>
      <c r="P365" s="4">
        <f t="array" ref="P365">IFERROR(INDEX(Unified_Matrix!$A:$ZZ,ROW(A362),MATCH("Req_OVR_Max",Unified_Matrix!$1:$1,0)),"")</f>
        <v/>
      </c>
      <c r="Q365" s="4">
        <f t="array" ref="Q365">IFERROR(INDEX(Unified_Matrix!$A:$ZZ,ROW(A362),MATCH("Req_Other",Unified_Matrix!$1:$1,0)),"")</f>
        <v/>
      </c>
    </row>
    <row r="366" hidden="1">
      <c r="J366" s="4">
        <f t="array" ref="J366">IFERROR(INDEX(Unified_Matrix!$A:$ZZ,ROW(A363),MATCH("Max "&amp;$J$9,Unified_Matrix!$1:$1,0)),"")</f>
        <v/>
      </c>
      <c r="K366" s="4">
        <f t="array" ref="K366">IFERROR(INDEX(Unified_Matrix!$A:$ZZ,ROW(A363),MATCH("Evolution_Name",Unified_Matrix!$1:$1,0)),"")</f>
        <v/>
      </c>
      <c r="L366" s="4">
        <f>IF(J366="","",IF(J366=0,"",IF(J366=$AB$28,1,IF(J366=$AB$29,2,IF(J366=$AB$30,3,"")))))</f>
        <v/>
      </c>
      <c r="M366" s="4">
        <f t="array" ref="M366">IFERROR(INDEX(Unified_Matrix!$A:$ZZ,ROW(A363),MATCH("+ OVR",Unified_Matrix!$1:$1,0)),"")</f>
        <v/>
      </c>
      <c r="N366" s="4">
        <f t="array" ref="N366">IFERROR(INDEX(Unified_Matrix!$A:$ZZ,ROW(A363),MATCH("Max OVR",Unified_Matrix!$1:$1,0)),"")</f>
        <v/>
      </c>
      <c r="O366" s="4">
        <f t="array" ref="O366">IFERROR(INDEX(Unified_Matrix!$A:$ZZ,ROW(A363),MATCH("Req_Position",Unified_Matrix!$1:$1,0)),"")</f>
        <v/>
      </c>
      <c r="P366" s="4">
        <f t="array" ref="P366">IFERROR(INDEX(Unified_Matrix!$A:$ZZ,ROW(A363),MATCH("Req_OVR_Max",Unified_Matrix!$1:$1,0)),"")</f>
        <v/>
      </c>
      <c r="Q366" s="4">
        <f t="array" ref="Q366">IFERROR(INDEX(Unified_Matrix!$A:$ZZ,ROW(A363),MATCH("Req_Other",Unified_Matrix!$1:$1,0)),"")</f>
        <v/>
      </c>
    </row>
    <row r="367" hidden="1">
      <c r="J367" s="4">
        <f t="array" ref="J367">IFERROR(INDEX(Unified_Matrix!$A:$ZZ,ROW(A364),MATCH("Max "&amp;$J$9,Unified_Matrix!$1:$1,0)),"")</f>
        <v/>
      </c>
      <c r="K367" s="4">
        <f t="array" ref="K367">IFERROR(INDEX(Unified_Matrix!$A:$ZZ,ROW(A364),MATCH("Evolution_Name",Unified_Matrix!$1:$1,0)),"")</f>
        <v/>
      </c>
      <c r="L367" s="4">
        <f>IF(J367="","",IF(J367=0,"",IF(J367=$AB$28,1,IF(J367=$AB$29,2,IF(J367=$AB$30,3,"")))))</f>
        <v/>
      </c>
      <c r="M367" s="4">
        <f t="array" ref="M367">IFERROR(INDEX(Unified_Matrix!$A:$ZZ,ROW(A364),MATCH("+ OVR",Unified_Matrix!$1:$1,0)),"")</f>
        <v/>
      </c>
      <c r="N367" s="4">
        <f t="array" ref="N367">IFERROR(INDEX(Unified_Matrix!$A:$ZZ,ROW(A364),MATCH("Max OVR",Unified_Matrix!$1:$1,0)),"")</f>
        <v/>
      </c>
      <c r="O367" s="4">
        <f t="array" ref="O367">IFERROR(INDEX(Unified_Matrix!$A:$ZZ,ROW(A364),MATCH("Req_Position",Unified_Matrix!$1:$1,0)),"")</f>
        <v/>
      </c>
      <c r="P367" s="4">
        <f t="array" ref="P367">IFERROR(INDEX(Unified_Matrix!$A:$ZZ,ROW(A364),MATCH("Req_OVR_Max",Unified_Matrix!$1:$1,0)),"")</f>
        <v/>
      </c>
      <c r="Q367" s="4">
        <f t="array" ref="Q367">IFERROR(INDEX(Unified_Matrix!$A:$ZZ,ROW(A364),MATCH("Req_Other",Unified_Matrix!$1:$1,0)),"")</f>
        <v/>
      </c>
    </row>
    <row r="368" hidden="1">
      <c r="J368" s="4">
        <f t="array" ref="J368">IFERROR(INDEX(Unified_Matrix!$A:$ZZ,ROW(A365),MATCH("Max "&amp;$J$9,Unified_Matrix!$1:$1,0)),"")</f>
        <v/>
      </c>
      <c r="K368" s="4">
        <f t="array" ref="K368">IFERROR(INDEX(Unified_Matrix!$A:$ZZ,ROW(A365),MATCH("Evolution_Name",Unified_Matrix!$1:$1,0)),"")</f>
        <v/>
      </c>
      <c r="L368" s="4">
        <f>IF(J368="","",IF(J368=0,"",IF(J368=$AB$28,1,IF(J368=$AB$29,2,IF(J368=$AB$30,3,"")))))</f>
        <v/>
      </c>
      <c r="M368" s="4">
        <f t="array" ref="M368">IFERROR(INDEX(Unified_Matrix!$A:$ZZ,ROW(A365),MATCH("+ OVR",Unified_Matrix!$1:$1,0)),"")</f>
        <v/>
      </c>
      <c r="N368" s="4">
        <f t="array" ref="N368">IFERROR(INDEX(Unified_Matrix!$A:$ZZ,ROW(A365),MATCH("Max OVR",Unified_Matrix!$1:$1,0)),"")</f>
        <v/>
      </c>
      <c r="O368" s="4">
        <f t="array" ref="O368">IFERROR(INDEX(Unified_Matrix!$A:$ZZ,ROW(A365),MATCH("Req_Position",Unified_Matrix!$1:$1,0)),"")</f>
        <v/>
      </c>
      <c r="P368" s="4">
        <f t="array" ref="P368">IFERROR(INDEX(Unified_Matrix!$A:$ZZ,ROW(A365),MATCH("Req_OVR_Max",Unified_Matrix!$1:$1,0)),"")</f>
        <v/>
      </c>
      <c r="Q368" s="4">
        <f t="array" ref="Q368">IFERROR(INDEX(Unified_Matrix!$A:$ZZ,ROW(A365),MATCH("Req_Other",Unified_Matrix!$1:$1,0)),"")</f>
        <v/>
      </c>
    </row>
    <row r="369" hidden="1">
      <c r="J369" s="4">
        <f t="array" ref="J369">IFERROR(INDEX(Unified_Matrix!$A:$ZZ,ROW(A366),MATCH("Max "&amp;$J$9,Unified_Matrix!$1:$1,0)),"")</f>
        <v/>
      </c>
      <c r="K369" s="4">
        <f t="array" ref="K369">IFERROR(INDEX(Unified_Matrix!$A:$ZZ,ROW(A366),MATCH("Evolution_Name",Unified_Matrix!$1:$1,0)),"")</f>
        <v/>
      </c>
      <c r="L369" s="4">
        <f>IF(J369="","",IF(J369=0,"",IF(J369=$AB$28,1,IF(J369=$AB$29,2,IF(J369=$AB$30,3,"")))))</f>
        <v/>
      </c>
      <c r="M369" s="4">
        <f t="array" ref="M369">IFERROR(INDEX(Unified_Matrix!$A:$ZZ,ROW(A366),MATCH("+ OVR",Unified_Matrix!$1:$1,0)),"")</f>
        <v/>
      </c>
      <c r="N369" s="4">
        <f t="array" ref="N369">IFERROR(INDEX(Unified_Matrix!$A:$ZZ,ROW(A366),MATCH("Max OVR",Unified_Matrix!$1:$1,0)),"")</f>
        <v/>
      </c>
      <c r="O369" s="4">
        <f t="array" ref="O369">IFERROR(INDEX(Unified_Matrix!$A:$ZZ,ROW(A366),MATCH("Req_Position",Unified_Matrix!$1:$1,0)),"")</f>
        <v/>
      </c>
      <c r="P369" s="4">
        <f t="array" ref="P369">IFERROR(INDEX(Unified_Matrix!$A:$ZZ,ROW(A366),MATCH("Req_OVR_Max",Unified_Matrix!$1:$1,0)),"")</f>
        <v/>
      </c>
      <c r="Q369" s="4">
        <f t="array" ref="Q369">IFERROR(INDEX(Unified_Matrix!$A:$ZZ,ROW(A366),MATCH("Req_Other",Unified_Matrix!$1:$1,0)),"")</f>
        <v/>
      </c>
    </row>
    <row r="370" hidden="1">
      <c r="J370" s="4">
        <f t="array" ref="J370">IFERROR(INDEX(Unified_Matrix!$A:$ZZ,ROW(A367),MATCH("Max "&amp;$J$9,Unified_Matrix!$1:$1,0)),"")</f>
        <v/>
      </c>
      <c r="K370" s="4">
        <f t="array" ref="K370">IFERROR(INDEX(Unified_Matrix!$A:$ZZ,ROW(A367),MATCH("Evolution_Name",Unified_Matrix!$1:$1,0)),"")</f>
        <v/>
      </c>
      <c r="L370" s="4">
        <f>IF(J370="","",IF(J370=0,"",IF(J370=$AB$28,1,IF(J370=$AB$29,2,IF(J370=$AB$30,3,"")))))</f>
        <v/>
      </c>
      <c r="M370" s="4">
        <f t="array" ref="M370">IFERROR(INDEX(Unified_Matrix!$A:$ZZ,ROW(A367),MATCH("+ OVR",Unified_Matrix!$1:$1,0)),"")</f>
        <v/>
      </c>
      <c r="N370" s="4">
        <f t="array" ref="N370">IFERROR(INDEX(Unified_Matrix!$A:$ZZ,ROW(A367),MATCH("Max OVR",Unified_Matrix!$1:$1,0)),"")</f>
        <v/>
      </c>
      <c r="O370" s="4">
        <f t="array" ref="O370">IFERROR(INDEX(Unified_Matrix!$A:$ZZ,ROW(A367),MATCH("Req_Position",Unified_Matrix!$1:$1,0)),"")</f>
        <v/>
      </c>
      <c r="P370" s="4">
        <f t="array" ref="P370">IFERROR(INDEX(Unified_Matrix!$A:$ZZ,ROW(A367),MATCH("Req_OVR_Max",Unified_Matrix!$1:$1,0)),"")</f>
        <v/>
      </c>
      <c r="Q370" s="4">
        <f t="array" ref="Q370">IFERROR(INDEX(Unified_Matrix!$A:$ZZ,ROW(A367),MATCH("Req_Other",Unified_Matrix!$1:$1,0)),"")</f>
        <v/>
      </c>
    </row>
    <row r="371" hidden="1">
      <c r="J371" s="4">
        <f t="array" ref="J371">IFERROR(INDEX(Unified_Matrix!$A:$ZZ,ROW(A368),MATCH("Max "&amp;$J$9,Unified_Matrix!$1:$1,0)),"")</f>
        <v/>
      </c>
      <c r="K371" s="4">
        <f t="array" ref="K371">IFERROR(INDEX(Unified_Matrix!$A:$ZZ,ROW(A368),MATCH("Evolution_Name",Unified_Matrix!$1:$1,0)),"")</f>
        <v/>
      </c>
      <c r="L371" s="4">
        <f>IF(J371="","",IF(J371=0,"",IF(J371=$AB$28,1,IF(J371=$AB$29,2,IF(J371=$AB$30,3,"")))))</f>
        <v/>
      </c>
      <c r="M371" s="4">
        <f t="array" ref="M371">IFERROR(INDEX(Unified_Matrix!$A:$ZZ,ROW(A368),MATCH("+ OVR",Unified_Matrix!$1:$1,0)),"")</f>
        <v/>
      </c>
      <c r="N371" s="4">
        <f t="array" ref="N371">IFERROR(INDEX(Unified_Matrix!$A:$ZZ,ROW(A368),MATCH("Max OVR",Unified_Matrix!$1:$1,0)),"")</f>
        <v/>
      </c>
      <c r="O371" s="4">
        <f t="array" ref="O371">IFERROR(INDEX(Unified_Matrix!$A:$ZZ,ROW(A368),MATCH("Req_Position",Unified_Matrix!$1:$1,0)),"")</f>
        <v/>
      </c>
      <c r="P371" s="4">
        <f t="array" ref="P371">IFERROR(INDEX(Unified_Matrix!$A:$ZZ,ROW(A368),MATCH("Req_OVR_Max",Unified_Matrix!$1:$1,0)),"")</f>
        <v/>
      </c>
      <c r="Q371" s="4">
        <f t="array" ref="Q371">IFERROR(INDEX(Unified_Matrix!$A:$ZZ,ROW(A368),MATCH("Req_Other",Unified_Matrix!$1:$1,0)),"")</f>
        <v/>
      </c>
    </row>
    <row r="372" hidden="1">
      <c r="J372" s="4">
        <f t="array" ref="J372">IFERROR(INDEX(Unified_Matrix!$A:$ZZ,ROW(A369),MATCH("Max "&amp;$J$9,Unified_Matrix!$1:$1,0)),"")</f>
        <v/>
      </c>
      <c r="K372" s="4">
        <f t="array" ref="K372">IFERROR(INDEX(Unified_Matrix!$A:$ZZ,ROW(A369),MATCH("Evolution_Name",Unified_Matrix!$1:$1,0)),"")</f>
        <v/>
      </c>
      <c r="L372" s="4">
        <f>IF(J372="","",IF(J372=0,"",IF(J372=$AB$28,1,IF(J372=$AB$29,2,IF(J372=$AB$30,3,"")))))</f>
        <v/>
      </c>
      <c r="M372" s="4">
        <f t="array" ref="M372">IFERROR(INDEX(Unified_Matrix!$A:$ZZ,ROW(A369),MATCH("+ OVR",Unified_Matrix!$1:$1,0)),"")</f>
        <v/>
      </c>
      <c r="N372" s="4">
        <f t="array" ref="N372">IFERROR(INDEX(Unified_Matrix!$A:$ZZ,ROW(A369),MATCH("Max OVR",Unified_Matrix!$1:$1,0)),"")</f>
        <v/>
      </c>
      <c r="O372" s="4">
        <f t="array" ref="O372">IFERROR(INDEX(Unified_Matrix!$A:$ZZ,ROW(A369),MATCH("Req_Position",Unified_Matrix!$1:$1,0)),"")</f>
        <v/>
      </c>
      <c r="P372" s="4">
        <f t="array" ref="P372">IFERROR(INDEX(Unified_Matrix!$A:$ZZ,ROW(A369),MATCH("Req_OVR_Max",Unified_Matrix!$1:$1,0)),"")</f>
        <v/>
      </c>
      <c r="Q372" s="4">
        <f t="array" ref="Q372">IFERROR(INDEX(Unified_Matrix!$A:$ZZ,ROW(A369),MATCH("Req_Other",Unified_Matrix!$1:$1,0)),"")</f>
        <v/>
      </c>
    </row>
    <row r="373" hidden="1">
      <c r="J373" s="4">
        <f t="array" ref="J373">IFERROR(INDEX(Unified_Matrix!$A:$ZZ,ROW(A370),MATCH("Max "&amp;$J$9,Unified_Matrix!$1:$1,0)),"")</f>
        <v/>
      </c>
      <c r="K373" s="4">
        <f t="array" ref="K373">IFERROR(INDEX(Unified_Matrix!$A:$ZZ,ROW(A370),MATCH("Evolution_Name",Unified_Matrix!$1:$1,0)),"")</f>
        <v/>
      </c>
      <c r="L373" s="4">
        <f>IF(J373="","",IF(J373=0,"",IF(J373=$AB$28,1,IF(J373=$AB$29,2,IF(J373=$AB$30,3,"")))))</f>
        <v/>
      </c>
      <c r="M373" s="4">
        <f t="array" ref="M373">IFERROR(INDEX(Unified_Matrix!$A:$ZZ,ROW(A370),MATCH("+ OVR",Unified_Matrix!$1:$1,0)),"")</f>
        <v/>
      </c>
      <c r="N373" s="4">
        <f t="array" ref="N373">IFERROR(INDEX(Unified_Matrix!$A:$ZZ,ROW(A370),MATCH("Max OVR",Unified_Matrix!$1:$1,0)),"")</f>
        <v/>
      </c>
      <c r="O373" s="4">
        <f t="array" ref="O373">IFERROR(INDEX(Unified_Matrix!$A:$ZZ,ROW(A370),MATCH("Req_Position",Unified_Matrix!$1:$1,0)),"")</f>
        <v/>
      </c>
      <c r="P373" s="4">
        <f t="array" ref="P373">IFERROR(INDEX(Unified_Matrix!$A:$ZZ,ROW(A370),MATCH("Req_OVR_Max",Unified_Matrix!$1:$1,0)),"")</f>
        <v/>
      </c>
      <c r="Q373" s="4">
        <f t="array" ref="Q373">IFERROR(INDEX(Unified_Matrix!$A:$ZZ,ROW(A370),MATCH("Req_Other",Unified_Matrix!$1:$1,0)),"")</f>
        <v/>
      </c>
    </row>
    <row r="374" hidden="1">
      <c r="J374" s="4">
        <f t="array" ref="J374">IFERROR(INDEX(Unified_Matrix!$A:$ZZ,ROW(A371),MATCH("Max "&amp;$J$9,Unified_Matrix!$1:$1,0)),"")</f>
        <v/>
      </c>
      <c r="K374" s="4">
        <f t="array" ref="K374">IFERROR(INDEX(Unified_Matrix!$A:$ZZ,ROW(A371),MATCH("Evolution_Name",Unified_Matrix!$1:$1,0)),"")</f>
        <v/>
      </c>
      <c r="L374" s="4">
        <f>IF(J374="","",IF(J374=0,"",IF(J374=$AB$28,1,IF(J374=$AB$29,2,IF(J374=$AB$30,3,"")))))</f>
        <v/>
      </c>
      <c r="M374" s="4">
        <f t="array" ref="M374">IFERROR(INDEX(Unified_Matrix!$A:$ZZ,ROW(A371),MATCH("+ OVR",Unified_Matrix!$1:$1,0)),"")</f>
        <v/>
      </c>
      <c r="N374" s="4">
        <f t="array" ref="N374">IFERROR(INDEX(Unified_Matrix!$A:$ZZ,ROW(A371),MATCH("Max OVR",Unified_Matrix!$1:$1,0)),"")</f>
        <v/>
      </c>
      <c r="O374" s="4">
        <f t="array" ref="O374">IFERROR(INDEX(Unified_Matrix!$A:$ZZ,ROW(A371),MATCH("Req_Position",Unified_Matrix!$1:$1,0)),"")</f>
        <v/>
      </c>
      <c r="P374" s="4">
        <f t="array" ref="P374">IFERROR(INDEX(Unified_Matrix!$A:$ZZ,ROW(A371),MATCH("Req_OVR_Max",Unified_Matrix!$1:$1,0)),"")</f>
        <v/>
      </c>
      <c r="Q374" s="4">
        <f t="array" ref="Q374">IFERROR(INDEX(Unified_Matrix!$A:$ZZ,ROW(A371),MATCH("Req_Other",Unified_Matrix!$1:$1,0)),"")</f>
        <v/>
      </c>
    </row>
    <row r="375" hidden="1">
      <c r="J375" s="4">
        <f t="array" ref="J375">IFERROR(INDEX(Unified_Matrix!$A:$ZZ,ROW(A372),MATCH("Max "&amp;$J$9,Unified_Matrix!$1:$1,0)),"")</f>
        <v/>
      </c>
      <c r="K375" s="4">
        <f t="array" ref="K375">IFERROR(INDEX(Unified_Matrix!$A:$ZZ,ROW(A372),MATCH("Evolution_Name",Unified_Matrix!$1:$1,0)),"")</f>
        <v/>
      </c>
      <c r="L375" s="4">
        <f>IF(J375="","",IF(J375=0,"",IF(J375=$AB$28,1,IF(J375=$AB$29,2,IF(J375=$AB$30,3,"")))))</f>
        <v/>
      </c>
      <c r="M375" s="4">
        <f t="array" ref="M375">IFERROR(INDEX(Unified_Matrix!$A:$ZZ,ROW(A372),MATCH("+ OVR",Unified_Matrix!$1:$1,0)),"")</f>
        <v/>
      </c>
      <c r="N375" s="4">
        <f t="array" ref="N375">IFERROR(INDEX(Unified_Matrix!$A:$ZZ,ROW(A372),MATCH("Max OVR",Unified_Matrix!$1:$1,0)),"")</f>
        <v/>
      </c>
      <c r="O375" s="4">
        <f t="array" ref="O375">IFERROR(INDEX(Unified_Matrix!$A:$ZZ,ROW(A372),MATCH("Req_Position",Unified_Matrix!$1:$1,0)),"")</f>
        <v/>
      </c>
      <c r="P375" s="4">
        <f t="array" ref="P375">IFERROR(INDEX(Unified_Matrix!$A:$ZZ,ROW(A372),MATCH("Req_OVR_Max",Unified_Matrix!$1:$1,0)),"")</f>
        <v/>
      </c>
      <c r="Q375" s="4">
        <f t="array" ref="Q375">IFERROR(INDEX(Unified_Matrix!$A:$ZZ,ROW(A372),MATCH("Req_Other",Unified_Matrix!$1:$1,0)),"")</f>
        <v/>
      </c>
    </row>
    <row r="376" hidden="1">
      <c r="J376" s="4">
        <f t="array" ref="J376">IFERROR(INDEX(Unified_Matrix!$A:$ZZ,ROW(A373),MATCH("Max "&amp;$J$9,Unified_Matrix!$1:$1,0)),"")</f>
        <v/>
      </c>
      <c r="K376" s="4">
        <f t="array" ref="K376">IFERROR(INDEX(Unified_Matrix!$A:$ZZ,ROW(A373),MATCH("Evolution_Name",Unified_Matrix!$1:$1,0)),"")</f>
        <v/>
      </c>
      <c r="L376" s="4">
        <f>IF(J376="","",IF(J376=0,"",IF(J376=$AB$28,1,IF(J376=$AB$29,2,IF(J376=$AB$30,3,"")))))</f>
        <v/>
      </c>
      <c r="M376" s="4">
        <f t="array" ref="M376">IFERROR(INDEX(Unified_Matrix!$A:$ZZ,ROW(A373),MATCH("+ OVR",Unified_Matrix!$1:$1,0)),"")</f>
        <v/>
      </c>
      <c r="N376" s="4">
        <f t="array" ref="N376">IFERROR(INDEX(Unified_Matrix!$A:$ZZ,ROW(A373),MATCH("Max OVR",Unified_Matrix!$1:$1,0)),"")</f>
        <v/>
      </c>
      <c r="O376" s="4">
        <f t="array" ref="O376">IFERROR(INDEX(Unified_Matrix!$A:$ZZ,ROW(A373),MATCH("Req_Position",Unified_Matrix!$1:$1,0)),"")</f>
        <v/>
      </c>
      <c r="P376" s="4">
        <f t="array" ref="P376">IFERROR(INDEX(Unified_Matrix!$A:$ZZ,ROW(A373),MATCH("Req_OVR_Max",Unified_Matrix!$1:$1,0)),"")</f>
        <v/>
      </c>
      <c r="Q376" s="4">
        <f t="array" ref="Q376">IFERROR(INDEX(Unified_Matrix!$A:$ZZ,ROW(A373),MATCH("Req_Other",Unified_Matrix!$1:$1,0)),"")</f>
        <v/>
      </c>
    </row>
    <row r="377" hidden="1">
      <c r="J377" s="4">
        <f t="array" ref="J377">IFERROR(INDEX(Unified_Matrix!$A:$ZZ,ROW(A374),MATCH("Max "&amp;$J$9,Unified_Matrix!$1:$1,0)),"")</f>
        <v/>
      </c>
      <c r="K377" s="4">
        <f t="array" ref="K377">IFERROR(INDEX(Unified_Matrix!$A:$ZZ,ROW(A374),MATCH("Evolution_Name",Unified_Matrix!$1:$1,0)),"")</f>
        <v/>
      </c>
      <c r="L377" s="4">
        <f>IF(J377="","",IF(J377=0,"",IF(J377=$AB$28,1,IF(J377=$AB$29,2,IF(J377=$AB$30,3,"")))))</f>
        <v/>
      </c>
      <c r="M377" s="4">
        <f t="array" ref="M377">IFERROR(INDEX(Unified_Matrix!$A:$ZZ,ROW(A374),MATCH("+ OVR",Unified_Matrix!$1:$1,0)),"")</f>
        <v/>
      </c>
      <c r="N377" s="4">
        <f t="array" ref="N377">IFERROR(INDEX(Unified_Matrix!$A:$ZZ,ROW(A374),MATCH("Max OVR",Unified_Matrix!$1:$1,0)),"")</f>
        <v/>
      </c>
      <c r="O377" s="4">
        <f t="array" ref="O377">IFERROR(INDEX(Unified_Matrix!$A:$ZZ,ROW(A374),MATCH("Req_Position",Unified_Matrix!$1:$1,0)),"")</f>
        <v/>
      </c>
      <c r="P377" s="4">
        <f t="array" ref="P377">IFERROR(INDEX(Unified_Matrix!$A:$ZZ,ROW(A374),MATCH("Req_OVR_Max",Unified_Matrix!$1:$1,0)),"")</f>
        <v/>
      </c>
      <c r="Q377" s="4">
        <f t="array" ref="Q377">IFERROR(INDEX(Unified_Matrix!$A:$ZZ,ROW(A374),MATCH("Req_Other",Unified_Matrix!$1:$1,0)),"")</f>
        <v/>
      </c>
    </row>
    <row r="378" hidden="1">
      <c r="J378" s="4">
        <f t="array" ref="J378">IFERROR(INDEX(Unified_Matrix!$A:$ZZ,ROW(A375),MATCH("Max "&amp;$J$9,Unified_Matrix!$1:$1,0)),"")</f>
        <v/>
      </c>
      <c r="K378" s="4">
        <f t="array" ref="K378">IFERROR(INDEX(Unified_Matrix!$A:$ZZ,ROW(A375),MATCH("Evolution_Name",Unified_Matrix!$1:$1,0)),"")</f>
        <v/>
      </c>
      <c r="L378" s="4">
        <f>IF(J378="","",IF(J378=0,"",IF(J378=$AB$28,1,IF(J378=$AB$29,2,IF(J378=$AB$30,3,"")))))</f>
        <v/>
      </c>
      <c r="M378" s="4">
        <f t="array" ref="M378">IFERROR(INDEX(Unified_Matrix!$A:$ZZ,ROW(A375),MATCH("+ OVR",Unified_Matrix!$1:$1,0)),"")</f>
        <v/>
      </c>
      <c r="N378" s="4">
        <f t="array" ref="N378">IFERROR(INDEX(Unified_Matrix!$A:$ZZ,ROW(A375),MATCH("Max OVR",Unified_Matrix!$1:$1,0)),"")</f>
        <v/>
      </c>
      <c r="O378" s="4">
        <f t="array" ref="O378">IFERROR(INDEX(Unified_Matrix!$A:$ZZ,ROW(A375),MATCH("Req_Position",Unified_Matrix!$1:$1,0)),"")</f>
        <v/>
      </c>
      <c r="P378" s="4">
        <f t="array" ref="P378">IFERROR(INDEX(Unified_Matrix!$A:$ZZ,ROW(A375),MATCH("Req_OVR_Max",Unified_Matrix!$1:$1,0)),"")</f>
        <v/>
      </c>
      <c r="Q378" s="4">
        <f t="array" ref="Q378">IFERROR(INDEX(Unified_Matrix!$A:$ZZ,ROW(A375),MATCH("Req_Other",Unified_Matrix!$1:$1,0)),"")</f>
        <v/>
      </c>
    </row>
    <row r="379" hidden="1">
      <c r="J379" s="4">
        <f t="array" ref="J379">IFERROR(INDEX(Unified_Matrix!$A:$ZZ,ROW(A376),MATCH("Max "&amp;$J$9,Unified_Matrix!$1:$1,0)),"")</f>
        <v/>
      </c>
      <c r="K379" s="4">
        <f t="array" ref="K379">IFERROR(INDEX(Unified_Matrix!$A:$ZZ,ROW(A376),MATCH("Evolution_Name",Unified_Matrix!$1:$1,0)),"")</f>
        <v/>
      </c>
      <c r="L379" s="4">
        <f>IF(J379="","",IF(J379=0,"",IF(J379=$AB$28,1,IF(J379=$AB$29,2,IF(J379=$AB$30,3,"")))))</f>
        <v/>
      </c>
      <c r="M379" s="4">
        <f t="array" ref="M379">IFERROR(INDEX(Unified_Matrix!$A:$ZZ,ROW(A376),MATCH("+ OVR",Unified_Matrix!$1:$1,0)),"")</f>
        <v/>
      </c>
      <c r="N379" s="4">
        <f t="array" ref="N379">IFERROR(INDEX(Unified_Matrix!$A:$ZZ,ROW(A376),MATCH("Max OVR",Unified_Matrix!$1:$1,0)),"")</f>
        <v/>
      </c>
      <c r="O379" s="4">
        <f t="array" ref="O379">IFERROR(INDEX(Unified_Matrix!$A:$ZZ,ROW(A376),MATCH("Req_Position",Unified_Matrix!$1:$1,0)),"")</f>
        <v/>
      </c>
      <c r="P379" s="4">
        <f t="array" ref="P379">IFERROR(INDEX(Unified_Matrix!$A:$ZZ,ROW(A376),MATCH("Req_OVR_Max",Unified_Matrix!$1:$1,0)),"")</f>
        <v/>
      </c>
      <c r="Q379" s="4">
        <f t="array" ref="Q379">IFERROR(INDEX(Unified_Matrix!$A:$ZZ,ROW(A376),MATCH("Req_Other",Unified_Matrix!$1:$1,0)),"")</f>
        <v/>
      </c>
    </row>
    <row r="380" hidden="1">
      <c r="J380" s="4">
        <f t="array" ref="J380">IFERROR(INDEX(Unified_Matrix!$A:$ZZ,ROW(A377),MATCH("Max "&amp;$J$9,Unified_Matrix!$1:$1,0)),"")</f>
        <v/>
      </c>
      <c r="K380" s="4">
        <f t="array" ref="K380">IFERROR(INDEX(Unified_Matrix!$A:$ZZ,ROW(A377),MATCH("Evolution_Name",Unified_Matrix!$1:$1,0)),"")</f>
        <v/>
      </c>
      <c r="L380" s="4">
        <f>IF(J380="","",IF(J380=0,"",IF(J380=$AB$28,1,IF(J380=$AB$29,2,IF(J380=$AB$30,3,"")))))</f>
        <v/>
      </c>
      <c r="M380" s="4">
        <f t="array" ref="M380">IFERROR(INDEX(Unified_Matrix!$A:$ZZ,ROW(A377),MATCH("+ OVR",Unified_Matrix!$1:$1,0)),"")</f>
        <v/>
      </c>
      <c r="N380" s="4">
        <f t="array" ref="N380">IFERROR(INDEX(Unified_Matrix!$A:$ZZ,ROW(A377),MATCH("Max OVR",Unified_Matrix!$1:$1,0)),"")</f>
        <v/>
      </c>
      <c r="O380" s="4">
        <f t="array" ref="O380">IFERROR(INDEX(Unified_Matrix!$A:$ZZ,ROW(A377),MATCH("Req_Position",Unified_Matrix!$1:$1,0)),"")</f>
        <v/>
      </c>
      <c r="P380" s="4">
        <f t="array" ref="P380">IFERROR(INDEX(Unified_Matrix!$A:$ZZ,ROW(A377),MATCH("Req_OVR_Max",Unified_Matrix!$1:$1,0)),"")</f>
        <v/>
      </c>
      <c r="Q380" s="4">
        <f t="array" ref="Q380">IFERROR(INDEX(Unified_Matrix!$A:$ZZ,ROW(A377),MATCH("Req_Other",Unified_Matrix!$1:$1,0)),"")</f>
        <v/>
      </c>
    </row>
    <row r="381" hidden="1">
      <c r="J381" s="4">
        <f t="array" ref="J381">IFERROR(INDEX(Unified_Matrix!$A:$ZZ,ROW(A378),MATCH("Max "&amp;$J$9,Unified_Matrix!$1:$1,0)),"")</f>
        <v/>
      </c>
      <c r="K381" s="4">
        <f t="array" ref="K381">IFERROR(INDEX(Unified_Matrix!$A:$ZZ,ROW(A378),MATCH("Evolution_Name",Unified_Matrix!$1:$1,0)),"")</f>
        <v/>
      </c>
      <c r="L381" s="4">
        <f>IF(J381="","",IF(J381=0,"",IF(J381=$AB$28,1,IF(J381=$AB$29,2,IF(J381=$AB$30,3,"")))))</f>
        <v/>
      </c>
      <c r="M381" s="4">
        <f t="array" ref="M381">IFERROR(INDEX(Unified_Matrix!$A:$ZZ,ROW(A378),MATCH("+ OVR",Unified_Matrix!$1:$1,0)),"")</f>
        <v/>
      </c>
      <c r="N381" s="4">
        <f t="array" ref="N381">IFERROR(INDEX(Unified_Matrix!$A:$ZZ,ROW(A378),MATCH("Max OVR",Unified_Matrix!$1:$1,0)),"")</f>
        <v/>
      </c>
      <c r="O381" s="4">
        <f t="array" ref="O381">IFERROR(INDEX(Unified_Matrix!$A:$ZZ,ROW(A378),MATCH("Req_Position",Unified_Matrix!$1:$1,0)),"")</f>
        <v/>
      </c>
      <c r="P381" s="4">
        <f t="array" ref="P381">IFERROR(INDEX(Unified_Matrix!$A:$ZZ,ROW(A378),MATCH("Req_OVR_Max",Unified_Matrix!$1:$1,0)),"")</f>
        <v/>
      </c>
      <c r="Q381" s="4">
        <f t="array" ref="Q381">IFERROR(INDEX(Unified_Matrix!$A:$ZZ,ROW(A378),MATCH("Req_Other",Unified_Matrix!$1:$1,0)),"")</f>
        <v/>
      </c>
    </row>
    <row r="382" hidden="1">
      <c r="J382" s="4">
        <f t="array" ref="J382">IFERROR(INDEX(Unified_Matrix!$A:$ZZ,ROW(A379),MATCH("Max "&amp;$J$9,Unified_Matrix!$1:$1,0)),"")</f>
        <v/>
      </c>
      <c r="K382" s="4">
        <f t="array" ref="K382">IFERROR(INDEX(Unified_Matrix!$A:$ZZ,ROW(A379),MATCH("Evolution_Name",Unified_Matrix!$1:$1,0)),"")</f>
        <v/>
      </c>
      <c r="L382" s="4">
        <f>IF(J382="","",IF(J382=0,"",IF(J382=$AB$28,1,IF(J382=$AB$29,2,IF(J382=$AB$30,3,"")))))</f>
        <v/>
      </c>
      <c r="M382" s="4">
        <f t="array" ref="M382">IFERROR(INDEX(Unified_Matrix!$A:$ZZ,ROW(A379),MATCH("+ OVR",Unified_Matrix!$1:$1,0)),"")</f>
        <v/>
      </c>
      <c r="N382" s="4">
        <f t="array" ref="N382">IFERROR(INDEX(Unified_Matrix!$A:$ZZ,ROW(A379),MATCH("Max OVR",Unified_Matrix!$1:$1,0)),"")</f>
        <v/>
      </c>
      <c r="O382" s="4">
        <f t="array" ref="O382">IFERROR(INDEX(Unified_Matrix!$A:$ZZ,ROW(A379),MATCH("Req_Position",Unified_Matrix!$1:$1,0)),"")</f>
        <v/>
      </c>
      <c r="P382" s="4">
        <f t="array" ref="P382">IFERROR(INDEX(Unified_Matrix!$A:$ZZ,ROW(A379),MATCH("Req_OVR_Max",Unified_Matrix!$1:$1,0)),"")</f>
        <v/>
      </c>
      <c r="Q382" s="4">
        <f t="array" ref="Q382">IFERROR(INDEX(Unified_Matrix!$A:$ZZ,ROW(A379),MATCH("Req_Other",Unified_Matrix!$1:$1,0)),"")</f>
        <v/>
      </c>
    </row>
    <row r="383" hidden="1">
      <c r="J383" s="4">
        <f t="array" ref="J383">IFERROR(INDEX(Unified_Matrix!$A:$ZZ,ROW(A380),MATCH("Max "&amp;$J$9,Unified_Matrix!$1:$1,0)),"")</f>
        <v/>
      </c>
      <c r="K383" s="4">
        <f t="array" ref="K383">IFERROR(INDEX(Unified_Matrix!$A:$ZZ,ROW(A380),MATCH("Evolution_Name",Unified_Matrix!$1:$1,0)),"")</f>
        <v/>
      </c>
      <c r="L383" s="4">
        <f>IF(J383="","",IF(J383=0,"",IF(J383=$AB$28,1,IF(J383=$AB$29,2,IF(J383=$AB$30,3,"")))))</f>
        <v/>
      </c>
      <c r="M383" s="4">
        <f t="array" ref="M383">IFERROR(INDEX(Unified_Matrix!$A:$ZZ,ROW(A380),MATCH("+ OVR",Unified_Matrix!$1:$1,0)),"")</f>
        <v/>
      </c>
      <c r="N383" s="4">
        <f t="array" ref="N383">IFERROR(INDEX(Unified_Matrix!$A:$ZZ,ROW(A380),MATCH("Max OVR",Unified_Matrix!$1:$1,0)),"")</f>
        <v/>
      </c>
      <c r="O383" s="4">
        <f t="array" ref="O383">IFERROR(INDEX(Unified_Matrix!$A:$ZZ,ROW(A380),MATCH("Req_Position",Unified_Matrix!$1:$1,0)),"")</f>
        <v/>
      </c>
      <c r="P383" s="4">
        <f t="array" ref="P383">IFERROR(INDEX(Unified_Matrix!$A:$ZZ,ROW(A380),MATCH("Req_OVR_Max",Unified_Matrix!$1:$1,0)),"")</f>
        <v/>
      </c>
      <c r="Q383" s="4">
        <f t="array" ref="Q383">IFERROR(INDEX(Unified_Matrix!$A:$ZZ,ROW(A380),MATCH("Req_Other",Unified_Matrix!$1:$1,0)),"")</f>
        <v/>
      </c>
    </row>
    <row r="384" hidden="1">
      <c r="J384" s="4">
        <f t="array" ref="J384">IFERROR(INDEX(Unified_Matrix!$A:$ZZ,ROW(A381),MATCH("Max "&amp;$J$9,Unified_Matrix!$1:$1,0)),"")</f>
        <v/>
      </c>
      <c r="K384" s="4">
        <f t="array" ref="K384">IFERROR(INDEX(Unified_Matrix!$A:$ZZ,ROW(A381),MATCH("Evolution_Name",Unified_Matrix!$1:$1,0)),"")</f>
        <v/>
      </c>
      <c r="L384" s="4">
        <f>IF(J384="","",IF(J384=0,"",IF(J384=$AB$28,1,IF(J384=$AB$29,2,IF(J384=$AB$30,3,"")))))</f>
        <v/>
      </c>
      <c r="M384" s="4">
        <f t="array" ref="M384">IFERROR(INDEX(Unified_Matrix!$A:$ZZ,ROW(A381),MATCH("+ OVR",Unified_Matrix!$1:$1,0)),"")</f>
        <v/>
      </c>
      <c r="N384" s="4">
        <f t="array" ref="N384">IFERROR(INDEX(Unified_Matrix!$A:$ZZ,ROW(A381),MATCH("Max OVR",Unified_Matrix!$1:$1,0)),"")</f>
        <v/>
      </c>
      <c r="O384" s="4">
        <f t="array" ref="O384">IFERROR(INDEX(Unified_Matrix!$A:$ZZ,ROW(A381),MATCH("Req_Position",Unified_Matrix!$1:$1,0)),"")</f>
        <v/>
      </c>
      <c r="P384" s="4">
        <f t="array" ref="P384">IFERROR(INDEX(Unified_Matrix!$A:$ZZ,ROW(A381),MATCH("Req_OVR_Max",Unified_Matrix!$1:$1,0)),"")</f>
        <v/>
      </c>
      <c r="Q384" s="4">
        <f t="array" ref="Q384">IFERROR(INDEX(Unified_Matrix!$A:$ZZ,ROW(A381),MATCH("Req_Other",Unified_Matrix!$1:$1,0)),"")</f>
        <v/>
      </c>
    </row>
    <row r="385" hidden="1">
      <c r="J385" s="4">
        <f t="array" ref="J385">IFERROR(INDEX(Unified_Matrix!$A:$ZZ,ROW(A382),MATCH("Max "&amp;$J$9,Unified_Matrix!$1:$1,0)),"")</f>
        <v/>
      </c>
      <c r="K385" s="4">
        <f t="array" ref="K385">IFERROR(INDEX(Unified_Matrix!$A:$ZZ,ROW(A382),MATCH("Evolution_Name",Unified_Matrix!$1:$1,0)),"")</f>
        <v/>
      </c>
      <c r="L385" s="4">
        <f>IF(J385="","",IF(J385=0,"",IF(J385=$AB$28,1,IF(J385=$AB$29,2,IF(J385=$AB$30,3,"")))))</f>
        <v/>
      </c>
      <c r="M385" s="4">
        <f t="array" ref="M385">IFERROR(INDEX(Unified_Matrix!$A:$ZZ,ROW(A382),MATCH("+ OVR",Unified_Matrix!$1:$1,0)),"")</f>
        <v/>
      </c>
      <c r="N385" s="4">
        <f t="array" ref="N385">IFERROR(INDEX(Unified_Matrix!$A:$ZZ,ROW(A382),MATCH("Max OVR",Unified_Matrix!$1:$1,0)),"")</f>
        <v/>
      </c>
      <c r="O385" s="4">
        <f t="array" ref="O385">IFERROR(INDEX(Unified_Matrix!$A:$ZZ,ROW(A382),MATCH("Req_Position",Unified_Matrix!$1:$1,0)),"")</f>
        <v/>
      </c>
      <c r="P385" s="4">
        <f t="array" ref="P385">IFERROR(INDEX(Unified_Matrix!$A:$ZZ,ROW(A382),MATCH("Req_OVR_Max",Unified_Matrix!$1:$1,0)),"")</f>
        <v/>
      </c>
      <c r="Q385" s="4">
        <f t="array" ref="Q385">IFERROR(INDEX(Unified_Matrix!$A:$ZZ,ROW(A382),MATCH("Req_Other",Unified_Matrix!$1:$1,0)),"")</f>
        <v/>
      </c>
    </row>
    <row r="386" hidden="1">
      <c r="J386" s="4">
        <f t="array" ref="J386">IFERROR(INDEX(Unified_Matrix!$A:$ZZ,ROW(A383),MATCH("Max "&amp;$J$9,Unified_Matrix!$1:$1,0)),"")</f>
        <v/>
      </c>
      <c r="K386" s="4">
        <f t="array" ref="K386">IFERROR(INDEX(Unified_Matrix!$A:$ZZ,ROW(A383),MATCH("Evolution_Name",Unified_Matrix!$1:$1,0)),"")</f>
        <v/>
      </c>
      <c r="L386" s="4">
        <f>IF(J386="","",IF(J386=0,"",IF(J386=$AB$28,1,IF(J386=$AB$29,2,IF(J386=$AB$30,3,"")))))</f>
        <v/>
      </c>
      <c r="M386" s="4">
        <f t="array" ref="M386">IFERROR(INDEX(Unified_Matrix!$A:$ZZ,ROW(A383),MATCH("+ OVR",Unified_Matrix!$1:$1,0)),"")</f>
        <v/>
      </c>
      <c r="N386" s="4">
        <f t="array" ref="N386">IFERROR(INDEX(Unified_Matrix!$A:$ZZ,ROW(A383),MATCH("Max OVR",Unified_Matrix!$1:$1,0)),"")</f>
        <v/>
      </c>
      <c r="O386" s="4">
        <f t="array" ref="O386">IFERROR(INDEX(Unified_Matrix!$A:$ZZ,ROW(A383),MATCH("Req_Position",Unified_Matrix!$1:$1,0)),"")</f>
        <v/>
      </c>
      <c r="P386" s="4">
        <f t="array" ref="P386">IFERROR(INDEX(Unified_Matrix!$A:$ZZ,ROW(A383),MATCH("Req_OVR_Max",Unified_Matrix!$1:$1,0)),"")</f>
        <v/>
      </c>
      <c r="Q386" s="4">
        <f t="array" ref="Q386">IFERROR(INDEX(Unified_Matrix!$A:$ZZ,ROW(A383),MATCH("Req_Other",Unified_Matrix!$1:$1,0)),"")</f>
        <v/>
      </c>
    </row>
    <row r="387" hidden="1">
      <c r="J387" s="4">
        <f t="array" ref="J387">IFERROR(INDEX(Unified_Matrix!$A:$ZZ,ROW(A384),MATCH("Max "&amp;$J$9,Unified_Matrix!$1:$1,0)),"")</f>
        <v/>
      </c>
      <c r="K387" s="4">
        <f t="array" ref="K387">IFERROR(INDEX(Unified_Matrix!$A:$ZZ,ROW(A384),MATCH("Evolution_Name",Unified_Matrix!$1:$1,0)),"")</f>
        <v/>
      </c>
      <c r="L387" s="4">
        <f>IF(J387="","",IF(J387=0,"",IF(J387=$AB$28,1,IF(J387=$AB$29,2,IF(J387=$AB$30,3,"")))))</f>
        <v/>
      </c>
      <c r="M387" s="4">
        <f t="array" ref="M387">IFERROR(INDEX(Unified_Matrix!$A:$ZZ,ROW(A384),MATCH("+ OVR",Unified_Matrix!$1:$1,0)),"")</f>
        <v/>
      </c>
      <c r="N387" s="4">
        <f t="array" ref="N387">IFERROR(INDEX(Unified_Matrix!$A:$ZZ,ROW(A384),MATCH("Max OVR",Unified_Matrix!$1:$1,0)),"")</f>
        <v/>
      </c>
      <c r="O387" s="4">
        <f t="array" ref="O387">IFERROR(INDEX(Unified_Matrix!$A:$ZZ,ROW(A384),MATCH("Req_Position",Unified_Matrix!$1:$1,0)),"")</f>
        <v/>
      </c>
      <c r="P387" s="4">
        <f t="array" ref="P387">IFERROR(INDEX(Unified_Matrix!$A:$ZZ,ROW(A384),MATCH("Req_OVR_Max",Unified_Matrix!$1:$1,0)),"")</f>
        <v/>
      </c>
      <c r="Q387" s="4">
        <f t="array" ref="Q387">IFERROR(INDEX(Unified_Matrix!$A:$ZZ,ROW(A384),MATCH("Req_Other",Unified_Matrix!$1:$1,0)),"")</f>
        <v/>
      </c>
    </row>
    <row r="388" hidden="1">
      <c r="J388" s="4">
        <f t="array" ref="J388">IFERROR(INDEX(Unified_Matrix!$A:$ZZ,ROW(A385),MATCH("Max "&amp;$J$9,Unified_Matrix!$1:$1,0)),"")</f>
        <v/>
      </c>
      <c r="K388" s="4">
        <f t="array" ref="K388">IFERROR(INDEX(Unified_Matrix!$A:$ZZ,ROW(A385),MATCH("Evolution_Name",Unified_Matrix!$1:$1,0)),"")</f>
        <v/>
      </c>
      <c r="L388" s="4">
        <f>IF(J388="","",IF(J388=0,"",IF(J388=$AB$28,1,IF(J388=$AB$29,2,IF(J388=$AB$30,3,"")))))</f>
        <v/>
      </c>
      <c r="M388" s="4">
        <f t="array" ref="M388">IFERROR(INDEX(Unified_Matrix!$A:$ZZ,ROW(A385),MATCH("+ OVR",Unified_Matrix!$1:$1,0)),"")</f>
        <v/>
      </c>
      <c r="N388" s="4">
        <f t="array" ref="N388">IFERROR(INDEX(Unified_Matrix!$A:$ZZ,ROW(A385),MATCH("Max OVR",Unified_Matrix!$1:$1,0)),"")</f>
        <v/>
      </c>
      <c r="O388" s="4">
        <f t="array" ref="O388">IFERROR(INDEX(Unified_Matrix!$A:$ZZ,ROW(A385),MATCH("Req_Position",Unified_Matrix!$1:$1,0)),"")</f>
        <v/>
      </c>
      <c r="P388" s="4">
        <f t="array" ref="P388">IFERROR(INDEX(Unified_Matrix!$A:$ZZ,ROW(A385),MATCH("Req_OVR_Max",Unified_Matrix!$1:$1,0)),"")</f>
        <v/>
      </c>
      <c r="Q388" s="4">
        <f t="array" ref="Q388">IFERROR(INDEX(Unified_Matrix!$A:$ZZ,ROW(A385),MATCH("Req_Other",Unified_Matrix!$1:$1,0)),"")</f>
        <v/>
      </c>
    </row>
    <row r="389" hidden="1">
      <c r="J389" s="4">
        <f t="array" ref="J389">IFERROR(INDEX(Unified_Matrix!$A:$ZZ,ROW(A386),MATCH("Max "&amp;$J$9,Unified_Matrix!$1:$1,0)),"")</f>
        <v/>
      </c>
      <c r="K389" s="4">
        <f t="array" ref="K389">IFERROR(INDEX(Unified_Matrix!$A:$ZZ,ROW(A386),MATCH("Evolution_Name",Unified_Matrix!$1:$1,0)),"")</f>
        <v/>
      </c>
      <c r="L389" s="4">
        <f>IF(J389="","",IF(J389=0,"",IF(J389=$AB$28,1,IF(J389=$AB$29,2,IF(J389=$AB$30,3,"")))))</f>
        <v/>
      </c>
      <c r="M389" s="4">
        <f t="array" ref="M389">IFERROR(INDEX(Unified_Matrix!$A:$ZZ,ROW(A386),MATCH("+ OVR",Unified_Matrix!$1:$1,0)),"")</f>
        <v/>
      </c>
      <c r="N389" s="4">
        <f t="array" ref="N389">IFERROR(INDEX(Unified_Matrix!$A:$ZZ,ROW(A386),MATCH("Max OVR",Unified_Matrix!$1:$1,0)),"")</f>
        <v/>
      </c>
      <c r="O389" s="4">
        <f t="array" ref="O389">IFERROR(INDEX(Unified_Matrix!$A:$ZZ,ROW(A386),MATCH("Req_Position",Unified_Matrix!$1:$1,0)),"")</f>
        <v/>
      </c>
      <c r="P389" s="4">
        <f t="array" ref="P389">IFERROR(INDEX(Unified_Matrix!$A:$ZZ,ROW(A386),MATCH("Req_OVR_Max",Unified_Matrix!$1:$1,0)),"")</f>
        <v/>
      </c>
      <c r="Q389" s="4">
        <f t="array" ref="Q389">IFERROR(INDEX(Unified_Matrix!$A:$ZZ,ROW(A386),MATCH("Req_Other",Unified_Matrix!$1:$1,0)),"")</f>
        <v/>
      </c>
    </row>
    <row r="390" hidden="1">
      <c r="J390" s="4">
        <f t="array" ref="J390">IFERROR(INDEX(Unified_Matrix!$A:$ZZ,ROW(A387),MATCH("Max "&amp;$J$9,Unified_Matrix!$1:$1,0)),"")</f>
        <v/>
      </c>
      <c r="K390" s="4">
        <f t="array" ref="K390">IFERROR(INDEX(Unified_Matrix!$A:$ZZ,ROW(A387),MATCH("Evolution_Name",Unified_Matrix!$1:$1,0)),"")</f>
        <v/>
      </c>
      <c r="L390" s="4">
        <f>IF(J390="","",IF(J390=0,"",IF(J390=$AB$28,1,IF(J390=$AB$29,2,IF(J390=$AB$30,3,"")))))</f>
        <v/>
      </c>
      <c r="M390" s="4">
        <f t="array" ref="M390">IFERROR(INDEX(Unified_Matrix!$A:$ZZ,ROW(A387),MATCH("+ OVR",Unified_Matrix!$1:$1,0)),"")</f>
        <v/>
      </c>
      <c r="N390" s="4">
        <f t="array" ref="N390">IFERROR(INDEX(Unified_Matrix!$A:$ZZ,ROW(A387),MATCH("Max OVR",Unified_Matrix!$1:$1,0)),"")</f>
        <v/>
      </c>
      <c r="O390" s="4">
        <f t="array" ref="O390">IFERROR(INDEX(Unified_Matrix!$A:$ZZ,ROW(A387),MATCH("Req_Position",Unified_Matrix!$1:$1,0)),"")</f>
        <v/>
      </c>
      <c r="P390" s="4">
        <f t="array" ref="P390">IFERROR(INDEX(Unified_Matrix!$A:$ZZ,ROW(A387),MATCH("Req_OVR_Max",Unified_Matrix!$1:$1,0)),"")</f>
        <v/>
      </c>
      <c r="Q390" s="4">
        <f t="array" ref="Q390">IFERROR(INDEX(Unified_Matrix!$A:$ZZ,ROW(A387),MATCH("Req_Other",Unified_Matrix!$1:$1,0)),"")</f>
        <v/>
      </c>
    </row>
    <row r="391" hidden="1">
      <c r="J391" s="4">
        <f t="array" ref="J391">IFERROR(INDEX(Unified_Matrix!$A:$ZZ,ROW(A388),MATCH("Max "&amp;$J$9,Unified_Matrix!$1:$1,0)),"")</f>
        <v/>
      </c>
      <c r="K391" s="4">
        <f t="array" ref="K391">IFERROR(INDEX(Unified_Matrix!$A:$ZZ,ROW(A388),MATCH("Evolution_Name",Unified_Matrix!$1:$1,0)),"")</f>
        <v/>
      </c>
      <c r="L391" s="4">
        <f>IF(J391="","",IF(J391=0,"",IF(J391=$AB$28,1,IF(J391=$AB$29,2,IF(J391=$AB$30,3,"")))))</f>
        <v/>
      </c>
      <c r="M391" s="4">
        <f t="array" ref="M391">IFERROR(INDEX(Unified_Matrix!$A:$ZZ,ROW(A388),MATCH("+ OVR",Unified_Matrix!$1:$1,0)),"")</f>
        <v/>
      </c>
      <c r="N391" s="4">
        <f t="array" ref="N391">IFERROR(INDEX(Unified_Matrix!$A:$ZZ,ROW(A388),MATCH("Max OVR",Unified_Matrix!$1:$1,0)),"")</f>
        <v/>
      </c>
      <c r="O391" s="4">
        <f t="array" ref="O391">IFERROR(INDEX(Unified_Matrix!$A:$ZZ,ROW(A388),MATCH("Req_Position",Unified_Matrix!$1:$1,0)),"")</f>
        <v/>
      </c>
      <c r="P391" s="4">
        <f t="array" ref="P391">IFERROR(INDEX(Unified_Matrix!$A:$ZZ,ROW(A388),MATCH("Req_OVR_Max",Unified_Matrix!$1:$1,0)),"")</f>
        <v/>
      </c>
      <c r="Q391" s="4">
        <f t="array" ref="Q391">IFERROR(INDEX(Unified_Matrix!$A:$ZZ,ROW(A388),MATCH("Req_Other",Unified_Matrix!$1:$1,0)),"")</f>
        <v/>
      </c>
    </row>
    <row r="392" hidden="1">
      <c r="J392" s="4">
        <f t="array" ref="J392">IFERROR(INDEX(Unified_Matrix!$A:$ZZ,ROW(A389),MATCH("Max "&amp;$J$9,Unified_Matrix!$1:$1,0)),"")</f>
        <v/>
      </c>
      <c r="K392" s="4">
        <f t="array" ref="K392">IFERROR(INDEX(Unified_Matrix!$A:$ZZ,ROW(A389),MATCH("Evolution_Name",Unified_Matrix!$1:$1,0)),"")</f>
        <v/>
      </c>
      <c r="L392" s="4">
        <f>IF(J392="","",IF(J392=0,"",IF(J392=$AB$28,1,IF(J392=$AB$29,2,IF(J392=$AB$30,3,"")))))</f>
        <v/>
      </c>
      <c r="M392" s="4">
        <f t="array" ref="M392">IFERROR(INDEX(Unified_Matrix!$A:$ZZ,ROW(A389),MATCH("+ OVR",Unified_Matrix!$1:$1,0)),"")</f>
        <v/>
      </c>
      <c r="N392" s="4">
        <f t="array" ref="N392">IFERROR(INDEX(Unified_Matrix!$A:$ZZ,ROW(A389),MATCH("Max OVR",Unified_Matrix!$1:$1,0)),"")</f>
        <v/>
      </c>
      <c r="O392" s="4">
        <f t="array" ref="O392">IFERROR(INDEX(Unified_Matrix!$A:$ZZ,ROW(A389),MATCH("Req_Position",Unified_Matrix!$1:$1,0)),"")</f>
        <v/>
      </c>
      <c r="P392" s="4">
        <f t="array" ref="P392">IFERROR(INDEX(Unified_Matrix!$A:$ZZ,ROW(A389),MATCH("Req_OVR_Max",Unified_Matrix!$1:$1,0)),"")</f>
        <v/>
      </c>
      <c r="Q392" s="4">
        <f t="array" ref="Q392">IFERROR(INDEX(Unified_Matrix!$A:$ZZ,ROW(A389),MATCH("Req_Other",Unified_Matrix!$1:$1,0)),"")</f>
        <v/>
      </c>
    </row>
    <row r="393" hidden="1">
      <c r="J393" s="4">
        <f t="array" ref="J393">IFERROR(INDEX(Unified_Matrix!$A:$ZZ,ROW(A390),MATCH("Max "&amp;$J$9,Unified_Matrix!$1:$1,0)),"")</f>
        <v/>
      </c>
      <c r="K393" s="4">
        <f t="array" ref="K393">IFERROR(INDEX(Unified_Matrix!$A:$ZZ,ROW(A390),MATCH("Evolution_Name",Unified_Matrix!$1:$1,0)),"")</f>
        <v/>
      </c>
      <c r="L393" s="4">
        <f>IF(J393="","",IF(J393=0,"",IF(J393=$AB$28,1,IF(J393=$AB$29,2,IF(J393=$AB$30,3,"")))))</f>
        <v/>
      </c>
      <c r="M393" s="4">
        <f t="array" ref="M393">IFERROR(INDEX(Unified_Matrix!$A:$ZZ,ROW(A390),MATCH("+ OVR",Unified_Matrix!$1:$1,0)),"")</f>
        <v/>
      </c>
      <c r="N393" s="4">
        <f t="array" ref="N393">IFERROR(INDEX(Unified_Matrix!$A:$ZZ,ROW(A390),MATCH("Max OVR",Unified_Matrix!$1:$1,0)),"")</f>
        <v/>
      </c>
      <c r="O393" s="4">
        <f t="array" ref="O393">IFERROR(INDEX(Unified_Matrix!$A:$ZZ,ROW(A390),MATCH("Req_Position",Unified_Matrix!$1:$1,0)),"")</f>
        <v/>
      </c>
      <c r="P393" s="4">
        <f t="array" ref="P393">IFERROR(INDEX(Unified_Matrix!$A:$ZZ,ROW(A390),MATCH("Req_OVR_Max",Unified_Matrix!$1:$1,0)),"")</f>
        <v/>
      </c>
      <c r="Q393" s="4">
        <f t="array" ref="Q393">IFERROR(INDEX(Unified_Matrix!$A:$ZZ,ROW(A390),MATCH("Req_Other",Unified_Matrix!$1:$1,0)),"")</f>
        <v/>
      </c>
    </row>
    <row r="394" hidden="1">
      <c r="J394" s="4">
        <f t="array" ref="J394">IFERROR(INDEX(Unified_Matrix!$A:$ZZ,ROW(A391),MATCH("Max "&amp;$J$9,Unified_Matrix!$1:$1,0)),"")</f>
        <v/>
      </c>
      <c r="K394" s="4">
        <f t="array" ref="K394">IFERROR(INDEX(Unified_Matrix!$A:$ZZ,ROW(A391),MATCH("Evolution_Name",Unified_Matrix!$1:$1,0)),"")</f>
        <v/>
      </c>
      <c r="L394" s="4">
        <f>IF(J394="","",IF(J394=0,"",IF(J394=$AB$28,1,IF(J394=$AB$29,2,IF(J394=$AB$30,3,"")))))</f>
        <v/>
      </c>
      <c r="M394" s="4">
        <f t="array" ref="M394">IFERROR(INDEX(Unified_Matrix!$A:$ZZ,ROW(A391),MATCH("+ OVR",Unified_Matrix!$1:$1,0)),"")</f>
        <v/>
      </c>
      <c r="N394" s="4">
        <f t="array" ref="N394">IFERROR(INDEX(Unified_Matrix!$A:$ZZ,ROW(A391),MATCH("Max OVR",Unified_Matrix!$1:$1,0)),"")</f>
        <v/>
      </c>
      <c r="O394" s="4">
        <f t="array" ref="O394">IFERROR(INDEX(Unified_Matrix!$A:$ZZ,ROW(A391),MATCH("Req_Position",Unified_Matrix!$1:$1,0)),"")</f>
        <v/>
      </c>
      <c r="P394" s="4">
        <f t="array" ref="P394">IFERROR(INDEX(Unified_Matrix!$A:$ZZ,ROW(A391),MATCH("Req_OVR_Max",Unified_Matrix!$1:$1,0)),"")</f>
        <v/>
      </c>
      <c r="Q394" s="4">
        <f t="array" ref="Q394">IFERROR(INDEX(Unified_Matrix!$A:$ZZ,ROW(A391),MATCH("Req_Other",Unified_Matrix!$1:$1,0)),"")</f>
        <v/>
      </c>
    </row>
    <row r="395" hidden="1">
      <c r="J395" s="4">
        <f t="array" ref="J395">IFERROR(INDEX(Unified_Matrix!$A:$ZZ,ROW(A392),MATCH("Max "&amp;$J$9,Unified_Matrix!$1:$1,0)),"")</f>
        <v/>
      </c>
      <c r="K395" s="4">
        <f t="array" ref="K395">IFERROR(INDEX(Unified_Matrix!$A:$ZZ,ROW(A392),MATCH("Evolution_Name",Unified_Matrix!$1:$1,0)),"")</f>
        <v/>
      </c>
      <c r="L395" s="4">
        <f>IF(J395="","",IF(J395=0,"",IF(J395=$AB$28,1,IF(J395=$AB$29,2,IF(J395=$AB$30,3,"")))))</f>
        <v/>
      </c>
      <c r="M395" s="4">
        <f t="array" ref="M395">IFERROR(INDEX(Unified_Matrix!$A:$ZZ,ROW(A392),MATCH("+ OVR",Unified_Matrix!$1:$1,0)),"")</f>
        <v/>
      </c>
      <c r="N395" s="4">
        <f t="array" ref="N395">IFERROR(INDEX(Unified_Matrix!$A:$ZZ,ROW(A392),MATCH("Max OVR",Unified_Matrix!$1:$1,0)),"")</f>
        <v/>
      </c>
      <c r="O395" s="4">
        <f t="array" ref="O395">IFERROR(INDEX(Unified_Matrix!$A:$ZZ,ROW(A392),MATCH("Req_Position",Unified_Matrix!$1:$1,0)),"")</f>
        <v/>
      </c>
      <c r="P395" s="4">
        <f t="array" ref="P395">IFERROR(INDEX(Unified_Matrix!$A:$ZZ,ROW(A392),MATCH("Req_OVR_Max",Unified_Matrix!$1:$1,0)),"")</f>
        <v/>
      </c>
      <c r="Q395" s="4">
        <f t="array" ref="Q395">IFERROR(INDEX(Unified_Matrix!$A:$ZZ,ROW(A392),MATCH("Req_Other",Unified_Matrix!$1:$1,0)),"")</f>
        <v/>
      </c>
    </row>
    <row r="396" hidden="1">
      <c r="J396" s="4">
        <f t="array" ref="J396">IFERROR(INDEX(Unified_Matrix!$A:$ZZ,ROW(A393),MATCH("Max "&amp;$J$9,Unified_Matrix!$1:$1,0)),"")</f>
        <v/>
      </c>
      <c r="K396" s="4">
        <f t="array" ref="K396">IFERROR(INDEX(Unified_Matrix!$A:$ZZ,ROW(A393),MATCH("Evolution_Name",Unified_Matrix!$1:$1,0)),"")</f>
        <v/>
      </c>
      <c r="L396" s="4">
        <f>IF(J396="","",IF(J396=0,"",IF(J396=$AB$28,1,IF(J396=$AB$29,2,IF(J396=$AB$30,3,"")))))</f>
        <v/>
      </c>
      <c r="M396" s="4">
        <f t="array" ref="M396">IFERROR(INDEX(Unified_Matrix!$A:$ZZ,ROW(A393),MATCH("+ OVR",Unified_Matrix!$1:$1,0)),"")</f>
        <v/>
      </c>
      <c r="N396" s="4">
        <f t="array" ref="N396">IFERROR(INDEX(Unified_Matrix!$A:$ZZ,ROW(A393),MATCH("Max OVR",Unified_Matrix!$1:$1,0)),"")</f>
        <v/>
      </c>
      <c r="O396" s="4">
        <f t="array" ref="O396">IFERROR(INDEX(Unified_Matrix!$A:$ZZ,ROW(A393),MATCH("Req_Position",Unified_Matrix!$1:$1,0)),"")</f>
        <v/>
      </c>
      <c r="P396" s="4">
        <f t="array" ref="P396">IFERROR(INDEX(Unified_Matrix!$A:$ZZ,ROW(A393),MATCH("Req_OVR_Max",Unified_Matrix!$1:$1,0)),"")</f>
        <v/>
      </c>
      <c r="Q396" s="4">
        <f t="array" ref="Q396">IFERROR(INDEX(Unified_Matrix!$A:$ZZ,ROW(A393),MATCH("Req_Other",Unified_Matrix!$1:$1,0)),"")</f>
        <v/>
      </c>
    </row>
    <row r="397" hidden="1">
      <c r="J397" s="4">
        <f t="array" ref="J397">IFERROR(INDEX(Unified_Matrix!$A:$ZZ,ROW(A394),MATCH("Max "&amp;$J$9,Unified_Matrix!$1:$1,0)),"")</f>
        <v/>
      </c>
      <c r="K397" s="4">
        <f t="array" ref="K397">IFERROR(INDEX(Unified_Matrix!$A:$ZZ,ROW(A394),MATCH("Evolution_Name",Unified_Matrix!$1:$1,0)),"")</f>
        <v/>
      </c>
      <c r="L397" s="4">
        <f>IF(J397="","",IF(J397=0,"",IF(J397=$AB$28,1,IF(J397=$AB$29,2,IF(J397=$AB$30,3,"")))))</f>
        <v/>
      </c>
      <c r="M397" s="4">
        <f t="array" ref="M397">IFERROR(INDEX(Unified_Matrix!$A:$ZZ,ROW(A394),MATCH("+ OVR",Unified_Matrix!$1:$1,0)),"")</f>
        <v/>
      </c>
      <c r="N397" s="4">
        <f t="array" ref="N397">IFERROR(INDEX(Unified_Matrix!$A:$ZZ,ROW(A394),MATCH("Max OVR",Unified_Matrix!$1:$1,0)),"")</f>
        <v/>
      </c>
      <c r="O397" s="4">
        <f t="array" ref="O397">IFERROR(INDEX(Unified_Matrix!$A:$ZZ,ROW(A394),MATCH("Req_Position",Unified_Matrix!$1:$1,0)),"")</f>
        <v/>
      </c>
      <c r="P397" s="4">
        <f t="array" ref="P397">IFERROR(INDEX(Unified_Matrix!$A:$ZZ,ROW(A394),MATCH("Req_OVR_Max",Unified_Matrix!$1:$1,0)),"")</f>
        <v/>
      </c>
      <c r="Q397" s="4">
        <f t="array" ref="Q397">IFERROR(INDEX(Unified_Matrix!$A:$ZZ,ROW(A394),MATCH("Req_Other",Unified_Matrix!$1:$1,0)),"")</f>
        <v/>
      </c>
    </row>
    <row r="398" hidden="1">
      <c r="J398" s="4">
        <f t="array" ref="J398">IFERROR(INDEX(Unified_Matrix!$A:$ZZ,ROW(A395),MATCH("Max "&amp;$J$9,Unified_Matrix!$1:$1,0)),"")</f>
        <v/>
      </c>
      <c r="K398" s="4">
        <f t="array" ref="K398">IFERROR(INDEX(Unified_Matrix!$A:$ZZ,ROW(A395),MATCH("Evolution_Name",Unified_Matrix!$1:$1,0)),"")</f>
        <v/>
      </c>
      <c r="L398" s="4">
        <f>IF(J398="","",IF(J398=0,"",IF(J398=$AB$28,1,IF(J398=$AB$29,2,IF(J398=$AB$30,3,"")))))</f>
        <v/>
      </c>
      <c r="M398" s="4">
        <f t="array" ref="M398">IFERROR(INDEX(Unified_Matrix!$A:$ZZ,ROW(A395),MATCH("+ OVR",Unified_Matrix!$1:$1,0)),"")</f>
        <v/>
      </c>
      <c r="N398" s="4">
        <f t="array" ref="N398">IFERROR(INDEX(Unified_Matrix!$A:$ZZ,ROW(A395),MATCH("Max OVR",Unified_Matrix!$1:$1,0)),"")</f>
        <v/>
      </c>
      <c r="O398" s="4">
        <f t="array" ref="O398">IFERROR(INDEX(Unified_Matrix!$A:$ZZ,ROW(A395),MATCH("Req_Position",Unified_Matrix!$1:$1,0)),"")</f>
        <v/>
      </c>
      <c r="P398" s="4">
        <f t="array" ref="P398">IFERROR(INDEX(Unified_Matrix!$A:$ZZ,ROW(A395),MATCH("Req_OVR_Max",Unified_Matrix!$1:$1,0)),"")</f>
        <v/>
      </c>
      <c r="Q398" s="4">
        <f t="array" ref="Q398">IFERROR(INDEX(Unified_Matrix!$A:$ZZ,ROW(A395),MATCH("Req_Other",Unified_Matrix!$1:$1,0)),"")</f>
        <v/>
      </c>
    </row>
    <row r="399" hidden="1">
      <c r="J399" s="4">
        <f t="array" ref="J399">IFERROR(INDEX(Unified_Matrix!$A:$ZZ,ROW(A396),MATCH("Max "&amp;$J$9,Unified_Matrix!$1:$1,0)),"")</f>
        <v/>
      </c>
      <c r="K399" s="4">
        <f t="array" ref="K399">IFERROR(INDEX(Unified_Matrix!$A:$ZZ,ROW(A396),MATCH("Evolution_Name",Unified_Matrix!$1:$1,0)),"")</f>
        <v/>
      </c>
      <c r="L399" s="4">
        <f>IF(J399="","",IF(J399=0,"",IF(J399=$AB$28,1,IF(J399=$AB$29,2,IF(J399=$AB$30,3,"")))))</f>
        <v/>
      </c>
      <c r="M399" s="4">
        <f t="array" ref="M399">IFERROR(INDEX(Unified_Matrix!$A:$ZZ,ROW(A396),MATCH("+ OVR",Unified_Matrix!$1:$1,0)),"")</f>
        <v/>
      </c>
      <c r="N399" s="4">
        <f t="array" ref="N399">IFERROR(INDEX(Unified_Matrix!$A:$ZZ,ROW(A396),MATCH("Max OVR",Unified_Matrix!$1:$1,0)),"")</f>
        <v/>
      </c>
      <c r="O399" s="4">
        <f t="array" ref="O399">IFERROR(INDEX(Unified_Matrix!$A:$ZZ,ROW(A396),MATCH("Req_Position",Unified_Matrix!$1:$1,0)),"")</f>
        <v/>
      </c>
      <c r="P399" s="4">
        <f t="array" ref="P399">IFERROR(INDEX(Unified_Matrix!$A:$ZZ,ROW(A396),MATCH("Req_OVR_Max",Unified_Matrix!$1:$1,0)),"")</f>
        <v/>
      </c>
      <c r="Q399" s="4">
        <f t="array" ref="Q399">IFERROR(INDEX(Unified_Matrix!$A:$ZZ,ROW(A396),MATCH("Req_Other",Unified_Matrix!$1:$1,0)),"")</f>
        <v/>
      </c>
    </row>
    <row r="400" hidden="1">
      <c r="J400" s="4">
        <f t="array" ref="J400">IFERROR(INDEX(Unified_Matrix!$A:$ZZ,ROW(A397),MATCH("Max "&amp;$J$9,Unified_Matrix!$1:$1,0)),"")</f>
        <v/>
      </c>
      <c r="K400" s="4">
        <f t="array" ref="K400">IFERROR(INDEX(Unified_Matrix!$A:$ZZ,ROW(A397),MATCH("Evolution_Name",Unified_Matrix!$1:$1,0)),"")</f>
        <v/>
      </c>
      <c r="L400" s="4">
        <f>IF(J400="","",IF(J400=0,"",IF(J400=$AB$28,1,IF(J400=$AB$29,2,IF(J400=$AB$30,3,"")))))</f>
        <v/>
      </c>
      <c r="M400" s="4">
        <f t="array" ref="M400">IFERROR(INDEX(Unified_Matrix!$A:$ZZ,ROW(A397),MATCH("+ OVR",Unified_Matrix!$1:$1,0)),"")</f>
        <v/>
      </c>
      <c r="N400" s="4">
        <f t="array" ref="N400">IFERROR(INDEX(Unified_Matrix!$A:$ZZ,ROW(A397),MATCH("Max OVR",Unified_Matrix!$1:$1,0)),"")</f>
        <v/>
      </c>
      <c r="O400" s="4">
        <f t="array" ref="O400">IFERROR(INDEX(Unified_Matrix!$A:$ZZ,ROW(A397),MATCH("Req_Position",Unified_Matrix!$1:$1,0)),"")</f>
        <v/>
      </c>
      <c r="P400" s="4">
        <f t="array" ref="P400">IFERROR(INDEX(Unified_Matrix!$A:$ZZ,ROW(A397),MATCH("Req_OVR_Max",Unified_Matrix!$1:$1,0)),"")</f>
        <v/>
      </c>
      <c r="Q400" s="4">
        <f t="array" ref="Q400">IFERROR(INDEX(Unified_Matrix!$A:$ZZ,ROW(A397),MATCH("Req_Other",Unified_Matrix!$1:$1,0)),"")</f>
        <v/>
      </c>
    </row>
    <row r="401" hidden="1">
      <c r="J401" s="4">
        <f t="array" ref="J401">IFERROR(INDEX(Unified_Matrix!$A:$ZZ,ROW(A398),MATCH("Max "&amp;$J$9,Unified_Matrix!$1:$1,0)),"")</f>
        <v/>
      </c>
      <c r="K401" s="4">
        <f t="array" ref="K401">IFERROR(INDEX(Unified_Matrix!$A:$ZZ,ROW(A398),MATCH("Evolution_Name",Unified_Matrix!$1:$1,0)),"")</f>
        <v/>
      </c>
      <c r="L401" s="4">
        <f>IF(J401="","",IF(J401=0,"",IF(J401=$AB$28,1,IF(J401=$AB$29,2,IF(J401=$AB$30,3,"")))))</f>
        <v/>
      </c>
      <c r="M401" s="4">
        <f t="array" ref="M401">IFERROR(INDEX(Unified_Matrix!$A:$ZZ,ROW(A398),MATCH("+ OVR",Unified_Matrix!$1:$1,0)),"")</f>
        <v/>
      </c>
      <c r="N401" s="4">
        <f t="array" ref="N401">IFERROR(INDEX(Unified_Matrix!$A:$ZZ,ROW(A398),MATCH("Max OVR",Unified_Matrix!$1:$1,0)),"")</f>
        <v/>
      </c>
      <c r="O401" s="4">
        <f t="array" ref="O401">IFERROR(INDEX(Unified_Matrix!$A:$ZZ,ROW(A398),MATCH("Req_Position",Unified_Matrix!$1:$1,0)),"")</f>
        <v/>
      </c>
      <c r="P401" s="4">
        <f t="array" ref="P401">IFERROR(INDEX(Unified_Matrix!$A:$ZZ,ROW(A398),MATCH("Req_OVR_Max",Unified_Matrix!$1:$1,0)),"")</f>
        <v/>
      </c>
      <c r="Q401" s="4">
        <f t="array" ref="Q401">IFERROR(INDEX(Unified_Matrix!$A:$ZZ,ROW(A398),MATCH("Req_Other",Unified_Matrix!$1:$1,0)),"")</f>
        <v/>
      </c>
    </row>
    <row r="402" hidden="1">
      <c r="J402" s="4">
        <f t="array" ref="J402">IFERROR(INDEX(Unified_Matrix!$A:$ZZ,ROW(A399),MATCH("Max "&amp;$J$9,Unified_Matrix!$1:$1,0)),"")</f>
        <v/>
      </c>
      <c r="K402" s="4">
        <f t="array" ref="K402">IFERROR(INDEX(Unified_Matrix!$A:$ZZ,ROW(A399),MATCH("Evolution_Name",Unified_Matrix!$1:$1,0)),"")</f>
        <v/>
      </c>
      <c r="L402" s="4">
        <f>IF(J402="","",IF(J402=0,"",IF(J402=$AB$28,1,IF(J402=$AB$29,2,IF(J402=$AB$30,3,"")))))</f>
        <v/>
      </c>
      <c r="M402" s="4">
        <f t="array" ref="M402">IFERROR(INDEX(Unified_Matrix!$A:$ZZ,ROW(A399),MATCH("+ OVR",Unified_Matrix!$1:$1,0)),"")</f>
        <v/>
      </c>
      <c r="N402" s="4">
        <f t="array" ref="N402">IFERROR(INDEX(Unified_Matrix!$A:$ZZ,ROW(A399),MATCH("Max OVR",Unified_Matrix!$1:$1,0)),"")</f>
        <v/>
      </c>
      <c r="O402" s="4">
        <f t="array" ref="O402">IFERROR(INDEX(Unified_Matrix!$A:$ZZ,ROW(A399),MATCH("Req_Position",Unified_Matrix!$1:$1,0)),"")</f>
        <v/>
      </c>
      <c r="P402" s="4">
        <f t="array" ref="P402">IFERROR(INDEX(Unified_Matrix!$A:$ZZ,ROW(A399),MATCH("Req_OVR_Max",Unified_Matrix!$1:$1,0)),"")</f>
        <v/>
      </c>
      <c r="Q402" s="4">
        <f t="array" ref="Q402">IFERROR(INDEX(Unified_Matrix!$A:$ZZ,ROW(A399),MATCH("Req_Other",Unified_Matrix!$1:$1,0)),"")</f>
        <v/>
      </c>
    </row>
    <row r="403" hidden="1">
      <c r="J403" s="4">
        <f t="array" ref="J403">IFERROR(INDEX(Unified_Matrix!$A:$ZZ,ROW(A400),MATCH("Max "&amp;$J$9,Unified_Matrix!$1:$1,0)),"")</f>
        <v/>
      </c>
      <c r="K403" s="4">
        <f t="array" ref="K403">IFERROR(INDEX(Unified_Matrix!$A:$ZZ,ROW(A400),MATCH("Evolution_Name",Unified_Matrix!$1:$1,0)),"")</f>
        <v/>
      </c>
      <c r="L403" s="4">
        <f>IF(J403="","",IF(J403=0,"",IF(J403=$AB$28,1,IF(J403=$AB$29,2,IF(J403=$AB$30,3,"")))))</f>
        <v/>
      </c>
      <c r="M403" s="4">
        <f t="array" ref="M403">IFERROR(INDEX(Unified_Matrix!$A:$ZZ,ROW(A400),MATCH("+ OVR",Unified_Matrix!$1:$1,0)),"")</f>
        <v/>
      </c>
      <c r="N403" s="4">
        <f t="array" ref="N403">IFERROR(INDEX(Unified_Matrix!$A:$ZZ,ROW(A400),MATCH("Max OVR",Unified_Matrix!$1:$1,0)),"")</f>
        <v/>
      </c>
      <c r="O403" s="4">
        <f t="array" ref="O403">IFERROR(INDEX(Unified_Matrix!$A:$ZZ,ROW(A400),MATCH("Req_Position",Unified_Matrix!$1:$1,0)),"")</f>
        <v/>
      </c>
      <c r="P403" s="4">
        <f t="array" ref="P403">IFERROR(INDEX(Unified_Matrix!$A:$ZZ,ROW(A400),MATCH("Req_OVR_Max",Unified_Matrix!$1:$1,0)),"")</f>
        <v/>
      </c>
      <c r="Q403" s="4">
        <f t="array" ref="Q403">IFERROR(INDEX(Unified_Matrix!$A:$ZZ,ROW(A400),MATCH("Req_Other",Unified_Matrix!$1:$1,0)),"")</f>
        <v/>
      </c>
    </row>
    <row r="404" hidden="1">
      <c r="J404" s="4">
        <f t="array" ref="J404">IFERROR(INDEX(Unified_Matrix!$A:$ZZ,ROW(A401),MATCH("Max "&amp;$J$9,Unified_Matrix!$1:$1,0)),"")</f>
        <v/>
      </c>
      <c r="K404" s="4">
        <f t="array" ref="K404">IFERROR(INDEX(Unified_Matrix!$A:$ZZ,ROW(A401),MATCH("Evolution_Name",Unified_Matrix!$1:$1,0)),"")</f>
        <v/>
      </c>
      <c r="L404" s="4">
        <f>IF(J404="","",IF(J404=0,"",IF(J404=$AB$28,1,IF(J404=$AB$29,2,IF(J404=$AB$30,3,"")))))</f>
        <v/>
      </c>
      <c r="M404" s="4">
        <f t="array" ref="M404">IFERROR(INDEX(Unified_Matrix!$A:$ZZ,ROW(A401),MATCH("+ OVR",Unified_Matrix!$1:$1,0)),"")</f>
        <v/>
      </c>
      <c r="N404" s="4">
        <f t="array" ref="N404">IFERROR(INDEX(Unified_Matrix!$A:$ZZ,ROW(A401),MATCH("Max OVR",Unified_Matrix!$1:$1,0)),"")</f>
        <v/>
      </c>
      <c r="O404" s="4">
        <f t="array" ref="O404">IFERROR(INDEX(Unified_Matrix!$A:$ZZ,ROW(A401),MATCH("Req_Position",Unified_Matrix!$1:$1,0)),"")</f>
        <v/>
      </c>
      <c r="P404" s="4">
        <f t="array" ref="P404">IFERROR(INDEX(Unified_Matrix!$A:$ZZ,ROW(A401),MATCH("Req_OVR_Max",Unified_Matrix!$1:$1,0)),"")</f>
        <v/>
      </c>
      <c r="Q404" s="4">
        <f t="array" ref="Q404">IFERROR(INDEX(Unified_Matrix!$A:$ZZ,ROW(A401),MATCH("Req_Other",Unified_Matrix!$1:$1,0)),"")</f>
        <v/>
      </c>
    </row>
    <row r="405" hidden="1">
      <c r="J405" s="4">
        <f t="array" ref="J405">IFERROR(INDEX(Unified_Matrix!$A:$ZZ,ROW(A402),MATCH("Max "&amp;$J$9,Unified_Matrix!$1:$1,0)),"")</f>
        <v/>
      </c>
      <c r="K405" s="4">
        <f t="array" ref="K405">IFERROR(INDEX(Unified_Matrix!$A:$ZZ,ROW(A402),MATCH("Evolution_Name",Unified_Matrix!$1:$1,0)),"")</f>
        <v/>
      </c>
      <c r="L405" s="4">
        <f>IF(J405="","",IF(J405=0,"",IF(J405=$AB$28,1,IF(J405=$AB$29,2,IF(J405=$AB$30,3,"")))))</f>
        <v/>
      </c>
      <c r="M405" s="4">
        <f t="array" ref="M405">IFERROR(INDEX(Unified_Matrix!$A:$ZZ,ROW(A402),MATCH("+ OVR",Unified_Matrix!$1:$1,0)),"")</f>
        <v/>
      </c>
      <c r="N405" s="4">
        <f t="array" ref="N405">IFERROR(INDEX(Unified_Matrix!$A:$ZZ,ROW(A402),MATCH("Max OVR",Unified_Matrix!$1:$1,0)),"")</f>
        <v/>
      </c>
      <c r="O405" s="4">
        <f t="array" ref="O405">IFERROR(INDEX(Unified_Matrix!$A:$ZZ,ROW(A402),MATCH("Req_Position",Unified_Matrix!$1:$1,0)),"")</f>
        <v/>
      </c>
      <c r="P405" s="4">
        <f t="array" ref="P405">IFERROR(INDEX(Unified_Matrix!$A:$ZZ,ROW(A402),MATCH("Req_OVR_Max",Unified_Matrix!$1:$1,0)),"")</f>
        <v/>
      </c>
      <c r="Q405" s="4">
        <f t="array" ref="Q405">IFERROR(INDEX(Unified_Matrix!$A:$ZZ,ROW(A402),MATCH("Req_Other",Unified_Matrix!$1:$1,0)),"")</f>
        <v/>
      </c>
    </row>
    <row r="406" hidden="1">
      <c r="J406" s="4">
        <f t="array" ref="J406">IFERROR(INDEX(Unified_Matrix!$A:$ZZ,ROW(A403),MATCH("Max "&amp;$J$9,Unified_Matrix!$1:$1,0)),"")</f>
        <v/>
      </c>
      <c r="K406" s="4">
        <f t="array" ref="K406">IFERROR(INDEX(Unified_Matrix!$A:$ZZ,ROW(A403),MATCH("Evolution_Name",Unified_Matrix!$1:$1,0)),"")</f>
        <v/>
      </c>
      <c r="L406" s="4">
        <f>IF(J406="","",IF(J406=0,"",IF(J406=$AB$28,1,IF(J406=$AB$29,2,IF(J406=$AB$30,3,"")))))</f>
        <v/>
      </c>
      <c r="M406" s="4">
        <f t="array" ref="M406">IFERROR(INDEX(Unified_Matrix!$A:$ZZ,ROW(A403),MATCH("+ OVR",Unified_Matrix!$1:$1,0)),"")</f>
        <v/>
      </c>
      <c r="N406" s="4">
        <f t="array" ref="N406">IFERROR(INDEX(Unified_Matrix!$A:$ZZ,ROW(A403),MATCH("Max OVR",Unified_Matrix!$1:$1,0)),"")</f>
        <v/>
      </c>
      <c r="O406" s="4">
        <f t="array" ref="O406">IFERROR(INDEX(Unified_Matrix!$A:$ZZ,ROW(A403),MATCH("Req_Position",Unified_Matrix!$1:$1,0)),"")</f>
        <v/>
      </c>
      <c r="P406" s="4">
        <f t="array" ref="P406">IFERROR(INDEX(Unified_Matrix!$A:$ZZ,ROW(A403),MATCH("Req_OVR_Max",Unified_Matrix!$1:$1,0)),"")</f>
        <v/>
      </c>
      <c r="Q406" s="4">
        <f t="array" ref="Q406">IFERROR(INDEX(Unified_Matrix!$A:$ZZ,ROW(A403),MATCH("Req_Other",Unified_Matrix!$1:$1,0)),"")</f>
        <v/>
      </c>
    </row>
    <row r="407" hidden="1">
      <c r="J407" s="4">
        <f t="array" ref="J407">IFERROR(INDEX(Unified_Matrix!$A:$ZZ,ROW(A404),MATCH("Max "&amp;$J$9,Unified_Matrix!$1:$1,0)),"")</f>
        <v/>
      </c>
      <c r="K407" s="4">
        <f t="array" ref="K407">IFERROR(INDEX(Unified_Matrix!$A:$ZZ,ROW(A404),MATCH("Evolution_Name",Unified_Matrix!$1:$1,0)),"")</f>
        <v/>
      </c>
      <c r="L407" s="4">
        <f>IF(J407="","",IF(J407=0,"",IF(J407=$AB$28,1,IF(J407=$AB$29,2,IF(J407=$AB$30,3,"")))))</f>
        <v/>
      </c>
      <c r="M407" s="4">
        <f t="array" ref="M407">IFERROR(INDEX(Unified_Matrix!$A:$ZZ,ROW(A404),MATCH("+ OVR",Unified_Matrix!$1:$1,0)),"")</f>
        <v/>
      </c>
      <c r="N407" s="4">
        <f t="array" ref="N407">IFERROR(INDEX(Unified_Matrix!$A:$ZZ,ROW(A404),MATCH("Max OVR",Unified_Matrix!$1:$1,0)),"")</f>
        <v/>
      </c>
      <c r="O407" s="4">
        <f t="array" ref="O407">IFERROR(INDEX(Unified_Matrix!$A:$ZZ,ROW(A404),MATCH("Req_Position",Unified_Matrix!$1:$1,0)),"")</f>
        <v/>
      </c>
      <c r="P407" s="4">
        <f t="array" ref="P407">IFERROR(INDEX(Unified_Matrix!$A:$ZZ,ROW(A404),MATCH("Req_OVR_Max",Unified_Matrix!$1:$1,0)),"")</f>
        <v/>
      </c>
      <c r="Q407" s="4">
        <f t="array" ref="Q407">IFERROR(INDEX(Unified_Matrix!$A:$ZZ,ROW(A404),MATCH("Req_Other",Unified_Matrix!$1:$1,0)),"")</f>
        <v/>
      </c>
    </row>
    <row r="408" hidden="1">
      <c r="J408" s="4">
        <f t="array" ref="J408">IFERROR(INDEX(Unified_Matrix!$A:$ZZ,ROW(A405),MATCH("Max "&amp;$J$9,Unified_Matrix!$1:$1,0)),"")</f>
        <v/>
      </c>
      <c r="K408" s="4">
        <f t="array" ref="K408">IFERROR(INDEX(Unified_Matrix!$A:$ZZ,ROW(A405),MATCH("Evolution_Name",Unified_Matrix!$1:$1,0)),"")</f>
        <v/>
      </c>
      <c r="L408" s="4">
        <f>IF(J408="","",IF(J408=0,"",IF(J408=$AB$28,1,IF(J408=$AB$29,2,IF(J408=$AB$30,3,"")))))</f>
        <v/>
      </c>
      <c r="M408" s="4">
        <f t="array" ref="M408">IFERROR(INDEX(Unified_Matrix!$A:$ZZ,ROW(A405),MATCH("+ OVR",Unified_Matrix!$1:$1,0)),"")</f>
        <v/>
      </c>
      <c r="N408" s="4">
        <f t="array" ref="N408">IFERROR(INDEX(Unified_Matrix!$A:$ZZ,ROW(A405),MATCH("Max OVR",Unified_Matrix!$1:$1,0)),"")</f>
        <v/>
      </c>
      <c r="O408" s="4">
        <f t="array" ref="O408">IFERROR(INDEX(Unified_Matrix!$A:$ZZ,ROW(A405),MATCH("Req_Position",Unified_Matrix!$1:$1,0)),"")</f>
        <v/>
      </c>
      <c r="P408" s="4">
        <f t="array" ref="P408">IFERROR(INDEX(Unified_Matrix!$A:$ZZ,ROW(A405),MATCH("Req_OVR_Max",Unified_Matrix!$1:$1,0)),"")</f>
        <v/>
      </c>
      <c r="Q408" s="4">
        <f t="array" ref="Q408">IFERROR(INDEX(Unified_Matrix!$A:$ZZ,ROW(A405),MATCH("Req_Other",Unified_Matrix!$1:$1,0)),"")</f>
        <v/>
      </c>
    </row>
    <row r="409" hidden="1">
      <c r="J409" s="4">
        <f t="array" ref="J409">IFERROR(INDEX(Unified_Matrix!$A:$ZZ,ROW(A406),MATCH("Max "&amp;$J$9,Unified_Matrix!$1:$1,0)),"")</f>
        <v/>
      </c>
      <c r="K409" s="4">
        <f t="array" ref="K409">IFERROR(INDEX(Unified_Matrix!$A:$ZZ,ROW(A406),MATCH("Evolution_Name",Unified_Matrix!$1:$1,0)),"")</f>
        <v/>
      </c>
      <c r="L409" s="4">
        <f>IF(J409="","",IF(J409=0,"",IF(J409=$AB$28,1,IF(J409=$AB$29,2,IF(J409=$AB$30,3,"")))))</f>
        <v/>
      </c>
      <c r="M409" s="4">
        <f t="array" ref="M409">IFERROR(INDEX(Unified_Matrix!$A:$ZZ,ROW(A406),MATCH("+ OVR",Unified_Matrix!$1:$1,0)),"")</f>
        <v/>
      </c>
      <c r="N409" s="4">
        <f t="array" ref="N409">IFERROR(INDEX(Unified_Matrix!$A:$ZZ,ROW(A406),MATCH("Max OVR",Unified_Matrix!$1:$1,0)),"")</f>
        <v/>
      </c>
      <c r="O409" s="4">
        <f t="array" ref="O409">IFERROR(INDEX(Unified_Matrix!$A:$ZZ,ROW(A406),MATCH("Req_Position",Unified_Matrix!$1:$1,0)),"")</f>
        <v/>
      </c>
      <c r="P409" s="4">
        <f t="array" ref="P409">IFERROR(INDEX(Unified_Matrix!$A:$ZZ,ROW(A406),MATCH("Req_OVR_Max",Unified_Matrix!$1:$1,0)),"")</f>
        <v/>
      </c>
      <c r="Q409" s="4">
        <f t="array" ref="Q409">IFERROR(INDEX(Unified_Matrix!$A:$ZZ,ROW(A406),MATCH("Req_Other",Unified_Matrix!$1:$1,0)),"")</f>
        <v/>
      </c>
    </row>
    <row r="410" hidden="1">
      <c r="J410" s="4">
        <f t="array" ref="J410">IFERROR(INDEX(Unified_Matrix!$A:$ZZ,ROW(A407),MATCH("Max "&amp;$J$9,Unified_Matrix!$1:$1,0)),"")</f>
        <v/>
      </c>
      <c r="K410" s="4">
        <f t="array" ref="K410">IFERROR(INDEX(Unified_Matrix!$A:$ZZ,ROW(A407),MATCH("Evolution_Name",Unified_Matrix!$1:$1,0)),"")</f>
        <v/>
      </c>
      <c r="L410" s="4">
        <f>IF(J410="","",IF(J410=0,"",IF(J410=$AB$28,1,IF(J410=$AB$29,2,IF(J410=$AB$30,3,"")))))</f>
        <v/>
      </c>
      <c r="M410" s="4">
        <f t="array" ref="M410">IFERROR(INDEX(Unified_Matrix!$A:$ZZ,ROW(A407),MATCH("+ OVR",Unified_Matrix!$1:$1,0)),"")</f>
        <v/>
      </c>
      <c r="N410" s="4">
        <f t="array" ref="N410">IFERROR(INDEX(Unified_Matrix!$A:$ZZ,ROW(A407),MATCH("Max OVR",Unified_Matrix!$1:$1,0)),"")</f>
        <v/>
      </c>
      <c r="O410" s="4">
        <f t="array" ref="O410">IFERROR(INDEX(Unified_Matrix!$A:$ZZ,ROW(A407),MATCH("Req_Position",Unified_Matrix!$1:$1,0)),"")</f>
        <v/>
      </c>
      <c r="P410" s="4">
        <f t="array" ref="P410">IFERROR(INDEX(Unified_Matrix!$A:$ZZ,ROW(A407),MATCH("Req_OVR_Max",Unified_Matrix!$1:$1,0)),"")</f>
        <v/>
      </c>
      <c r="Q410" s="4">
        <f t="array" ref="Q410">IFERROR(INDEX(Unified_Matrix!$A:$ZZ,ROW(A407),MATCH("Req_Other",Unified_Matrix!$1:$1,0)),"")</f>
        <v/>
      </c>
    </row>
    <row r="411" hidden="1">
      <c r="J411" s="4">
        <f t="array" ref="J411">IFERROR(INDEX(Unified_Matrix!$A:$ZZ,ROW(A408),MATCH("Max "&amp;$J$9,Unified_Matrix!$1:$1,0)),"")</f>
        <v/>
      </c>
      <c r="K411" s="4">
        <f t="array" ref="K411">IFERROR(INDEX(Unified_Matrix!$A:$ZZ,ROW(A408),MATCH("Evolution_Name",Unified_Matrix!$1:$1,0)),"")</f>
        <v/>
      </c>
      <c r="L411" s="4">
        <f>IF(J411="","",IF(J411=0,"",IF(J411=$AB$28,1,IF(J411=$AB$29,2,IF(J411=$AB$30,3,"")))))</f>
        <v/>
      </c>
      <c r="M411" s="4">
        <f t="array" ref="M411">IFERROR(INDEX(Unified_Matrix!$A:$ZZ,ROW(A408),MATCH("+ OVR",Unified_Matrix!$1:$1,0)),"")</f>
        <v/>
      </c>
      <c r="N411" s="4">
        <f t="array" ref="N411">IFERROR(INDEX(Unified_Matrix!$A:$ZZ,ROW(A408),MATCH("Max OVR",Unified_Matrix!$1:$1,0)),"")</f>
        <v/>
      </c>
      <c r="O411" s="4">
        <f t="array" ref="O411">IFERROR(INDEX(Unified_Matrix!$A:$ZZ,ROW(A408),MATCH("Req_Position",Unified_Matrix!$1:$1,0)),"")</f>
        <v/>
      </c>
      <c r="P411" s="4">
        <f t="array" ref="P411">IFERROR(INDEX(Unified_Matrix!$A:$ZZ,ROW(A408),MATCH("Req_OVR_Max",Unified_Matrix!$1:$1,0)),"")</f>
        <v/>
      </c>
      <c r="Q411" s="4">
        <f t="array" ref="Q411">IFERROR(INDEX(Unified_Matrix!$A:$ZZ,ROW(A408),MATCH("Req_Other",Unified_Matrix!$1:$1,0)),"")</f>
        <v/>
      </c>
    </row>
    <row r="412" hidden="1">
      <c r="J412" s="4">
        <f t="array" ref="J412">IFERROR(INDEX(Unified_Matrix!$A:$ZZ,ROW(A409),MATCH("Max "&amp;$J$9,Unified_Matrix!$1:$1,0)),"")</f>
        <v/>
      </c>
      <c r="K412" s="4">
        <f t="array" ref="K412">IFERROR(INDEX(Unified_Matrix!$A:$ZZ,ROW(A409),MATCH("Evolution_Name",Unified_Matrix!$1:$1,0)),"")</f>
        <v/>
      </c>
      <c r="L412" s="4">
        <f>IF(J412="","",IF(J412=0,"",IF(J412=$AB$28,1,IF(J412=$AB$29,2,IF(J412=$AB$30,3,"")))))</f>
        <v/>
      </c>
      <c r="M412" s="4">
        <f t="array" ref="M412">IFERROR(INDEX(Unified_Matrix!$A:$ZZ,ROW(A409),MATCH("+ OVR",Unified_Matrix!$1:$1,0)),"")</f>
        <v/>
      </c>
      <c r="N412" s="4">
        <f t="array" ref="N412">IFERROR(INDEX(Unified_Matrix!$A:$ZZ,ROW(A409),MATCH("Max OVR",Unified_Matrix!$1:$1,0)),"")</f>
        <v/>
      </c>
      <c r="O412" s="4">
        <f t="array" ref="O412">IFERROR(INDEX(Unified_Matrix!$A:$ZZ,ROW(A409),MATCH("Req_Position",Unified_Matrix!$1:$1,0)),"")</f>
        <v/>
      </c>
      <c r="P412" s="4">
        <f t="array" ref="P412">IFERROR(INDEX(Unified_Matrix!$A:$ZZ,ROW(A409),MATCH("Req_OVR_Max",Unified_Matrix!$1:$1,0)),"")</f>
        <v/>
      </c>
      <c r="Q412" s="4">
        <f t="array" ref="Q412">IFERROR(INDEX(Unified_Matrix!$A:$ZZ,ROW(A409),MATCH("Req_Other",Unified_Matrix!$1:$1,0)),"")</f>
        <v/>
      </c>
    </row>
    <row r="413" hidden="1">
      <c r="J413" s="4">
        <f t="array" ref="J413">IFERROR(INDEX(Unified_Matrix!$A:$ZZ,ROW(A410),MATCH("Max "&amp;$J$9,Unified_Matrix!$1:$1,0)),"")</f>
        <v/>
      </c>
      <c r="K413" s="4">
        <f t="array" ref="K413">IFERROR(INDEX(Unified_Matrix!$A:$ZZ,ROW(A410),MATCH("Evolution_Name",Unified_Matrix!$1:$1,0)),"")</f>
        <v/>
      </c>
      <c r="L413" s="4">
        <f>IF(J413="","",IF(J413=0,"",IF(J413=$AB$28,1,IF(J413=$AB$29,2,IF(J413=$AB$30,3,"")))))</f>
        <v/>
      </c>
      <c r="M413" s="4">
        <f t="array" ref="M413">IFERROR(INDEX(Unified_Matrix!$A:$ZZ,ROW(A410),MATCH("+ OVR",Unified_Matrix!$1:$1,0)),"")</f>
        <v/>
      </c>
      <c r="N413" s="4">
        <f t="array" ref="N413">IFERROR(INDEX(Unified_Matrix!$A:$ZZ,ROW(A410),MATCH("Max OVR",Unified_Matrix!$1:$1,0)),"")</f>
        <v/>
      </c>
      <c r="O413" s="4">
        <f t="array" ref="O413">IFERROR(INDEX(Unified_Matrix!$A:$ZZ,ROW(A410),MATCH("Req_Position",Unified_Matrix!$1:$1,0)),"")</f>
        <v/>
      </c>
      <c r="P413" s="4">
        <f t="array" ref="P413">IFERROR(INDEX(Unified_Matrix!$A:$ZZ,ROW(A410),MATCH("Req_OVR_Max",Unified_Matrix!$1:$1,0)),"")</f>
        <v/>
      </c>
      <c r="Q413" s="4">
        <f t="array" ref="Q413">IFERROR(INDEX(Unified_Matrix!$A:$ZZ,ROW(A410),MATCH("Req_Other",Unified_Matrix!$1:$1,0)),"")</f>
        <v/>
      </c>
    </row>
    <row r="414" hidden="1">
      <c r="J414" s="4">
        <f t="array" ref="J414">IFERROR(INDEX(Unified_Matrix!$A:$ZZ,ROW(A411),MATCH("Max "&amp;$J$9,Unified_Matrix!$1:$1,0)),"")</f>
        <v/>
      </c>
      <c r="K414" s="4">
        <f t="array" ref="K414">IFERROR(INDEX(Unified_Matrix!$A:$ZZ,ROW(A411),MATCH("Evolution_Name",Unified_Matrix!$1:$1,0)),"")</f>
        <v/>
      </c>
      <c r="L414" s="4">
        <f>IF(J414="","",IF(J414=0,"",IF(J414=$AB$28,1,IF(J414=$AB$29,2,IF(J414=$AB$30,3,"")))))</f>
        <v/>
      </c>
      <c r="M414" s="4">
        <f t="array" ref="M414">IFERROR(INDEX(Unified_Matrix!$A:$ZZ,ROW(A411),MATCH("+ OVR",Unified_Matrix!$1:$1,0)),"")</f>
        <v/>
      </c>
      <c r="N414" s="4">
        <f t="array" ref="N414">IFERROR(INDEX(Unified_Matrix!$A:$ZZ,ROW(A411),MATCH("Max OVR",Unified_Matrix!$1:$1,0)),"")</f>
        <v/>
      </c>
      <c r="O414" s="4">
        <f t="array" ref="O414">IFERROR(INDEX(Unified_Matrix!$A:$ZZ,ROW(A411),MATCH("Req_Position",Unified_Matrix!$1:$1,0)),"")</f>
        <v/>
      </c>
      <c r="P414" s="4">
        <f t="array" ref="P414">IFERROR(INDEX(Unified_Matrix!$A:$ZZ,ROW(A411),MATCH("Req_OVR_Max",Unified_Matrix!$1:$1,0)),"")</f>
        <v/>
      </c>
      <c r="Q414" s="4">
        <f t="array" ref="Q414">IFERROR(INDEX(Unified_Matrix!$A:$ZZ,ROW(A411),MATCH("Req_Other",Unified_Matrix!$1:$1,0)),"")</f>
        <v/>
      </c>
    </row>
    <row r="415" hidden="1">
      <c r="J415" s="4">
        <f t="array" ref="J415">IFERROR(INDEX(Unified_Matrix!$A:$ZZ,ROW(A412),MATCH("Max "&amp;$J$9,Unified_Matrix!$1:$1,0)),"")</f>
        <v/>
      </c>
      <c r="K415" s="4">
        <f t="array" ref="K415">IFERROR(INDEX(Unified_Matrix!$A:$ZZ,ROW(A412),MATCH("Evolution_Name",Unified_Matrix!$1:$1,0)),"")</f>
        <v/>
      </c>
      <c r="L415" s="4">
        <f>IF(J415="","",IF(J415=0,"",IF(J415=$AB$28,1,IF(J415=$AB$29,2,IF(J415=$AB$30,3,"")))))</f>
        <v/>
      </c>
      <c r="M415" s="4">
        <f t="array" ref="M415">IFERROR(INDEX(Unified_Matrix!$A:$ZZ,ROW(A412),MATCH("+ OVR",Unified_Matrix!$1:$1,0)),"")</f>
        <v/>
      </c>
      <c r="N415" s="4">
        <f t="array" ref="N415">IFERROR(INDEX(Unified_Matrix!$A:$ZZ,ROW(A412),MATCH("Max OVR",Unified_Matrix!$1:$1,0)),"")</f>
        <v/>
      </c>
      <c r="O415" s="4">
        <f t="array" ref="O415">IFERROR(INDEX(Unified_Matrix!$A:$ZZ,ROW(A412),MATCH("Req_Position",Unified_Matrix!$1:$1,0)),"")</f>
        <v/>
      </c>
      <c r="P415" s="4">
        <f t="array" ref="P415">IFERROR(INDEX(Unified_Matrix!$A:$ZZ,ROW(A412),MATCH("Req_OVR_Max",Unified_Matrix!$1:$1,0)),"")</f>
        <v/>
      </c>
      <c r="Q415" s="4">
        <f t="array" ref="Q415">IFERROR(INDEX(Unified_Matrix!$A:$ZZ,ROW(A412),MATCH("Req_Other",Unified_Matrix!$1:$1,0)),"")</f>
        <v/>
      </c>
    </row>
    <row r="416" hidden="1">
      <c r="J416" s="4">
        <f t="array" ref="J416">IFERROR(INDEX(Unified_Matrix!$A:$ZZ,ROW(A413),MATCH("Max "&amp;$J$9,Unified_Matrix!$1:$1,0)),"")</f>
        <v/>
      </c>
      <c r="K416" s="4">
        <f t="array" ref="K416">IFERROR(INDEX(Unified_Matrix!$A:$ZZ,ROW(A413),MATCH("Evolution_Name",Unified_Matrix!$1:$1,0)),"")</f>
        <v/>
      </c>
      <c r="L416" s="4">
        <f>IF(J416="","",IF(J416=0,"",IF(J416=$AB$28,1,IF(J416=$AB$29,2,IF(J416=$AB$30,3,"")))))</f>
        <v/>
      </c>
      <c r="M416" s="4">
        <f t="array" ref="M416">IFERROR(INDEX(Unified_Matrix!$A:$ZZ,ROW(A413),MATCH("+ OVR",Unified_Matrix!$1:$1,0)),"")</f>
        <v/>
      </c>
      <c r="N416" s="4">
        <f t="array" ref="N416">IFERROR(INDEX(Unified_Matrix!$A:$ZZ,ROW(A413),MATCH("Max OVR",Unified_Matrix!$1:$1,0)),"")</f>
        <v/>
      </c>
      <c r="O416" s="4">
        <f t="array" ref="O416">IFERROR(INDEX(Unified_Matrix!$A:$ZZ,ROW(A413),MATCH("Req_Position",Unified_Matrix!$1:$1,0)),"")</f>
        <v/>
      </c>
      <c r="P416" s="4">
        <f t="array" ref="P416">IFERROR(INDEX(Unified_Matrix!$A:$ZZ,ROW(A413),MATCH("Req_OVR_Max",Unified_Matrix!$1:$1,0)),"")</f>
        <v/>
      </c>
      <c r="Q416" s="4">
        <f t="array" ref="Q416">IFERROR(INDEX(Unified_Matrix!$A:$ZZ,ROW(A413),MATCH("Req_Other",Unified_Matrix!$1:$1,0)),"")</f>
        <v/>
      </c>
    </row>
    <row r="417" hidden="1">
      <c r="J417" s="4">
        <f t="array" ref="J417">IFERROR(INDEX(Unified_Matrix!$A:$ZZ,ROW(A414),MATCH("Max "&amp;$J$9,Unified_Matrix!$1:$1,0)),"")</f>
        <v/>
      </c>
      <c r="K417" s="4">
        <f t="array" ref="K417">IFERROR(INDEX(Unified_Matrix!$A:$ZZ,ROW(A414),MATCH("Evolution_Name",Unified_Matrix!$1:$1,0)),"")</f>
        <v/>
      </c>
      <c r="L417" s="4">
        <f>IF(J417="","",IF(J417=0,"",IF(J417=$AB$28,1,IF(J417=$AB$29,2,IF(J417=$AB$30,3,"")))))</f>
        <v/>
      </c>
      <c r="M417" s="4">
        <f t="array" ref="M417">IFERROR(INDEX(Unified_Matrix!$A:$ZZ,ROW(A414),MATCH("+ OVR",Unified_Matrix!$1:$1,0)),"")</f>
        <v/>
      </c>
      <c r="N417" s="4">
        <f t="array" ref="N417">IFERROR(INDEX(Unified_Matrix!$A:$ZZ,ROW(A414),MATCH("Max OVR",Unified_Matrix!$1:$1,0)),"")</f>
        <v/>
      </c>
      <c r="O417" s="4">
        <f t="array" ref="O417">IFERROR(INDEX(Unified_Matrix!$A:$ZZ,ROW(A414),MATCH("Req_Position",Unified_Matrix!$1:$1,0)),"")</f>
        <v/>
      </c>
      <c r="P417" s="4">
        <f t="array" ref="P417">IFERROR(INDEX(Unified_Matrix!$A:$ZZ,ROW(A414),MATCH("Req_OVR_Max",Unified_Matrix!$1:$1,0)),"")</f>
        <v/>
      </c>
      <c r="Q417" s="4">
        <f t="array" ref="Q417">IFERROR(INDEX(Unified_Matrix!$A:$ZZ,ROW(A414),MATCH("Req_Other",Unified_Matrix!$1:$1,0)),"")</f>
        <v/>
      </c>
    </row>
    <row r="418" hidden="1">
      <c r="J418" s="4">
        <f t="array" ref="J418">IFERROR(INDEX(Unified_Matrix!$A:$ZZ,ROW(A415),MATCH("Max "&amp;$J$9,Unified_Matrix!$1:$1,0)),"")</f>
        <v/>
      </c>
      <c r="K418" s="4">
        <f t="array" ref="K418">IFERROR(INDEX(Unified_Matrix!$A:$ZZ,ROW(A415),MATCH("Evolution_Name",Unified_Matrix!$1:$1,0)),"")</f>
        <v/>
      </c>
      <c r="L418" s="4">
        <f>IF(J418="","",IF(J418=0,"",IF(J418=$AB$28,1,IF(J418=$AB$29,2,IF(J418=$AB$30,3,"")))))</f>
        <v/>
      </c>
      <c r="M418" s="4">
        <f t="array" ref="M418">IFERROR(INDEX(Unified_Matrix!$A:$ZZ,ROW(A415),MATCH("+ OVR",Unified_Matrix!$1:$1,0)),"")</f>
        <v/>
      </c>
      <c r="N418" s="4">
        <f t="array" ref="N418">IFERROR(INDEX(Unified_Matrix!$A:$ZZ,ROW(A415),MATCH("Max OVR",Unified_Matrix!$1:$1,0)),"")</f>
        <v/>
      </c>
      <c r="O418" s="4">
        <f t="array" ref="O418">IFERROR(INDEX(Unified_Matrix!$A:$ZZ,ROW(A415),MATCH("Req_Position",Unified_Matrix!$1:$1,0)),"")</f>
        <v/>
      </c>
      <c r="P418" s="4">
        <f t="array" ref="P418">IFERROR(INDEX(Unified_Matrix!$A:$ZZ,ROW(A415),MATCH("Req_OVR_Max",Unified_Matrix!$1:$1,0)),"")</f>
        <v/>
      </c>
      <c r="Q418" s="4">
        <f t="array" ref="Q418">IFERROR(INDEX(Unified_Matrix!$A:$ZZ,ROW(A415),MATCH("Req_Other",Unified_Matrix!$1:$1,0)),"")</f>
        <v/>
      </c>
    </row>
    <row r="419" hidden="1">
      <c r="J419" s="4">
        <f t="array" ref="J419">IFERROR(INDEX(Unified_Matrix!$A:$ZZ,ROW(A416),MATCH("Max "&amp;$J$9,Unified_Matrix!$1:$1,0)),"")</f>
        <v/>
      </c>
      <c r="K419" s="4">
        <f t="array" ref="K419">IFERROR(INDEX(Unified_Matrix!$A:$ZZ,ROW(A416),MATCH("Evolution_Name",Unified_Matrix!$1:$1,0)),"")</f>
        <v/>
      </c>
      <c r="L419" s="4">
        <f>IF(J419="","",IF(J419=0,"",IF(J419=$AB$28,1,IF(J419=$AB$29,2,IF(J419=$AB$30,3,"")))))</f>
        <v/>
      </c>
      <c r="M419" s="4">
        <f t="array" ref="M419">IFERROR(INDEX(Unified_Matrix!$A:$ZZ,ROW(A416),MATCH("+ OVR",Unified_Matrix!$1:$1,0)),"")</f>
        <v/>
      </c>
      <c r="N419" s="4">
        <f t="array" ref="N419">IFERROR(INDEX(Unified_Matrix!$A:$ZZ,ROW(A416),MATCH("Max OVR",Unified_Matrix!$1:$1,0)),"")</f>
        <v/>
      </c>
      <c r="O419" s="4">
        <f t="array" ref="O419">IFERROR(INDEX(Unified_Matrix!$A:$ZZ,ROW(A416),MATCH("Req_Position",Unified_Matrix!$1:$1,0)),"")</f>
        <v/>
      </c>
      <c r="P419" s="4">
        <f t="array" ref="P419">IFERROR(INDEX(Unified_Matrix!$A:$ZZ,ROW(A416),MATCH("Req_OVR_Max",Unified_Matrix!$1:$1,0)),"")</f>
        <v/>
      </c>
      <c r="Q419" s="4">
        <f t="array" ref="Q419">IFERROR(INDEX(Unified_Matrix!$A:$ZZ,ROW(A416),MATCH("Req_Other",Unified_Matrix!$1:$1,0)),"")</f>
        <v/>
      </c>
    </row>
    <row r="420" hidden="1">
      <c r="J420" s="4">
        <f t="array" ref="J420">IFERROR(INDEX(Unified_Matrix!$A:$ZZ,ROW(A417),MATCH("Max "&amp;$J$9,Unified_Matrix!$1:$1,0)),"")</f>
        <v/>
      </c>
      <c r="K420" s="4">
        <f t="array" ref="K420">IFERROR(INDEX(Unified_Matrix!$A:$ZZ,ROW(A417),MATCH("Evolution_Name",Unified_Matrix!$1:$1,0)),"")</f>
        <v/>
      </c>
      <c r="L420" s="4">
        <f>IF(J420="","",IF(J420=0,"",IF(J420=$AB$28,1,IF(J420=$AB$29,2,IF(J420=$AB$30,3,"")))))</f>
        <v/>
      </c>
      <c r="M420" s="4">
        <f t="array" ref="M420">IFERROR(INDEX(Unified_Matrix!$A:$ZZ,ROW(A417),MATCH("+ OVR",Unified_Matrix!$1:$1,0)),"")</f>
        <v/>
      </c>
      <c r="N420" s="4">
        <f t="array" ref="N420">IFERROR(INDEX(Unified_Matrix!$A:$ZZ,ROW(A417),MATCH("Max OVR",Unified_Matrix!$1:$1,0)),"")</f>
        <v/>
      </c>
      <c r="O420" s="4">
        <f t="array" ref="O420">IFERROR(INDEX(Unified_Matrix!$A:$ZZ,ROW(A417),MATCH("Req_Position",Unified_Matrix!$1:$1,0)),"")</f>
        <v/>
      </c>
      <c r="P420" s="4">
        <f t="array" ref="P420">IFERROR(INDEX(Unified_Matrix!$A:$ZZ,ROW(A417),MATCH("Req_OVR_Max",Unified_Matrix!$1:$1,0)),"")</f>
        <v/>
      </c>
      <c r="Q420" s="4">
        <f t="array" ref="Q420">IFERROR(INDEX(Unified_Matrix!$A:$ZZ,ROW(A417),MATCH("Req_Other",Unified_Matrix!$1:$1,0)),"")</f>
        <v/>
      </c>
    </row>
    <row r="421" hidden="1">
      <c r="J421" s="4">
        <f t="array" ref="J421">IFERROR(INDEX(Unified_Matrix!$A:$ZZ,ROW(A418),MATCH("Max "&amp;$J$9,Unified_Matrix!$1:$1,0)),"")</f>
        <v/>
      </c>
      <c r="K421" s="4">
        <f t="array" ref="K421">IFERROR(INDEX(Unified_Matrix!$A:$ZZ,ROW(A418),MATCH("Evolution_Name",Unified_Matrix!$1:$1,0)),"")</f>
        <v/>
      </c>
      <c r="L421" s="4">
        <f>IF(J421="","",IF(J421=0,"",IF(J421=$AB$28,1,IF(J421=$AB$29,2,IF(J421=$AB$30,3,"")))))</f>
        <v/>
      </c>
      <c r="M421" s="4">
        <f t="array" ref="M421">IFERROR(INDEX(Unified_Matrix!$A:$ZZ,ROW(A418),MATCH("+ OVR",Unified_Matrix!$1:$1,0)),"")</f>
        <v/>
      </c>
      <c r="N421" s="4">
        <f t="array" ref="N421">IFERROR(INDEX(Unified_Matrix!$A:$ZZ,ROW(A418),MATCH("Max OVR",Unified_Matrix!$1:$1,0)),"")</f>
        <v/>
      </c>
      <c r="O421" s="4">
        <f t="array" ref="O421">IFERROR(INDEX(Unified_Matrix!$A:$ZZ,ROW(A418),MATCH("Req_Position",Unified_Matrix!$1:$1,0)),"")</f>
        <v/>
      </c>
      <c r="P421" s="4">
        <f t="array" ref="P421">IFERROR(INDEX(Unified_Matrix!$A:$ZZ,ROW(A418),MATCH("Req_OVR_Max",Unified_Matrix!$1:$1,0)),"")</f>
        <v/>
      </c>
      <c r="Q421" s="4">
        <f t="array" ref="Q421">IFERROR(INDEX(Unified_Matrix!$A:$ZZ,ROW(A418),MATCH("Req_Other",Unified_Matrix!$1:$1,0)),"")</f>
        <v/>
      </c>
    </row>
    <row r="422" hidden="1">
      <c r="J422" s="4">
        <f t="array" ref="J422">IFERROR(INDEX(Unified_Matrix!$A:$ZZ,ROW(A419),MATCH("Max "&amp;$J$9,Unified_Matrix!$1:$1,0)),"")</f>
        <v/>
      </c>
      <c r="K422" s="4">
        <f t="array" ref="K422">IFERROR(INDEX(Unified_Matrix!$A:$ZZ,ROW(A419),MATCH("Evolution_Name",Unified_Matrix!$1:$1,0)),"")</f>
        <v/>
      </c>
      <c r="L422" s="4">
        <f>IF(J422="","",IF(J422=0,"",IF(J422=$AB$28,1,IF(J422=$AB$29,2,IF(J422=$AB$30,3,"")))))</f>
        <v/>
      </c>
      <c r="M422" s="4">
        <f t="array" ref="M422">IFERROR(INDEX(Unified_Matrix!$A:$ZZ,ROW(A419),MATCH("+ OVR",Unified_Matrix!$1:$1,0)),"")</f>
        <v/>
      </c>
      <c r="N422" s="4">
        <f t="array" ref="N422">IFERROR(INDEX(Unified_Matrix!$A:$ZZ,ROW(A419),MATCH("Max OVR",Unified_Matrix!$1:$1,0)),"")</f>
        <v/>
      </c>
      <c r="O422" s="4">
        <f t="array" ref="O422">IFERROR(INDEX(Unified_Matrix!$A:$ZZ,ROW(A419),MATCH("Req_Position",Unified_Matrix!$1:$1,0)),"")</f>
        <v/>
      </c>
      <c r="P422" s="4">
        <f t="array" ref="P422">IFERROR(INDEX(Unified_Matrix!$A:$ZZ,ROW(A419),MATCH("Req_OVR_Max",Unified_Matrix!$1:$1,0)),"")</f>
        <v/>
      </c>
      <c r="Q422" s="4">
        <f t="array" ref="Q422">IFERROR(INDEX(Unified_Matrix!$A:$ZZ,ROW(A419),MATCH("Req_Other",Unified_Matrix!$1:$1,0)),"")</f>
        <v/>
      </c>
    </row>
    <row r="423" hidden="1">
      <c r="J423" s="4">
        <f t="array" ref="J423">IFERROR(INDEX(Unified_Matrix!$A:$ZZ,ROW(A420),MATCH("Max "&amp;$J$9,Unified_Matrix!$1:$1,0)),"")</f>
        <v/>
      </c>
      <c r="K423" s="4">
        <f t="array" ref="K423">IFERROR(INDEX(Unified_Matrix!$A:$ZZ,ROW(A420),MATCH("Evolution_Name",Unified_Matrix!$1:$1,0)),"")</f>
        <v/>
      </c>
      <c r="L423" s="4">
        <f>IF(J423="","",IF(J423=0,"",IF(J423=$AB$28,1,IF(J423=$AB$29,2,IF(J423=$AB$30,3,"")))))</f>
        <v/>
      </c>
      <c r="M423" s="4">
        <f t="array" ref="M423">IFERROR(INDEX(Unified_Matrix!$A:$ZZ,ROW(A420),MATCH("+ OVR",Unified_Matrix!$1:$1,0)),"")</f>
        <v/>
      </c>
      <c r="N423" s="4">
        <f t="array" ref="N423">IFERROR(INDEX(Unified_Matrix!$A:$ZZ,ROW(A420),MATCH("Max OVR",Unified_Matrix!$1:$1,0)),"")</f>
        <v/>
      </c>
      <c r="O423" s="4">
        <f t="array" ref="O423">IFERROR(INDEX(Unified_Matrix!$A:$ZZ,ROW(A420),MATCH("Req_Position",Unified_Matrix!$1:$1,0)),"")</f>
        <v/>
      </c>
      <c r="P423" s="4">
        <f t="array" ref="P423">IFERROR(INDEX(Unified_Matrix!$A:$ZZ,ROW(A420),MATCH("Req_OVR_Max",Unified_Matrix!$1:$1,0)),"")</f>
        <v/>
      </c>
      <c r="Q423" s="4">
        <f t="array" ref="Q423">IFERROR(INDEX(Unified_Matrix!$A:$ZZ,ROW(A420),MATCH("Req_Other",Unified_Matrix!$1:$1,0)),"")</f>
        <v/>
      </c>
    </row>
    <row r="424" hidden="1">
      <c r="J424" s="4">
        <f t="array" ref="J424">IFERROR(INDEX(Unified_Matrix!$A:$ZZ,ROW(A421),MATCH("Max "&amp;$J$9,Unified_Matrix!$1:$1,0)),"")</f>
        <v/>
      </c>
      <c r="K424" s="4">
        <f t="array" ref="K424">IFERROR(INDEX(Unified_Matrix!$A:$ZZ,ROW(A421),MATCH("Evolution_Name",Unified_Matrix!$1:$1,0)),"")</f>
        <v/>
      </c>
      <c r="L424" s="4">
        <f>IF(J424="","",IF(J424=0,"",IF(J424=$AB$28,1,IF(J424=$AB$29,2,IF(J424=$AB$30,3,"")))))</f>
        <v/>
      </c>
      <c r="M424" s="4">
        <f t="array" ref="M424">IFERROR(INDEX(Unified_Matrix!$A:$ZZ,ROW(A421),MATCH("+ OVR",Unified_Matrix!$1:$1,0)),"")</f>
        <v/>
      </c>
      <c r="N424" s="4">
        <f t="array" ref="N424">IFERROR(INDEX(Unified_Matrix!$A:$ZZ,ROW(A421),MATCH("Max OVR",Unified_Matrix!$1:$1,0)),"")</f>
        <v/>
      </c>
      <c r="O424" s="4">
        <f t="array" ref="O424">IFERROR(INDEX(Unified_Matrix!$A:$ZZ,ROW(A421),MATCH("Req_Position",Unified_Matrix!$1:$1,0)),"")</f>
        <v/>
      </c>
      <c r="P424" s="4">
        <f t="array" ref="P424">IFERROR(INDEX(Unified_Matrix!$A:$ZZ,ROW(A421),MATCH("Req_OVR_Max",Unified_Matrix!$1:$1,0)),"")</f>
        <v/>
      </c>
      <c r="Q424" s="4">
        <f t="array" ref="Q424">IFERROR(INDEX(Unified_Matrix!$A:$ZZ,ROW(A421),MATCH("Req_Other",Unified_Matrix!$1:$1,0)),"")</f>
        <v/>
      </c>
    </row>
    <row r="425" hidden="1">
      <c r="J425" s="4">
        <f t="array" ref="J425">IFERROR(INDEX(Unified_Matrix!$A:$ZZ,ROW(A422),MATCH("Max "&amp;$J$9,Unified_Matrix!$1:$1,0)),"")</f>
        <v/>
      </c>
      <c r="K425" s="4">
        <f t="array" ref="K425">IFERROR(INDEX(Unified_Matrix!$A:$ZZ,ROW(A422),MATCH("Evolution_Name",Unified_Matrix!$1:$1,0)),"")</f>
        <v/>
      </c>
      <c r="L425" s="4">
        <f>IF(J425="","",IF(J425=0,"",IF(J425=$AB$28,1,IF(J425=$AB$29,2,IF(J425=$AB$30,3,"")))))</f>
        <v/>
      </c>
      <c r="M425" s="4">
        <f t="array" ref="M425">IFERROR(INDEX(Unified_Matrix!$A:$ZZ,ROW(A422),MATCH("+ OVR",Unified_Matrix!$1:$1,0)),"")</f>
        <v/>
      </c>
      <c r="N425" s="4">
        <f t="array" ref="N425">IFERROR(INDEX(Unified_Matrix!$A:$ZZ,ROW(A422),MATCH("Max OVR",Unified_Matrix!$1:$1,0)),"")</f>
        <v/>
      </c>
      <c r="O425" s="4">
        <f t="array" ref="O425">IFERROR(INDEX(Unified_Matrix!$A:$ZZ,ROW(A422),MATCH("Req_Position",Unified_Matrix!$1:$1,0)),"")</f>
        <v/>
      </c>
      <c r="P425" s="4">
        <f t="array" ref="P425">IFERROR(INDEX(Unified_Matrix!$A:$ZZ,ROW(A422),MATCH("Req_OVR_Max",Unified_Matrix!$1:$1,0)),"")</f>
        <v/>
      </c>
      <c r="Q425" s="4">
        <f t="array" ref="Q425">IFERROR(INDEX(Unified_Matrix!$A:$ZZ,ROW(A422),MATCH("Req_Other",Unified_Matrix!$1:$1,0)),"")</f>
        <v/>
      </c>
    </row>
    <row r="426" hidden="1">
      <c r="J426" s="4">
        <f t="array" ref="J426">IFERROR(INDEX(Unified_Matrix!$A:$ZZ,ROW(A423),MATCH("Max "&amp;$J$9,Unified_Matrix!$1:$1,0)),"")</f>
        <v/>
      </c>
      <c r="K426" s="4">
        <f t="array" ref="K426">IFERROR(INDEX(Unified_Matrix!$A:$ZZ,ROW(A423),MATCH("Evolution_Name",Unified_Matrix!$1:$1,0)),"")</f>
        <v/>
      </c>
      <c r="L426" s="4">
        <f>IF(J426="","",IF(J426=0,"",IF(J426=$AB$28,1,IF(J426=$AB$29,2,IF(J426=$AB$30,3,"")))))</f>
        <v/>
      </c>
      <c r="M426" s="4">
        <f t="array" ref="M426">IFERROR(INDEX(Unified_Matrix!$A:$ZZ,ROW(A423),MATCH("+ OVR",Unified_Matrix!$1:$1,0)),"")</f>
        <v/>
      </c>
      <c r="N426" s="4">
        <f t="array" ref="N426">IFERROR(INDEX(Unified_Matrix!$A:$ZZ,ROW(A423),MATCH("Max OVR",Unified_Matrix!$1:$1,0)),"")</f>
        <v/>
      </c>
      <c r="O426" s="4">
        <f t="array" ref="O426">IFERROR(INDEX(Unified_Matrix!$A:$ZZ,ROW(A423),MATCH("Req_Position",Unified_Matrix!$1:$1,0)),"")</f>
        <v/>
      </c>
      <c r="P426" s="4">
        <f t="array" ref="P426">IFERROR(INDEX(Unified_Matrix!$A:$ZZ,ROW(A423),MATCH("Req_OVR_Max",Unified_Matrix!$1:$1,0)),"")</f>
        <v/>
      </c>
      <c r="Q426" s="4">
        <f t="array" ref="Q426">IFERROR(INDEX(Unified_Matrix!$A:$ZZ,ROW(A423),MATCH("Req_Other",Unified_Matrix!$1:$1,0)),"")</f>
        <v/>
      </c>
    </row>
    <row r="427" hidden="1">
      <c r="J427" s="4">
        <f t="array" ref="J427">IFERROR(INDEX(Unified_Matrix!$A:$ZZ,ROW(A424),MATCH("Max "&amp;$J$9,Unified_Matrix!$1:$1,0)),"")</f>
        <v/>
      </c>
      <c r="K427" s="4">
        <f t="array" ref="K427">IFERROR(INDEX(Unified_Matrix!$A:$ZZ,ROW(A424),MATCH("Evolution_Name",Unified_Matrix!$1:$1,0)),"")</f>
        <v/>
      </c>
      <c r="L427" s="4">
        <f>IF(J427="","",IF(J427=0,"",IF(J427=$AB$28,1,IF(J427=$AB$29,2,IF(J427=$AB$30,3,"")))))</f>
        <v/>
      </c>
      <c r="M427" s="4">
        <f t="array" ref="M427">IFERROR(INDEX(Unified_Matrix!$A:$ZZ,ROW(A424),MATCH("+ OVR",Unified_Matrix!$1:$1,0)),"")</f>
        <v/>
      </c>
      <c r="N427" s="4">
        <f t="array" ref="N427">IFERROR(INDEX(Unified_Matrix!$A:$ZZ,ROW(A424),MATCH("Max OVR",Unified_Matrix!$1:$1,0)),"")</f>
        <v/>
      </c>
      <c r="O427" s="4">
        <f t="array" ref="O427">IFERROR(INDEX(Unified_Matrix!$A:$ZZ,ROW(A424),MATCH("Req_Position",Unified_Matrix!$1:$1,0)),"")</f>
        <v/>
      </c>
      <c r="P427" s="4">
        <f t="array" ref="P427">IFERROR(INDEX(Unified_Matrix!$A:$ZZ,ROW(A424),MATCH("Req_OVR_Max",Unified_Matrix!$1:$1,0)),"")</f>
        <v/>
      </c>
      <c r="Q427" s="4">
        <f t="array" ref="Q427">IFERROR(INDEX(Unified_Matrix!$A:$ZZ,ROW(A424),MATCH("Req_Other",Unified_Matrix!$1:$1,0)),"")</f>
        <v/>
      </c>
    </row>
    <row r="428" hidden="1">
      <c r="J428" s="4">
        <f t="array" ref="J428">IFERROR(INDEX(Unified_Matrix!$A:$ZZ,ROW(A425),MATCH("Max "&amp;$J$9,Unified_Matrix!$1:$1,0)),"")</f>
        <v/>
      </c>
      <c r="K428" s="4">
        <f t="array" ref="K428">IFERROR(INDEX(Unified_Matrix!$A:$ZZ,ROW(A425),MATCH("Evolution_Name",Unified_Matrix!$1:$1,0)),"")</f>
        <v/>
      </c>
      <c r="L428" s="4">
        <f>IF(J428="","",IF(J428=0,"",IF(J428=$AB$28,1,IF(J428=$AB$29,2,IF(J428=$AB$30,3,"")))))</f>
        <v/>
      </c>
      <c r="M428" s="4">
        <f t="array" ref="M428">IFERROR(INDEX(Unified_Matrix!$A:$ZZ,ROW(A425),MATCH("+ OVR",Unified_Matrix!$1:$1,0)),"")</f>
        <v/>
      </c>
      <c r="N428" s="4">
        <f t="array" ref="N428">IFERROR(INDEX(Unified_Matrix!$A:$ZZ,ROW(A425),MATCH("Max OVR",Unified_Matrix!$1:$1,0)),"")</f>
        <v/>
      </c>
      <c r="O428" s="4">
        <f t="array" ref="O428">IFERROR(INDEX(Unified_Matrix!$A:$ZZ,ROW(A425),MATCH("Req_Position",Unified_Matrix!$1:$1,0)),"")</f>
        <v/>
      </c>
      <c r="P428" s="4">
        <f t="array" ref="P428">IFERROR(INDEX(Unified_Matrix!$A:$ZZ,ROW(A425),MATCH("Req_OVR_Max",Unified_Matrix!$1:$1,0)),"")</f>
        <v/>
      </c>
      <c r="Q428" s="4">
        <f t="array" ref="Q428">IFERROR(INDEX(Unified_Matrix!$A:$ZZ,ROW(A425),MATCH("Req_Other",Unified_Matrix!$1:$1,0)),"")</f>
        <v/>
      </c>
    </row>
    <row r="429" hidden="1">
      <c r="J429" s="4">
        <f t="array" ref="J429">IFERROR(INDEX(Unified_Matrix!$A:$ZZ,ROW(A426),MATCH("Max "&amp;$J$9,Unified_Matrix!$1:$1,0)),"")</f>
        <v/>
      </c>
      <c r="K429" s="4">
        <f t="array" ref="K429">IFERROR(INDEX(Unified_Matrix!$A:$ZZ,ROW(A426),MATCH("Evolution_Name",Unified_Matrix!$1:$1,0)),"")</f>
        <v/>
      </c>
      <c r="L429" s="4">
        <f>IF(J429="","",IF(J429=0,"",IF(J429=$AB$28,1,IF(J429=$AB$29,2,IF(J429=$AB$30,3,"")))))</f>
        <v/>
      </c>
      <c r="M429" s="4">
        <f t="array" ref="M429">IFERROR(INDEX(Unified_Matrix!$A:$ZZ,ROW(A426),MATCH("+ OVR",Unified_Matrix!$1:$1,0)),"")</f>
        <v/>
      </c>
      <c r="N429" s="4">
        <f t="array" ref="N429">IFERROR(INDEX(Unified_Matrix!$A:$ZZ,ROW(A426),MATCH("Max OVR",Unified_Matrix!$1:$1,0)),"")</f>
        <v/>
      </c>
      <c r="O429" s="4">
        <f t="array" ref="O429">IFERROR(INDEX(Unified_Matrix!$A:$ZZ,ROW(A426),MATCH("Req_Position",Unified_Matrix!$1:$1,0)),"")</f>
        <v/>
      </c>
      <c r="P429" s="4">
        <f t="array" ref="P429">IFERROR(INDEX(Unified_Matrix!$A:$ZZ,ROW(A426),MATCH("Req_OVR_Max",Unified_Matrix!$1:$1,0)),"")</f>
        <v/>
      </c>
      <c r="Q429" s="4">
        <f t="array" ref="Q429">IFERROR(INDEX(Unified_Matrix!$A:$ZZ,ROW(A426),MATCH("Req_Other",Unified_Matrix!$1:$1,0)),"")</f>
        <v/>
      </c>
    </row>
    <row r="430" hidden="1">
      <c r="J430" s="4">
        <f t="array" ref="J430">IFERROR(INDEX(Unified_Matrix!$A:$ZZ,ROW(A427),MATCH("Max "&amp;$J$9,Unified_Matrix!$1:$1,0)),"")</f>
        <v/>
      </c>
      <c r="K430" s="4">
        <f t="array" ref="K430">IFERROR(INDEX(Unified_Matrix!$A:$ZZ,ROW(A427),MATCH("Evolution_Name",Unified_Matrix!$1:$1,0)),"")</f>
        <v/>
      </c>
      <c r="L430" s="4">
        <f>IF(J430="","",IF(J430=0,"",IF(J430=$AB$28,1,IF(J430=$AB$29,2,IF(J430=$AB$30,3,"")))))</f>
        <v/>
      </c>
      <c r="M430" s="4">
        <f t="array" ref="M430">IFERROR(INDEX(Unified_Matrix!$A:$ZZ,ROW(A427),MATCH("+ OVR",Unified_Matrix!$1:$1,0)),"")</f>
        <v/>
      </c>
      <c r="N430" s="4">
        <f t="array" ref="N430">IFERROR(INDEX(Unified_Matrix!$A:$ZZ,ROW(A427),MATCH("Max OVR",Unified_Matrix!$1:$1,0)),"")</f>
        <v/>
      </c>
      <c r="O430" s="4">
        <f t="array" ref="O430">IFERROR(INDEX(Unified_Matrix!$A:$ZZ,ROW(A427),MATCH("Req_Position",Unified_Matrix!$1:$1,0)),"")</f>
        <v/>
      </c>
      <c r="P430" s="4">
        <f t="array" ref="P430">IFERROR(INDEX(Unified_Matrix!$A:$ZZ,ROW(A427),MATCH("Req_OVR_Max",Unified_Matrix!$1:$1,0)),"")</f>
        <v/>
      </c>
      <c r="Q430" s="4">
        <f t="array" ref="Q430">IFERROR(INDEX(Unified_Matrix!$A:$ZZ,ROW(A427),MATCH("Req_Other",Unified_Matrix!$1:$1,0)),"")</f>
        <v/>
      </c>
    </row>
    <row r="431" hidden="1">
      <c r="J431" s="4">
        <f t="array" ref="J431">IFERROR(INDEX(Unified_Matrix!$A:$ZZ,ROW(A428),MATCH("Max "&amp;$J$9,Unified_Matrix!$1:$1,0)),"")</f>
        <v/>
      </c>
      <c r="K431" s="4">
        <f t="array" ref="K431">IFERROR(INDEX(Unified_Matrix!$A:$ZZ,ROW(A428),MATCH("Evolution_Name",Unified_Matrix!$1:$1,0)),"")</f>
        <v/>
      </c>
      <c r="L431" s="4">
        <f>IF(J431="","",IF(J431=0,"",IF(J431=$AB$28,1,IF(J431=$AB$29,2,IF(J431=$AB$30,3,"")))))</f>
        <v/>
      </c>
      <c r="M431" s="4">
        <f t="array" ref="M431">IFERROR(INDEX(Unified_Matrix!$A:$ZZ,ROW(A428),MATCH("+ OVR",Unified_Matrix!$1:$1,0)),"")</f>
        <v/>
      </c>
      <c r="N431" s="4">
        <f t="array" ref="N431">IFERROR(INDEX(Unified_Matrix!$A:$ZZ,ROW(A428),MATCH("Max OVR",Unified_Matrix!$1:$1,0)),"")</f>
        <v/>
      </c>
      <c r="O431" s="4">
        <f t="array" ref="O431">IFERROR(INDEX(Unified_Matrix!$A:$ZZ,ROW(A428),MATCH("Req_Position",Unified_Matrix!$1:$1,0)),"")</f>
        <v/>
      </c>
      <c r="P431" s="4">
        <f t="array" ref="P431">IFERROR(INDEX(Unified_Matrix!$A:$ZZ,ROW(A428),MATCH("Req_OVR_Max",Unified_Matrix!$1:$1,0)),"")</f>
        <v/>
      </c>
      <c r="Q431" s="4">
        <f t="array" ref="Q431">IFERROR(INDEX(Unified_Matrix!$A:$ZZ,ROW(A428),MATCH("Req_Other",Unified_Matrix!$1:$1,0)),"")</f>
        <v/>
      </c>
    </row>
    <row r="432" hidden="1">
      <c r="J432" s="4">
        <f t="array" ref="J432">IFERROR(INDEX(Unified_Matrix!$A:$ZZ,ROW(A429),MATCH("Max "&amp;$J$9,Unified_Matrix!$1:$1,0)),"")</f>
        <v/>
      </c>
      <c r="K432" s="4">
        <f t="array" ref="K432">IFERROR(INDEX(Unified_Matrix!$A:$ZZ,ROW(A429),MATCH("Evolution_Name",Unified_Matrix!$1:$1,0)),"")</f>
        <v/>
      </c>
      <c r="L432" s="4">
        <f>IF(J432="","",IF(J432=0,"",IF(J432=$AB$28,1,IF(J432=$AB$29,2,IF(J432=$AB$30,3,"")))))</f>
        <v/>
      </c>
      <c r="M432" s="4">
        <f t="array" ref="M432">IFERROR(INDEX(Unified_Matrix!$A:$ZZ,ROW(A429),MATCH("+ OVR",Unified_Matrix!$1:$1,0)),"")</f>
        <v/>
      </c>
      <c r="N432" s="4">
        <f t="array" ref="N432">IFERROR(INDEX(Unified_Matrix!$A:$ZZ,ROW(A429),MATCH("Max OVR",Unified_Matrix!$1:$1,0)),"")</f>
        <v/>
      </c>
      <c r="O432" s="4">
        <f t="array" ref="O432">IFERROR(INDEX(Unified_Matrix!$A:$ZZ,ROW(A429),MATCH("Req_Position",Unified_Matrix!$1:$1,0)),"")</f>
        <v/>
      </c>
      <c r="P432" s="4">
        <f t="array" ref="P432">IFERROR(INDEX(Unified_Matrix!$A:$ZZ,ROW(A429),MATCH("Req_OVR_Max",Unified_Matrix!$1:$1,0)),"")</f>
        <v/>
      </c>
      <c r="Q432" s="4">
        <f t="array" ref="Q432">IFERROR(INDEX(Unified_Matrix!$A:$ZZ,ROW(A429),MATCH("Req_Other",Unified_Matrix!$1:$1,0)),"")</f>
        <v/>
      </c>
    </row>
    <row r="433" hidden="1">
      <c r="J433" s="4">
        <f t="array" ref="J433">IFERROR(INDEX(Unified_Matrix!$A:$ZZ,ROW(A430),MATCH("Max "&amp;$J$9,Unified_Matrix!$1:$1,0)),"")</f>
        <v/>
      </c>
      <c r="K433" s="4">
        <f t="array" ref="K433">IFERROR(INDEX(Unified_Matrix!$A:$ZZ,ROW(A430),MATCH("Evolution_Name",Unified_Matrix!$1:$1,0)),"")</f>
        <v/>
      </c>
      <c r="L433" s="4">
        <f>IF(J433="","",IF(J433=0,"",IF(J433=$AB$28,1,IF(J433=$AB$29,2,IF(J433=$AB$30,3,"")))))</f>
        <v/>
      </c>
      <c r="M433" s="4">
        <f t="array" ref="M433">IFERROR(INDEX(Unified_Matrix!$A:$ZZ,ROW(A430),MATCH("+ OVR",Unified_Matrix!$1:$1,0)),"")</f>
        <v/>
      </c>
      <c r="N433" s="4">
        <f t="array" ref="N433">IFERROR(INDEX(Unified_Matrix!$A:$ZZ,ROW(A430),MATCH("Max OVR",Unified_Matrix!$1:$1,0)),"")</f>
        <v/>
      </c>
      <c r="O433" s="4">
        <f t="array" ref="O433">IFERROR(INDEX(Unified_Matrix!$A:$ZZ,ROW(A430),MATCH("Req_Position",Unified_Matrix!$1:$1,0)),"")</f>
        <v/>
      </c>
      <c r="P433" s="4">
        <f t="array" ref="P433">IFERROR(INDEX(Unified_Matrix!$A:$ZZ,ROW(A430),MATCH("Req_OVR_Max",Unified_Matrix!$1:$1,0)),"")</f>
        <v/>
      </c>
      <c r="Q433" s="4">
        <f t="array" ref="Q433">IFERROR(INDEX(Unified_Matrix!$A:$ZZ,ROW(A430),MATCH("Req_Other",Unified_Matrix!$1:$1,0)),"")</f>
        <v/>
      </c>
    </row>
    <row r="434" hidden="1">
      <c r="J434" s="4">
        <f t="array" ref="J434">IFERROR(INDEX(Unified_Matrix!$A:$ZZ,ROW(A431),MATCH("Max "&amp;$J$9,Unified_Matrix!$1:$1,0)),"")</f>
        <v/>
      </c>
      <c r="K434" s="4">
        <f t="array" ref="K434">IFERROR(INDEX(Unified_Matrix!$A:$ZZ,ROW(A431),MATCH("Evolution_Name",Unified_Matrix!$1:$1,0)),"")</f>
        <v/>
      </c>
      <c r="L434" s="4">
        <f>IF(J434="","",IF(J434=0,"",IF(J434=$AB$28,1,IF(J434=$AB$29,2,IF(J434=$AB$30,3,"")))))</f>
        <v/>
      </c>
      <c r="M434" s="4">
        <f t="array" ref="M434">IFERROR(INDEX(Unified_Matrix!$A:$ZZ,ROW(A431),MATCH("+ OVR",Unified_Matrix!$1:$1,0)),"")</f>
        <v/>
      </c>
      <c r="N434" s="4">
        <f t="array" ref="N434">IFERROR(INDEX(Unified_Matrix!$A:$ZZ,ROW(A431),MATCH("Max OVR",Unified_Matrix!$1:$1,0)),"")</f>
        <v/>
      </c>
      <c r="O434" s="4">
        <f t="array" ref="O434">IFERROR(INDEX(Unified_Matrix!$A:$ZZ,ROW(A431),MATCH("Req_Position",Unified_Matrix!$1:$1,0)),"")</f>
        <v/>
      </c>
      <c r="P434" s="4">
        <f t="array" ref="P434">IFERROR(INDEX(Unified_Matrix!$A:$ZZ,ROW(A431),MATCH("Req_OVR_Max",Unified_Matrix!$1:$1,0)),"")</f>
        <v/>
      </c>
      <c r="Q434" s="4">
        <f t="array" ref="Q434">IFERROR(INDEX(Unified_Matrix!$A:$ZZ,ROW(A431),MATCH("Req_Other",Unified_Matrix!$1:$1,0)),"")</f>
        <v/>
      </c>
    </row>
    <row r="435" hidden="1">
      <c r="J435" s="4">
        <f t="array" ref="J435">IFERROR(INDEX(Unified_Matrix!$A:$ZZ,ROW(A432),MATCH("Max "&amp;$J$9,Unified_Matrix!$1:$1,0)),"")</f>
        <v/>
      </c>
      <c r="K435" s="4">
        <f t="array" ref="K435">IFERROR(INDEX(Unified_Matrix!$A:$ZZ,ROW(A432),MATCH("Evolution_Name",Unified_Matrix!$1:$1,0)),"")</f>
        <v/>
      </c>
      <c r="L435" s="4">
        <f>IF(J435="","",IF(J435=0,"",IF(J435=$AB$28,1,IF(J435=$AB$29,2,IF(J435=$AB$30,3,"")))))</f>
        <v/>
      </c>
      <c r="M435" s="4">
        <f t="array" ref="M435">IFERROR(INDEX(Unified_Matrix!$A:$ZZ,ROW(A432),MATCH("+ OVR",Unified_Matrix!$1:$1,0)),"")</f>
        <v/>
      </c>
      <c r="N435" s="4">
        <f t="array" ref="N435">IFERROR(INDEX(Unified_Matrix!$A:$ZZ,ROW(A432),MATCH("Max OVR",Unified_Matrix!$1:$1,0)),"")</f>
        <v/>
      </c>
      <c r="O435" s="4">
        <f t="array" ref="O435">IFERROR(INDEX(Unified_Matrix!$A:$ZZ,ROW(A432),MATCH("Req_Position",Unified_Matrix!$1:$1,0)),"")</f>
        <v/>
      </c>
      <c r="P435" s="4">
        <f t="array" ref="P435">IFERROR(INDEX(Unified_Matrix!$A:$ZZ,ROW(A432),MATCH("Req_OVR_Max",Unified_Matrix!$1:$1,0)),"")</f>
        <v/>
      </c>
      <c r="Q435" s="4">
        <f t="array" ref="Q435">IFERROR(INDEX(Unified_Matrix!$A:$ZZ,ROW(A432),MATCH("Req_Other",Unified_Matrix!$1:$1,0)),"")</f>
        <v/>
      </c>
    </row>
    <row r="436" hidden="1">
      <c r="J436" s="4">
        <f t="array" ref="J436">IFERROR(INDEX(Unified_Matrix!$A:$ZZ,ROW(A433),MATCH("Max "&amp;$J$9,Unified_Matrix!$1:$1,0)),"")</f>
        <v/>
      </c>
      <c r="K436" s="4">
        <f t="array" ref="K436">IFERROR(INDEX(Unified_Matrix!$A:$ZZ,ROW(A433),MATCH("Evolution_Name",Unified_Matrix!$1:$1,0)),"")</f>
        <v/>
      </c>
      <c r="L436" s="4">
        <f>IF(J436="","",IF(J436=0,"",IF(J436=$AB$28,1,IF(J436=$AB$29,2,IF(J436=$AB$30,3,"")))))</f>
        <v/>
      </c>
      <c r="M436" s="4">
        <f t="array" ref="M436">IFERROR(INDEX(Unified_Matrix!$A:$ZZ,ROW(A433),MATCH("+ OVR",Unified_Matrix!$1:$1,0)),"")</f>
        <v/>
      </c>
      <c r="N436" s="4">
        <f t="array" ref="N436">IFERROR(INDEX(Unified_Matrix!$A:$ZZ,ROW(A433),MATCH("Max OVR",Unified_Matrix!$1:$1,0)),"")</f>
        <v/>
      </c>
      <c r="O436" s="4">
        <f t="array" ref="O436">IFERROR(INDEX(Unified_Matrix!$A:$ZZ,ROW(A433),MATCH("Req_Position",Unified_Matrix!$1:$1,0)),"")</f>
        <v/>
      </c>
      <c r="P436" s="4">
        <f t="array" ref="P436">IFERROR(INDEX(Unified_Matrix!$A:$ZZ,ROW(A433),MATCH("Req_OVR_Max",Unified_Matrix!$1:$1,0)),"")</f>
        <v/>
      </c>
      <c r="Q436" s="4">
        <f t="array" ref="Q436">IFERROR(INDEX(Unified_Matrix!$A:$ZZ,ROW(A433),MATCH("Req_Other",Unified_Matrix!$1:$1,0)),"")</f>
        <v/>
      </c>
    </row>
    <row r="437" hidden="1">
      <c r="J437" s="4">
        <f t="array" ref="J437">IFERROR(INDEX(Unified_Matrix!$A:$ZZ,ROW(A434),MATCH("Max "&amp;$J$9,Unified_Matrix!$1:$1,0)),"")</f>
        <v/>
      </c>
      <c r="K437" s="4">
        <f t="array" ref="K437">IFERROR(INDEX(Unified_Matrix!$A:$ZZ,ROW(A434),MATCH("Evolution_Name",Unified_Matrix!$1:$1,0)),"")</f>
        <v/>
      </c>
      <c r="L437" s="4">
        <f>IF(J437="","",IF(J437=0,"",IF(J437=$AB$28,1,IF(J437=$AB$29,2,IF(J437=$AB$30,3,"")))))</f>
        <v/>
      </c>
      <c r="M437" s="4">
        <f t="array" ref="M437">IFERROR(INDEX(Unified_Matrix!$A:$ZZ,ROW(A434),MATCH("+ OVR",Unified_Matrix!$1:$1,0)),"")</f>
        <v/>
      </c>
      <c r="N437" s="4">
        <f t="array" ref="N437">IFERROR(INDEX(Unified_Matrix!$A:$ZZ,ROW(A434),MATCH("Max OVR",Unified_Matrix!$1:$1,0)),"")</f>
        <v/>
      </c>
      <c r="O437" s="4">
        <f t="array" ref="O437">IFERROR(INDEX(Unified_Matrix!$A:$ZZ,ROW(A434),MATCH("Req_Position",Unified_Matrix!$1:$1,0)),"")</f>
        <v/>
      </c>
      <c r="P437" s="4">
        <f t="array" ref="P437">IFERROR(INDEX(Unified_Matrix!$A:$ZZ,ROW(A434),MATCH("Req_OVR_Max",Unified_Matrix!$1:$1,0)),"")</f>
        <v/>
      </c>
      <c r="Q437" s="4">
        <f t="array" ref="Q437">IFERROR(INDEX(Unified_Matrix!$A:$ZZ,ROW(A434),MATCH("Req_Other",Unified_Matrix!$1:$1,0)),"")</f>
        <v/>
      </c>
    </row>
    <row r="438" hidden="1">
      <c r="J438" s="4">
        <f t="array" ref="J438">IFERROR(INDEX(Unified_Matrix!$A:$ZZ,ROW(A435),MATCH("Max "&amp;$J$9,Unified_Matrix!$1:$1,0)),"")</f>
        <v/>
      </c>
      <c r="K438" s="4">
        <f t="array" ref="K438">IFERROR(INDEX(Unified_Matrix!$A:$ZZ,ROW(A435),MATCH("Evolution_Name",Unified_Matrix!$1:$1,0)),"")</f>
        <v/>
      </c>
      <c r="L438" s="4">
        <f>IF(J438="","",IF(J438=0,"",IF(J438=$AB$28,1,IF(J438=$AB$29,2,IF(J438=$AB$30,3,"")))))</f>
        <v/>
      </c>
      <c r="M438" s="4">
        <f t="array" ref="M438">IFERROR(INDEX(Unified_Matrix!$A:$ZZ,ROW(A435),MATCH("+ OVR",Unified_Matrix!$1:$1,0)),"")</f>
        <v/>
      </c>
      <c r="N438" s="4">
        <f t="array" ref="N438">IFERROR(INDEX(Unified_Matrix!$A:$ZZ,ROW(A435),MATCH("Max OVR",Unified_Matrix!$1:$1,0)),"")</f>
        <v/>
      </c>
      <c r="O438" s="4">
        <f t="array" ref="O438">IFERROR(INDEX(Unified_Matrix!$A:$ZZ,ROW(A435),MATCH("Req_Position",Unified_Matrix!$1:$1,0)),"")</f>
        <v/>
      </c>
      <c r="P438" s="4">
        <f t="array" ref="P438">IFERROR(INDEX(Unified_Matrix!$A:$ZZ,ROW(A435),MATCH("Req_OVR_Max",Unified_Matrix!$1:$1,0)),"")</f>
        <v/>
      </c>
      <c r="Q438" s="4">
        <f t="array" ref="Q438">IFERROR(INDEX(Unified_Matrix!$A:$ZZ,ROW(A435),MATCH("Req_Other",Unified_Matrix!$1:$1,0)),"")</f>
        <v/>
      </c>
    </row>
    <row r="439" hidden="1">
      <c r="J439" s="4">
        <f t="array" ref="J439">IFERROR(INDEX(Unified_Matrix!$A:$ZZ,ROW(A436),MATCH("Max "&amp;$J$9,Unified_Matrix!$1:$1,0)),"")</f>
        <v/>
      </c>
      <c r="K439" s="4">
        <f t="array" ref="K439">IFERROR(INDEX(Unified_Matrix!$A:$ZZ,ROW(A436),MATCH("Evolution_Name",Unified_Matrix!$1:$1,0)),"")</f>
        <v/>
      </c>
      <c r="L439" s="4">
        <f>IF(J439="","",IF(J439=0,"",IF(J439=$AB$28,1,IF(J439=$AB$29,2,IF(J439=$AB$30,3,"")))))</f>
        <v/>
      </c>
      <c r="M439" s="4">
        <f t="array" ref="M439">IFERROR(INDEX(Unified_Matrix!$A:$ZZ,ROW(A436),MATCH("+ OVR",Unified_Matrix!$1:$1,0)),"")</f>
        <v/>
      </c>
      <c r="N439" s="4">
        <f t="array" ref="N439">IFERROR(INDEX(Unified_Matrix!$A:$ZZ,ROW(A436),MATCH("Max OVR",Unified_Matrix!$1:$1,0)),"")</f>
        <v/>
      </c>
      <c r="O439" s="4">
        <f t="array" ref="O439">IFERROR(INDEX(Unified_Matrix!$A:$ZZ,ROW(A436),MATCH("Req_Position",Unified_Matrix!$1:$1,0)),"")</f>
        <v/>
      </c>
      <c r="P439" s="4">
        <f t="array" ref="P439">IFERROR(INDEX(Unified_Matrix!$A:$ZZ,ROW(A436),MATCH("Req_OVR_Max",Unified_Matrix!$1:$1,0)),"")</f>
        <v/>
      </c>
      <c r="Q439" s="4">
        <f t="array" ref="Q439">IFERROR(INDEX(Unified_Matrix!$A:$ZZ,ROW(A436),MATCH("Req_Other",Unified_Matrix!$1:$1,0)),"")</f>
        <v/>
      </c>
    </row>
    <row r="440" hidden="1">
      <c r="J440" s="4">
        <f t="array" ref="J440">IFERROR(INDEX(Unified_Matrix!$A:$ZZ,ROW(A437),MATCH("Max "&amp;$J$9,Unified_Matrix!$1:$1,0)),"")</f>
        <v/>
      </c>
      <c r="K440" s="4">
        <f t="array" ref="K440">IFERROR(INDEX(Unified_Matrix!$A:$ZZ,ROW(A437),MATCH("Evolution_Name",Unified_Matrix!$1:$1,0)),"")</f>
        <v/>
      </c>
      <c r="L440" s="4">
        <f>IF(J440="","",IF(J440=0,"",IF(J440=$AB$28,1,IF(J440=$AB$29,2,IF(J440=$AB$30,3,"")))))</f>
        <v/>
      </c>
      <c r="M440" s="4">
        <f t="array" ref="M440">IFERROR(INDEX(Unified_Matrix!$A:$ZZ,ROW(A437),MATCH("+ OVR",Unified_Matrix!$1:$1,0)),"")</f>
        <v/>
      </c>
      <c r="N440" s="4">
        <f t="array" ref="N440">IFERROR(INDEX(Unified_Matrix!$A:$ZZ,ROW(A437),MATCH("Max OVR",Unified_Matrix!$1:$1,0)),"")</f>
        <v/>
      </c>
      <c r="O440" s="4">
        <f t="array" ref="O440">IFERROR(INDEX(Unified_Matrix!$A:$ZZ,ROW(A437),MATCH("Req_Position",Unified_Matrix!$1:$1,0)),"")</f>
        <v/>
      </c>
      <c r="P440" s="4">
        <f t="array" ref="P440">IFERROR(INDEX(Unified_Matrix!$A:$ZZ,ROW(A437),MATCH("Req_OVR_Max",Unified_Matrix!$1:$1,0)),"")</f>
        <v/>
      </c>
      <c r="Q440" s="4">
        <f t="array" ref="Q440">IFERROR(INDEX(Unified_Matrix!$A:$ZZ,ROW(A437),MATCH("Req_Other",Unified_Matrix!$1:$1,0)),"")</f>
        <v/>
      </c>
    </row>
    <row r="441" hidden="1">
      <c r="J441" s="4">
        <f t="array" ref="J441">IFERROR(INDEX(Unified_Matrix!$A:$ZZ,ROW(A438),MATCH("Max "&amp;$J$9,Unified_Matrix!$1:$1,0)),"")</f>
        <v/>
      </c>
      <c r="K441" s="4">
        <f t="array" ref="K441">IFERROR(INDEX(Unified_Matrix!$A:$ZZ,ROW(A438),MATCH("Evolution_Name",Unified_Matrix!$1:$1,0)),"")</f>
        <v/>
      </c>
      <c r="L441" s="4">
        <f>IF(J441="","",IF(J441=0,"",IF(J441=$AB$28,1,IF(J441=$AB$29,2,IF(J441=$AB$30,3,"")))))</f>
        <v/>
      </c>
      <c r="M441" s="4">
        <f t="array" ref="M441">IFERROR(INDEX(Unified_Matrix!$A:$ZZ,ROW(A438),MATCH("+ OVR",Unified_Matrix!$1:$1,0)),"")</f>
        <v/>
      </c>
      <c r="N441" s="4">
        <f t="array" ref="N441">IFERROR(INDEX(Unified_Matrix!$A:$ZZ,ROW(A438),MATCH("Max OVR",Unified_Matrix!$1:$1,0)),"")</f>
        <v/>
      </c>
      <c r="O441" s="4">
        <f t="array" ref="O441">IFERROR(INDEX(Unified_Matrix!$A:$ZZ,ROW(A438),MATCH("Req_Position",Unified_Matrix!$1:$1,0)),"")</f>
        <v/>
      </c>
      <c r="P441" s="4">
        <f t="array" ref="P441">IFERROR(INDEX(Unified_Matrix!$A:$ZZ,ROW(A438),MATCH("Req_OVR_Max",Unified_Matrix!$1:$1,0)),"")</f>
        <v/>
      </c>
      <c r="Q441" s="4">
        <f t="array" ref="Q441">IFERROR(INDEX(Unified_Matrix!$A:$ZZ,ROW(A438),MATCH("Req_Other",Unified_Matrix!$1:$1,0)),"")</f>
        <v/>
      </c>
    </row>
    <row r="442" hidden="1">
      <c r="J442" s="4">
        <f t="array" ref="J442">IFERROR(INDEX(Unified_Matrix!$A:$ZZ,ROW(A439),MATCH("Max "&amp;$J$9,Unified_Matrix!$1:$1,0)),"")</f>
        <v/>
      </c>
      <c r="K442" s="4">
        <f t="array" ref="K442">IFERROR(INDEX(Unified_Matrix!$A:$ZZ,ROW(A439),MATCH("Evolution_Name",Unified_Matrix!$1:$1,0)),"")</f>
        <v/>
      </c>
      <c r="L442" s="4">
        <f>IF(J442="","",IF(J442=0,"",IF(J442=$AB$28,1,IF(J442=$AB$29,2,IF(J442=$AB$30,3,"")))))</f>
        <v/>
      </c>
      <c r="M442" s="4">
        <f t="array" ref="M442">IFERROR(INDEX(Unified_Matrix!$A:$ZZ,ROW(A439),MATCH("+ OVR",Unified_Matrix!$1:$1,0)),"")</f>
        <v/>
      </c>
      <c r="N442" s="4">
        <f t="array" ref="N442">IFERROR(INDEX(Unified_Matrix!$A:$ZZ,ROW(A439),MATCH("Max OVR",Unified_Matrix!$1:$1,0)),"")</f>
        <v/>
      </c>
      <c r="O442" s="4">
        <f t="array" ref="O442">IFERROR(INDEX(Unified_Matrix!$A:$ZZ,ROW(A439),MATCH("Req_Position",Unified_Matrix!$1:$1,0)),"")</f>
        <v/>
      </c>
      <c r="P442" s="4">
        <f t="array" ref="P442">IFERROR(INDEX(Unified_Matrix!$A:$ZZ,ROW(A439),MATCH("Req_OVR_Max",Unified_Matrix!$1:$1,0)),"")</f>
        <v/>
      </c>
      <c r="Q442" s="4">
        <f t="array" ref="Q442">IFERROR(INDEX(Unified_Matrix!$A:$ZZ,ROW(A439),MATCH("Req_Other",Unified_Matrix!$1:$1,0)),"")</f>
        <v/>
      </c>
    </row>
    <row r="443" hidden="1">
      <c r="J443" s="4">
        <f t="array" ref="J443">IFERROR(INDEX(Unified_Matrix!$A:$ZZ,ROW(A440),MATCH("Max "&amp;$J$9,Unified_Matrix!$1:$1,0)),"")</f>
        <v/>
      </c>
      <c r="K443" s="4">
        <f t="array" ref="K443">IFERROR(INDEX(Unified_Matrix!$A:$ZZ,ROW(A440),MATCH("Evolution_Name",Unified_Matrix!$1:$1,0)),"")</f>
        <v/>
      </c>
      <c r="L443" s="4">
        <f>IF(J443="","",IF(J443=0,"",IF(J443=$AB$28,1,IF(J443=$AB$29,2,IF(J443=$AB$30,3,"")))))</f>
        <v/>
      </c>
      <c r="M443" s="4">
        <f t="array" ref="M443">IFERROR(INDEX(Unified_Matrix!$A:$ZZ,ROW(A440),MATCH("+ OVR",Unified_Matrix!$1:$1,0)),"")</f>
        <v/>
      </c>
      <c r="N443" s="4">
        <f t="array" ref="N443">IFERROR(INDEX(Unified_Matrix!$A:$ZZ,ROW(A440),MATCH("Max OVR",Unified_Matrix!$1:$1,0)),"")</f>
        <v/>
      </c>
      <c r="O443" s="4">
        <f t="array" ref="O443">IFERROR(INDEX(Unified_Matrix!$A:$ZZ,ROW(A440),MATCH("Req_Position",Unified_Matrix!$1:$1,0)),"")</f>
        <v/>
      </c>
      <c r="P443" s="4">
        <f t="array" ref="P443">IFERROR(INDEX(Unified_Matrix!$A:$ZZ,ROW(A440),MATCH("Req_OVR_Max",Unified_Matrix!$1:$1,0)),"")</f>
        <v/>
      </c>
      <c r="Q443" s="4">
        <f t="array" ref="Q443">IFERROR(INDEX(Unified_Matrix!$A:$ZZ,ROW(A440),MATCH("Req_Other",Unified_Matrix!$1:$1,0)),"")</f>
        <v/>
      </c>
    </row>
    <row r="444" hidden="1">
      <c r="J444" s="4">
        <f t="array" ref="J444">IFERROR(INDEX(Unified_Matrix!$A:$ZZ,ROW(A441),MATCH("Max "&amp;$J$9,Unified_Matrix!$1:$1,0)),"")</f>
        <v/>
      </c>
      <c r="K444" s="4">
        <f t="array" ref="K444">IFERROR(INDEX(Unified_Matrix!$A:$ZZ,ROW(A441),MATCH("Evolution_Name",Unified_Matrix!$1:$1,0)),"")</f>
        <v/>
      </c>
      <c r="L444" s="4">
        <f>IF(J444="","",IF(J444=0,"",IF(J444=$AB$28,1,IF(J444=$AB$29,2,IF(J444=$AB$30,3,"")))))</f>
        <v/>
      </c>
      <c r="M444" s="4">
        <f t="array" ref="M444">IFERROR(INDEX(Unified_Matrix!$A:$ZZ,ROW(A441),MATCH("+ OVR",Unified_Matrix!$1:$1,0)),"")</f>
        <v/>
      </c>
      <c r="N444" s="4">
        <f t="array" ref="N444">IFERROR(INDEX(Unified_Matrix!$A:$ZZ,ROW(A441),MATCH("Max OVR",Unified_Matrix!$1:$1,0)),"")</f>
        <v/>
      </c>
      <c r="O444" s="4">
        <f t="array" ref="O444">IFERROR(INDEX(Unified_Matrix!$A:$ZZ,ROW(A441),MATCH("Req_Position",Unified_Matrix!$1:$1,0)),"")</f>
        <v/>
      </c>
      <c r="P444" s="4">
        <f t="array" ref="P444">IFERROR(INDEX(Unified_Matrix!$A:$ZZ,ROW(A441),MATCH("Req_OVR_Max",Unified_Matrix!$1:$1,0)),"")</f>
        <v/>
      </c>
      <c r="Q444" s="4">
        <f t="array" ref="Q444">IFERROR(INDEX(Unified_Matrix!$A:$ZZ,ROW(A441),MATCH("Req_Other",Unified_Matrix!$1:$1,0)),"")</f>
        <v/>
      </c>
    </row>
    <row r="445" hidden="1">
      <c r="J445" s="4">
        <f t="array" ref="J445">IFERROR(INDEX(Unified_Matrix!$A:$ZZ,ROW(A442),MATCH("Max "&amp;$J$9,Unified_Matrix!$1:$1,0)),"")</f>
        <v/>
      </c>
      <c r="K445" s="4">
        <f t="array" ref="K445">IFERROR(INDEX(Unified_Matrix!$A:$ZZ,ROW(A442),MATCH("Evolution_Name",Unified_Matrix!$1:$1,0)),"")</f>
        <v/>
      </c>
      <c r="L445" s="4">
        <f>IF(J445="","",IF(J445=0,"",IF(J445=$AB$28,1,IF(J445=$AB$29,2,IF(J445=$AB$30,3,"")))))</f>
        <v/>
      </c>
      <c r="M445" s="4">
        <f t="array" ref="M445">IFERROR(INDEX(Unified_Matrix!$A:$ZZ,ROW(A442),MATCH("+ OVR",Unified_Matrix!$1:$1,0)),"")</f>
        <v/>
      </c>
      <c r="N445" s="4">
        <f t="array" ref="N445">IFERROR(INDEX(Unified_Matrix!$A:$ZZ,ROW(A442),MATCH("Max OVR",Unified_Matrix!$1:$1,0)),"")</f>
        <v/>
      </c>
      <c r="O445" s="4">
        <f t="array" ref="O445">IFERROR(INDEX(Unified_Matrix!$A:$ZZ,ROW(A442),MATCH("Req_Position",Unified_Matrix!$1:$1,0)),"")</f>
        <v/>
      </c>
      <c r="P445" s="4">
        <f t="array" ref="P445">IFERROR(INDEX(Unified_Matrix!$A:$ZZ,ROW(A442),MATCH("Req_OVR_Max",Unified_Matrix!$1:$1,0)),"")</f>
        <v/>
      </c>
      <c r="Q445" s="4">
        <f t="array" ref="Q445">IFERROR(INDEX(Unified_Matrix!$A:$ZZ,ROW(A442),MATCH("Req_Other",Unified_Matrix!$1:$1,0)),"")</f>
        <v/>
      </c>
    </row>
    <row r="446" hidden="1">
      <c r="J446" s="4">
        <f t="array" ref="J446">IFERROR(INDEX(Unified_Matrix!$A:$ZZ,ROW(A443),MATCH("Max "&amp;$J$9,Unified_Matrix!$1:$1,0)),"")</f>
        <v/>
      </c>
      <c r="K446" s="4">
        <f t="array" ref="K446">IFERROR(INDEX(Unified_Matrix!$A:$ZZ,ROW(A443),MATCH("Evolution_Name",Unified_Matrix!$1:$1,0)),"")</f>
        <v/>
      </c>
      <c r="L446" s="4">
        <f>IF(J446="","",IF(J446=0,"",IF(J446=$AB$28,1,IF(J446=$AB$29,2,IF(J446=$AB$30,3,"")))))</f>
        <v/>
      </c>
      <c r="M446" s="4">
        <f t="array" ref="M446">IFERROR(INDEX(Unified_Matrix!$A:$ZZ,ROW(A443),MATCH("+ OVR",Unified_Matrix!$1:$1,0)),"")</f>
        <v/>
      </c>
      <c r="N446" s="4">
        <f t="array" ref="N446">IFERROR(INDEX(Unified_Matrix!$A:$ZZ,ROW(A443),MATCH("Max OVR",Unified_Matrix!$1:$1,0)),"")</f>
        <v/>
      </c>
      <c r="O446" s="4">
        <f t="array" ref="O446">IFERROR(INDEX(Unified_Matrix!$A:$ZZ,ROW(A443),MATCH("Req_Position",Unified_Matrix!$1:$1,0)),"")</f>
        <v/>
      </c>
      <c r="P446" s="4">
        <f t="array" ref="P446">IFERROR(INDEX(Unified_Matrix!$A:$ZZ,ROW(A443),MATCH("Req_OVR_Max",Unified_Matrix!$1:$1,0)),"")</f>
        <v/>
      </c>
      <c r="Q446" s="4">
        <f t="array" ref="Q446">IFERROR(INDEX(Unified_Matrix!$A:$ZZ,ROW(A443),MATCH("Req_Other",Unified_Matrix!$1:$1,0)),"")</f>
        <v/>
      </c>
    </row>
    <row r="447" hidden="1">
      <c r="J447" s="4">
        <f t="array" ref="J447">IFERROR(INDEX(Unified_Matrix!$A:$ZZ,ROW(A444),MATCH("Max "&amp;$J$9,Unified_Matrix!$1:$1,0)),"")</f>
        <v/>
      </c>
      <c r="K447" s="4">
        <f t="array" ref="K447">IFERROR(INDEX(Unified_Matrix!$A:$ZZ,ROW(A444),MATCH("Evolution_Name",Unified_Matrix!$1:$1,0)),"")</f>
        <v/>
      </c>
      <c r="L447" s="4">
        <f>IF(J447="","",IF(J447=0,"",IF(J447=$AB$28,1,IF(J447=$AB$29,2,IF(J447=$AB$30,3,"")))))</f>
        <v/>
      </c>
      <c r="M447" s="4">
        <f t="array" ref="M447">IFERROR(INDEX(Unified_Matrix!$A:$ZZ,ROW(A444),MATCH("+ OVR",Unified_Matrix!$1:$1,0)),"")</f>
        <v/>
      </c>
      <c r="N447" s="4">
        <f t="array" ref="N447">IFERROR(INDEX(Unified_Matrix!$A:$ZZ,ROW(A444),MATCH("Max OVR",Unified_Matrix!$1:$1,0)),"")</f>
        <v/>
      </c>
      <c r="O447" s="4">
        <f t="array" ref="O447">IFERROR(INDEX(Unified_Matrix!$A:$ZZ,ROW(A444),MATCH("Req_Position",Unified_Matrix!$1:$1,0)),"")</f>
        <v/>
      </c>
      <c r="P447" s="4">
        <f t="array" ref="P447">IFERROR(INDEX(Unified_Matrix!$A:$ZZ,ROW(A444),MATCH("Req_OVR_Max",Unified_Matrix!$1:$1,0)),"")</f>
        <v/>
      </c>
      <c r="Q447" s="4">
        <f t="array" ref="Q447">IFERROR(INDEX(Unified_Matrix!$A:$ZZ,ROW(A444),MATCH("Req_Other",Unified_Matrix!$1:$1,0)),"")</f>
        <v/>
      </c>
    </row>
    <row r="448" hidden="1">
      <c r="J448" s="4">
        <f t="array" ref="J448">IFERROR(INDEX(Unified_Matrix!$A:$ZZ,ROW(A445),MATCH("Max "&amp;$J$9,Unified_Matrix!$1:$1,0)),"")</f>
        <v/>
      </c>
      <c r="K448" s="4">
        <f t="array" ref="K448">IFERROR(INDEX(Unified_Matrix!$A:$ZZ,ROW(A445),MATCH("Evolution_Name",Unified_Matrix!$1:$1,0)),"")</f>
        <v/>
      </c>
      <c r="L448" s="4">
        <f>IF(J448="","",IF(J448=0,"",IF(J448=$AB$28,1,IF(J448=$AB$29,2,IF(J448=$AB$30,3,"")))))</f>
        <v/>
      </c>
      <c r="M448" s="4">
        <f t="array" ref="M448">IFERROR(INDEX(Unified_Matrix!$A:$ZZ,ROW(A445),MATCH("+ OVR",Unified_Matrix!$1:$1,0)),"")</f>
        <v/>
      </c>
      <c r="N448" s="4">
        <f t="array" ref="N448">IFERROR(INDEX(Unified_Matrix!$A:$ZZ,ROW(A445),MATCH("Max OVR",Unified_Matrix!$1:$1,0)),"")</f>
        <v/>
      </c>
      <c r="O448" s="4">
        <f t="array" ref="O448">IFERROR(INDEX(Unified_Matrix!$A:$ZZ,ROW(A445),MATCH("Req_Position",Unified_Matrix!$1:$1,0)),"")</f>
        <v/>
      </c>
      <c r="P448" s="4">
        <f t="array" ref="P448">IFERROR(INDEX(Unified_Matrix!$A:$ZZ,ROW(A445),MATCH("Req_OVR_Max",Unified_Matrix!$1:$1,0)),"")</f>
        <v/>
      </c>
      <c r="Q448" s="4">
        <f t="array" ref="Q448">IFERROR(INDEX(Unified_Matrix!$A:$ZZ,ROW(A445),MATCH("Req_Other",Unified_Matrix!$1:$1,0)),"")</f>
        <v/>
      </c>
    </row>
    <row r="449" hidden="1">
      <c r="J449" s="4">
        <f t="array" ref="J449">IFERROR(INDEX(Unified_Matrix!$A:$ZZ,ROW(A446),MATCH("Max "&amp;$J$9,Unified_Matrix!$1:$1,0)),"")</f>
        <v/>
      </c>
      <c r="K449" s="4">
        <f t="array" ref="K449">IFERROR(INDEX(Unified_Matrix!$A:$ZZ,ROW(A446),MATCH("Evolution_Name",Unified_Matrix!$1:$1,0)),"")</f>
        <v/>
      </c>
      <c r="L449" s="4">
        <f>IF(J449="","",IF(J449=0,"",IF(J449=$AB$28,1,IF(J449=$AB$29,2,IF(J449=$AB$30,3,"")))))</f>
        <v/>
      </c>
      <c r="M449" s="4">
        <f t="array" ref="M449">IFERROR(INDEX(Unified_Matrix!$A:$ZZ,ROW(A446),MATCH("+ OVR",Unified_Matrix!$1:$1,0)),"")</f>
        <v/>
      </c>
      <c r="N449" s="4">
        <f t="array" ref="N449">IFERROR(INDEX(Unified_Matrix!$A:$ZZ,ROW(A446),MATCH("Max OVR",Unified_Matrix!$1:$1,0)),"")</f>
        <v/>
      </c>
      <c r="O449" s="4">
        <f t="array" ref="O449">IFERROR(INDEX(Unified_Matrix!$A:$ZZ,ROW(A446),MATCH("Req_Position",Unified_Matrix!$1:$1,0)),"")</f>
        <v/>
      </c>
      <c r="P449" s="4">
        <f t="array" ref="P449">IFERROR(INDEX(Unified_Matrix!$A:$ZZ,ROW(A446),MATCH("Req_OVR_Max",Unified_Matrix!$1:$1,0)),"")</f>
        <v/>
      </c>
      <c r="Q449" s="4">
        <f t="array" ref="Q449">IFERROR(INDEX(Unified_Matrix!$A:$ZZ,ROW(A446),MATCH("Req_Other",Unified_Matrix!$1:$1,0)),"")</f>
        <v/>
      </c>
    </row>
    <row r="450" hidden="1">
      <c r="J450" s="4">
        <f t="array" ref="J450">IFERROR(INDEX(Unified_Matrix!$A:$ZZ,ROW(A447),MATCH("Max "&amp;$J$9,Unified_Matrix!$1:$1,0)),"")</f>
        <v/>
      </c>
      <c r="K450" s="4">
        <f t="array" ref="K450">IFERROR(INDEX(Unified_Matrix!$A:$ZZ,ROW(A447),MATCH("Evolution_Name",Unified_Matrix!$1:$1,0)),"")</f>
        <v/>
      </c>
      <c r="L450" s="4">
        <f>IF(J450="","",IF(J450=0,"",IF(J450=$AB$28,1,IF(J450=$AB$29,2,IF(J450=$AB$30,3,"")))))</f>
        <v/>
      </c>
      <c r="M450" s="4">
        <f t="array" ref="M450">IFERROR(INDEX(Unified_Matrix!$A:$ZZ,ROW(A447),MATCH("+ OVR",Unified_Matrix!$1:$1,0)),"")</f>
        <v/>
      </c>
      <c r="N450" s="4">
        <f t="array" ref="N450">IFERROR(INDEX(Unified_Matrix!$A:$ZZ,ROW(A447),MATCH("Max OVR",Unified_Matrix!$1:$1,0)),"")</f>
        <v/>
      </c>
      <c r="O450" s="4">
        <f t="array" ref="O450">IFERROR(INDEX(Unified_Matrix!$A:$ZZ,ROW(A447),MATCH("Req_Position",Unified_Matrix!$1:$1,0)),"")</f>
        <v/>
      </c>
      <c r="P450" s="4">
        <f t="array" ref="P450">IFERROR(INDEX(Unified_Matrix!$A:$ZZ,ROW(A447),MATCH("Req_OVR_Max",Unified_Matrix!$1:$1,0)),"")</f>
        <v/>
      </c>
      <c r="Q450" s="4">
        <f t="array" ref="Q450">IFERROR(INDEX(Unified_Matrix!$A:$ZZ,ROW(A447),MATCH("Req_Other",Unified_Matrix!$1:$1,0)),"")</f>
        <v/>
      </c>
    </row>
    <row r="451" hidden="1">
      <c r="J451" s="4">
        <f t="array" ref="J451">IFERROR(INDEX(Unified_Matrix!$A:$ZZ,ROW(A448),MATCH("Max "&amp;$J$9,Unified_Matrix!$1:$1,0)),"")</f>
        <v/>
      </c>
      <c r="K451" s="4">
        <f t="array" ref="K451">IFERROR(INDEX(Unified_Matrix!$A:$ZZ,ROW(A448),MATCH("Evolution_Name",Unified_Matrix!$1:$1,0)),"")</f>
        <v/>
      </c>
      <c r="L451" s="4">
        <f>IF(J451="","",IF(J451=0,"",IF(J451=$AB$28,1,IF(J451=$AB$29,2,IF(J451=$AB$30,3,"")))))</f>
        <v/>
      </c>
      <c r="M451" s="4">
        <f t="array" ref="M451">IFERROR(INDEX(Unified_Matrix!$A:$ZZ,ROW(A448),MATCH("+ OVR",Unified_Matrix!$1:$1,0)),"")</f>
        <v/>
      </c>
      <c r="N451" s="4">
        <f t="array" ref="N451">IFERROR(INDEX(Unified_Matrix!$A:$ZZ,ROW(A448),MATCH("Max OVR",Unified_Matrix!$1:$1,0)),"")</f>
        <v/>
      </c>
      <c r="O451" s="4">
        <f t="array" ref="O451">IFERROR(INDEX(Unified_Matrix!$A:$ZZ,ROW(A448),MATCH("Req_Position",Unified_Matrix!$1:$1,0)),"")</f>
        <v/>
      </c>
      <c r="P451" s="4">
        <f t="array" ref="P451">IFERROR(INDEX(Unified_Matrix!$A:$ZZ,ROW(A448),MATCH("Req_OVR_Max",Unified_Matrix!$1:$1,0)),"")</f>
        <v/>
      </c>
      <c r="Q451" s="4">
        <f t="array" ref="Q451">IFERROR(INDEX(Unified_Matrix!$A:$ZZ,ROW(A448),MATCH("Req_Other",Unified_Matrix!$1:$1,0)),"")</f>
        <v/>
      </c>
    </row>
    <row r="452" hidden="1">
      <c r="J452" s="4">
        <f t="array" ref="J452">IFERROR(INDEX(Unified_Matrix!$A:$ZZ,ROW(A449),MATCH("Max "&amp;$J$9,Unified_Matrix!$1:$1,0)),"")</f>
        <v/>
      </c>
      <c r="K452" s="4">
        <f t="array" ref="K452">IFERROR(INDEX(Unified_Matrix!$A:$ZZ,ROW(A449),MATCH("Evolution_Name",Unified_Matrix!$1:$1,0)),"")</f>
        <v/>
      </c>
      <c r="L452" s="4">
        <f>IF(J452="","",IF(J452=0,"",IF(J452=$AB$28,1,IF(J452=$AB$29,2,IF(J452=$AB$30,3,"")))))</f>
        <v/>
      </c>
      <c r="M452" s="4">
        <f t="array" ref="M452">IFERROR(INDEX(Unified_Matrix!$A:$ZZ,ROW(A449),MATCH("+ OVR",Unified_Matrix!$1:$1,0)),"")</f>
        <v/>
      </c>
      <c r="N452" s="4">
        <f t="array" ref="N452">IFERROR(INDEX(Unified_Matrix!$A:$ZZ,ROW(A449),MATCH("Max OVR",Unified_Matrix!$1:$1,0)),"")</f>
        <v/>
      </c>
      <c r="O452" s="4">
        <f t="array" ref="O452">IFERROR(INDEX(Unified_Matrix!$A:$ZZ,ROW(A449),MATCH("Req_Position",Unified_Matrix!$1:$1,0)),"")</f>
        <v/>
      </c>
      <c r="P452" s="4">
        <f t="array" ref="P452">IFERROR(INDEX(Unified_Matrix!$A:$ZZ,ROW(A449),MATCH("Req_OVR_Max",Unified_Matrix!$1:$1,0)),"")</f>
        <v/>
      </c>
      <c r="Q452" s="4">
        <f t="array" ref="Q452">IFERROR(INDEX(Unified_Matrix!$A:$ZZ,ROW(A449),MATCH("Req_Other",Unified_Matrix!$1:$1,0)),"")</f>
        <v/>
      </c>
    </row>
    <row r="453" hidden="1">
      <c r="J453" s="4">
        <f t="array" ref="J453">IFERROR(INDEX(Unified_Matrix!$A:$ZZ,ROW(A450),MATCH("Max "&amp;$J$9,Unified_Matrix!$1:$1,0)),"")</f>
        <v/>
      </c>
      <c r="K453" s="4">
        <f t="array" ref="K453">IFERROR(INDEX(Unified_Matrix!$A:$ZZ,ROW(A450),MATCH("Evolution_Name",Unified_Matrix!$1:$1,0)),"")</f>
        <v/>
      </c>
      <c r="L453" s="4">
        <f>IF(J453="","",IF(J453=0,"",IF(J453=$AB$28,1,IF(J453=$AB$29,2,IF(J453=$AB$30,3,"")))))</f>
        <v/>
      </c>
      <c r="M453" s="4">
        <f t="array" ref="M453">IFERROR(INDEX(Unified_Matrix!$A:$ZZ,ROW(A450),MATCH("+ OVR",Unified_Matrix!$1:$1,0)),"")</f>
        <v/>
      </c>
      <c r="N453" s="4">
        <f t="array" ref="N453">IFERROR(INDEX(Unified_Matrix!$A:$ZZ,ROW(A450),MATCH("Max OVR",Unified_Matrix!$1:$1,0)),"")</f>
        <v/>
      </c>
      <c r="O453" s="4">
        <f t="array" ref="O453">IFERROR(INDEX(Unified_Matrix!$A:$ZZ,ROW(A450),MATCH("Req_Position",Unified_Matrix!$1:$1,0)),"")</f>
        <v/>
      </c>
      <c r="P453" s="4">
        <f t="array" ref="P453">IFERROR(INDEX(Unified_Matrix!$A:$ZZ,ROW(A450),MATCH("Req_OVR_Max",Unified_Matrix!$1:$1,0)),"")</f>
        <v/>
      </c>
      <c r="Q453" s="4">
        <f t="array" ref="Q453">IFERROR(INDEX(Unified_Matrix!$A:$ZZ,ROW(A450),MATCH("Req_Other",Unified_Matrix!$1:$1,0)),"")</f>
        <v/>
      </c>
    </row>
    <row r="454" hidden="1">
      <c r="J454" s="4">
        <f t="array" ref="J454">IFERROR(INDEX(Unified_Matrix!$A:$ZZ,ROW(A451),MATCH("Max "&amp;$J$9,Unified_Matrix!$1:$1,0)),"")</f>
        <v/>
      </c>
      <c r="K454" s="4">
        <f t="array" ref="K454">IFERROR(INDEX(Unified_Matrix!$A:$ZZ,ROW(A451),MATCH("Evolution_Name",Unified_Matrix!$1:$1,0)),"")</f>
        <v/>
      </c>
      <c r="L454" s="4">
        <f>IF(J454="","",IF(J454=0,"",IF(J454=$AB$28,1,IF(J454=$AB$29,2,IF(J454=$AB$30,3,"")))))</f>
        <v/>
      </c>
      <c r="M454" s="4">
        <f t="array" ref="M454">IFERROR(INDEX(Unified_Matrix!$A:$ZZ,ROW(A451),MATCH("+ OVR",Unified_Matrix!$1:$1,0)),"")</f>
        <v/>
      </c>
      <c r="N454" s="4">
        <f t="array" ref="N454">IFERROR(INDEX(Unified_Matrix!$A:$ZZ,ROW(A451),MATCH("Max OVR",Unified_Matrix!$1:$1,0)),"")</f>
        <v/>
      </c>
      <c r="O454" s="4">
        <f t="array" ref="O454">IFERROR(INDEX(Unified_Matrix!$A:$ZZ,ROW(A451),MATCH("Req_Position",Unified_Matrix!$1:$1,0)),"")</f>
        <v/>
      </c>
      <c r="P454" s="4">
        <f t="array" ref="P454">IFERROR(INDEX(Unified_Matrix!$A:$ZZ,ROW(A451),MATCH("Req_OVR_Max",Unified_Matrix!$1:$1,0)),"")</f>
        <v/>
      </c>
      <c r="Q454" s="4">
        <f t="array" ref="Q454">IFERROR(INDEX(Unified_Matrix!$A:$ZZ,ROW(A451),MATCH("Req_Other",Unified_Matrix!$1:$1,0)),"")</f>
        <v/>
      </c>
    </row>
    <row r="455" hidden="1">
      <c r="J455" s="4">
        <f t="array" ref="J455">IFERROR(INDEX(Unified_Matrix!$A:$ZZ,ROW(A452),MATCH("Max "&amp;$J$9,Unified_Matrix!$1:$1,0)),"")</f>
        <v/>
      </c>
      <c r="K455" s="4">
        <f t="array" ref="K455">IFERROR(INDEX(Unified_Matrix!$A:$ZZ,ROW(A452),MATCH("Evolution_Name",Unified_Matrix!$1:$1,0)),"")</f>
        <v/>
      </c>
      <c r="L455" s="4">
        <f>IF(J455="","",IF(J455=0,"",IF(J455=$AB$28,1,IF(J455=$AB$29,2,IF(J455=$AB$30,3,"")))))</f>
        <v/>
      </c>
      <c r="M455" s="4">
        <f t="array" ref="M455">IFERROR(INDEX(Unified_Matrix!$A:$ZZ,ROW(A452),MATCH("+ OVR",Unified_Matrix!$1:$1,0)),"")</f>
        <v/>
      </c>
      <c r="N455" s="4">
        <f t="array" ref="N455">IFERROR(INDEX(Unified_Matrix!$A:$ZZ,ROW(A452),MATCH("Max OVR",Unified_Matrix!$1:$1,0)),"")</f>
        <v/>
      </c>
      <c r="O455" s="4">
        <f t="array" ref="O455">IFERROR(INDEX(Unified_Matrix!$A:$ZZ,ROW(A452),MATCH("Req_Position",Unified_Matrix!$1:$1,0)),"")</f>
        <v/>
      </c>
      <c r="P455" s="4">
        <f t="array" ref="P455">IFERROR(INDEX(Unified_Matrix!$A:$ZZ,ROW(A452),MATCH("Req_OVR_Max",Unified_Matrix!$1:$1,0)),"")</f>
        <v/>
      </c>
      <c r="Q455" s="4">
        <f t="array" ref="Q455">IFERROR(INDEX(Unified_Matrix!$A:$ZZ,ROW(A452),MATCH("Req_Other",Unified_Matrix!$1:$1,0)),"")</f>
        <v/>
      </c>
    </row>
    <row r="456" hidden="1">
      <c r="J456" s="4">
        <f t="array" ref="J456">IFERROR(INDEX(Unified_Matrix!$A:$ZZ,ROW(A453),MATCH("Max "&amp;$J$9,Unified_Matrix!$1:$1,0)),"")</f>
        <v/>
      </c>
      <c r="K456" s="4">
        <f t="array" ref="K456">IFERROR(INDEX(Unified_Matrix!$A:$ZZ,ROW(A453),MATCH("Evolution_Name",Unified_Matrix!$1:$1,0)),"")</f>
        <v/>
      </c>
      <c r="L456" s="4">
        <f>IF(J456="","",IF(J456=0,"",IF(J456=$AB$28,1,IF(J456=$AB$29,2,IF(J456=$AB$30,3,"")))))</f>
        <v/>
      </c>
      <c r="M456" s="4">
        <f t="array" ref="M456">IFERROR(INDEX(Unified_Matrix!$A:$ZZ,ROW(A453),MATCH("+ OVR",Unified_Matrix!$1:$1,0)),"")</f>
        <v/>
      </c>
      <c r="N456" s="4">
        <f t="array" ref="N456">IFERROR(INDEX(Unified_Matrix!$A:$ZZ,ROW(A453),MATCH("Max OVR",Unified_Matrix!$1:$1,0)),"")</f>
        <v/>
      </c>
      <c r="O456" s="4">
        <f t="array" ref="O456">IFERROR(INDEX(Unified_Matrix!$A:$ZZ,ROW(A453),MATCH("Req_Position",Unified_Matrix!$1:$1,0)),"")</f>
        <v/>
      </c>
      <c r="P456" s="4">
        <f t="array" ref="P456">IFERROR(INDEX(Unified_Matrix!$A:$ZZ,ROW(A453),MATCH("Req_OVR_Max",Unified_Matrix!$1:$1,0)),"")</f>
        <v/>
      </c>
      <c r="Q456" s="4">
        <f t="array" ref="Q456">IFERROR(INDEX(Unified_Matrix!$A:$ZZ,ROW(A453),MATCH("Req_Other",Unified_Matrix!$1:$1,0)),"")</f>
        <v/>
      </c>
    </row>
    <row r="457" hidden="1">
      <c r="J457" s="4">
        <f t="array" ref="J457">IFERROR(INDEX(Unified_Matrix!$A:$ZZ,ROW(A454),MATCH("Max "&amp;$J$9,Unified_Matrix!$1:$1,0)),"")</f>
        <v/>
      </c>
      <c r="K457" s="4">
        <f t="array" ref="K457">IFERROR(INDEX(Unified_Matrix!$A:$ZZ,ROW(A454),MATCH("Evolution_Name",Unified_Matrix!$1:$1,0)),"")</f>
        <v/>
      </c>
      <c r="L457" s="4">
        <f>IF(J457="","",IF(J457=0,"",IF(J457=$AB$28,1,IF(J457=$AB$29,2,IF(J457=$AB$30,3,"")))))</f>
        <v/>
      </c>
      <c r="M457" s="4">
        <f t="array" ref="M457">IFERROR(INDEX(Unified_Matrix!$A:$ZZ,ROW(A454),MATCH("+ OVR",Unified_Matrix!$1:$1,0)),"")</f>
        <v/>
      </c>
      <c r="N457" s="4">
        <f t="array" ref="N457">IFERROR(INDEX(Unified_Matrix!$A:$ZZ,ROW(A454),MATCH("Max OVR",Unified_Matrix!$1:$1,0)),"")</f>
        <v/>
      </c>
      <c r="O457" s="4">
        <f t="array" ref="O457">IFERROR(INDEX(Unified_Matrix!$A:$ZZ,ROW(A454),MATCH("Req_Position",Unified_Matrix!$1:$1,0)),"")</f>
        <v/>
      </c>
      <c r="P457" s="4">
        <f t="array" ref="P457">IFERROR(INDEX(Unified_Matrix!$A:$ZZ,ROW(A454),MATCH("Req_OVR_Max",Unified_Matrix!$1:$1,0)),"")</f>
        <v/>
      </c>
      <c r="Q457" s="4">
        <f t="array" ref="Q457">IFERROR(INDEX(Unified_Matrix!$A:$ZZ,ROW(A454),MATCH("Req_Other",Unified_Matrix!$1:$1,0)),"")</f>
        <v/>
      </c>
    </row>
    <row r="458" hidden="1">
      <c r="J458" s="4">
        <f t="array" ref="J458">IFERROR(INDEX(Unified_Matrix!$A:$ZZ,ROW(A455),MATCH("Max "&amp;$J$9,Unified_Matrix!$1:$1,0)),"")</f>
        <v/>
      </c>
      <c r="K458" s="4">
        <f t="array" ref="K458">IFERROR(INDEX(Unified_Matrix!$A:$ZZ,ROW(A455),MATCH("Evolution_Name",Unified_Matrix!$1:$1,0)),"")</f>
        <v/>
      </c>
      <c r="L458" s="4">
        <f>IF(J458="","",IF(J458=0,"",IF(J458=$AB$28,1,IF(J458=$AB$29,2,IF(J458=$AB$30,3,"")))))</f>
        <v/>
      </c>
      <c r="M458" s="4">
        <f t="array" ref="M458">IFERROR(INDEX(Unified_Matrix!$A:$ZZ,ROW(A455),MATCH("+ OVR",Unified_Matrix!$1:$1,0)),"")</f>
        <v/>
      </c>
      <c r="N458" s="4">
        <f t="array" ref="N458">IFERROR(INDEX(Unified_Matrix!$A:$ZZ,ROW(A455),MATCH("Max OVR",Unified_Matrix!$1:$1,0)),"")</f>
        <v/>
      </c>
      <c r="O458" s="4">
        <f t="array" ref="O458">IFERROR(INDEX(Unified_Matrix!$A:$ZZ,ROW(A455),MATCH("Req_Position",Unified_Matrix!$1:$1,0)),"")</f>
        <v/>
      </c>
      <c r="P458" s="4">
        <f t="array" ref="P458">IFERROR(INDEX(Unified_Matrix!$A:$ZZ,ROW(A455),MATCH("Req_OVR_Max",Unified_Matrix!$1:$1,0)),"")</f>
        <v/>
      </c>
      <c r="Q458" s="4">
        <f t="array" ref="Q458">IFERROR(INDEX(Unified_Matrix!$A:$ZZ,ROW(A455),MATCH("Req_Other",Unified_Matrix!$1:$1,0)),"")</f>
        <v/>
      </c>
    </row>
    <row r="459" hidden="1">
      <c r="J459" s="4">
        <f t="array" ref="J459">IFERROR(INDEX(Unified_Matrix!$A:$ZZ,ROW(A456),MATCH("Max "&amp;$J$9,Unified_Matrix!$1:$1,0)),"")</f>
        <v/>
      </c>
      <c r="K459" s="4">
        <f t="array" ref="K459">IFERROR(INDEX(Unified_Matrix!$A:$ZZ,ROW(A456),MATCH("Evolution_Name",Unified_Matrix!$1:$1,0)),"")</f>
        <v/>
      </c>
      <c r="L459" s="4">
        <f>IF(J459="","",IF(J459=0,"",IF(J459=$AB$28,1,IF(J459=$AB$29,2,IF(J459=$AB$30,3,"")))))</f>
        <v/>
      </c>
      <c r="M459" s="4">
        <f t="array" ref="M459">IFERROR(INDEX(Unified_Matrix!$A:$ZZ,ROW(A456),MATCH("+ OVR",Unified_Matrix!$1:$1,0)),"")</f>
        <v/>
      </c>
      <c r="N459" s="4">
        <f t="array" ref="N459">IFERROR(INDEX(Unified_Matrix!$A:$ZZ,ROW(A456),MATCH("Max OVR",Unified_Matrix!$1:$1,0)),"")</f>
        <v/>
      </c>
      <c r="O459" s="4">
        <f t="array" ref="O459">IFERROR(INDEX(Unified_Matrix!$A:$ZZ,ROW(A456),MATCH("Req_Position",Unified_Matrix!$1:$1,0)),"")</f>
        <v/>
      </c>
      <c r="P459" s="4">
        <f t="array" ref="P459">IFERROR(INDEX(Unified_Matrix!$A:$ZZ,ROW(A456),MATCH("Req_OVR_Max",Unified_Matrix!$1:$1,0)),"")</f>
        <v/>
      </c>
      <c r="Q459" s="4">
        <f t="array" ref="Q459">IFERROR(INDEX(Unified_Matrix!$A:$ZZ,ROW(A456),MATCH("Req_Other",Unified_Matrix!$1:$1,0)),"")</f>
        <v/>
      </c>
    </row>
    <row r="460" hidden="1">
      <c r="J460" s="4">
        <f t="array" ref="J460">IFERROR(INDEX(Unified_Matrix!$A:$ZZ,ROW(A457),MATCH("Max "&amp;$J$9,Unified_Matrix!$1:$1,0)),"")</f>
        <v/>
      </c>
      <c r="K460" s="4">
        <f t="array" ref="K460">IFERROR(INDEX(Unified_Matrix!$A:$ZZ,ROW(A457),MATCH("Evolution_Name",Unified_Matrix!$1:$1,0)),"")</f>
        <v/>
      </c>
      <c r="L460" s="4">
        <f>IF(J460="","",IF(J460=0,"",IF(J460=$AB$28,1,IF(J460=$AB$29,2,IF(J460=$AB$30,3,"")))))</f>
        <v/>
      </c>
      <c r="M460" s="4">
        <f t="array" ref="M460">IFERROR(INDEX(Unified_Matrix!$A:$ZZ,ROW(A457),MATCH("+ OVR",Unified_Matrix!$1:$1,0)),"")</f>
        <v/>
      </c>
      <c r="N460" s="4">
        <f t="array" ref="N460">IFERROR(INDEX(Unified_Matrix!$A:$ZZ,ROW(A457),MATCH("Max OVR",Unified_Matrix!$1:$1,0)),"")</f>
        <v/>
      </c>
      <c r="O460" s="4">
        <f t="array" ref="O460">IFERROR(INDEX(Unified_Matrix!$A:$ZZ,ROW(A457),MATCH("Req_Position",Unified_Matrix!$1:$1,0)),"")</f>
        <v/>
      </c>
      <c r="P460" s="4">
        <f t="array" ref="P460">IFERROR(INDEX(Unified_Matrix!$A:$ZZ,ROW(A457),MATCH("Req_OVR_Max",Unified_Matrix!$1:$1,0)),"")</f>
        <v/>
      </c>
      <c r="Q460" s="4">
        <f t="array" ref="Q460">IFERROR(INDEX(Unified_Matrix!$A:$ZZ,ROW(A457),MATCH("Req_Other",Unified_Matrix!$1:$1,0)),"")</f>
        <v/>
      </c>
    </row>
    <row r="461" hidden="1">
      <c r="J461" s="4">
        <f t="array" ref="J461">IFERROR(INDEX(Unified_Matrix!$A:$ZZ,ROW(A458),MATCH("Max "&amp;$J$9,Unified_Matrix!$1:$1,0)),"")</f>
        <v/>
      </c>
      <c r="K461" s="4">
        <f t="array" ref="K461">IFERROR(INDEX(Unified_Matrix!$A:$ZZ,ROW(A458),MATCH("Evolution_Name",Unified_Matrix!$1:$1,0)),"")</f>
        <v/>
      </c>
      <c r="L461" s="4">
        <f>IF(J461="","",IF(J461=0,"",IF(J461=$AB$28,1,IF(J461=$AB$29,2,IF(J461=$AB$30,3,"")))))</f>
        <v/>
      </c>
      <c r="M461" s="4">
        <f t="array" ref="M461">IFERROR(INDEX(Unified_Matrix!$A:$ZZ,ROW(A458),MATCH("+ OVR",Unified_Matrix!$1:$1,0)),"")</f>
        <v/>
      </c>
      <c r="N461" s="4">
        <f t="array" ref="N461">IFERROR(INDEX(Unified_Matrix!$A:$ZZ,ROW(A458),MATCH("Max OVR",Unified_Matrix!$1:$1,0)),"")</f>
        <v/>
      </c>
      <c r="O461" s="4">
        <f t="array" ref="O461">IFERROR(INDEX(Unified_Matrix!$A:$ZZ,ROW(A458),MATCH("Req_Position",Unified_Matrix!$1:$1,0)),"")</f>
        <v/>
      </c>
      <c r="P461" s="4">
        <f t="array" ref="P461">IFERROR(INDEX(Unified_Matrix!$A:$ZZ,ROW(A458),MATCH("Req_OVR_Max",Unified_Matrix!$1:$1,0)),"")</f>
        <v/>
      </c>
      <c r="Q461" s="4">
        <f t="array" ref="Q461">IFERROR(INDEX(Unified_Matrix!$A:$ZZ,ROW(A458),MATCH("Req_Other",Unified_Matrix!$1:$1,0)),"")</f>
        <v/>
      </c>
    </row>
    <row r="462" hidden="1">
      <c r="J462" s="4">
        <f t="array" ref="J462">IFERROR(INDEX(Unified_Matrix!$A:$ZZ,ROW(A459),MATCH("Max "&amp;$J$9,Unified_Matrix!$1:$1,0)),"")</f>
        <v/>
      </c>
      <c r="K462" s="4">
        <f t="array" ref="K462">IFERROR(INDEX(Unified_Matrix!$A:$ZZ,ROW(A459),MATCH("Evolution_Name",Unified_Matrix!$1:$1,0)),"")</f>
        <v/>
      </c>
      <c r="L462" s="4">
        <f>IF(J462="","",IF(J462=0,"",IF(J462=$AB$28,1,IF(J462=$AB$29,2,IF(J462=$AB$30,3,"")))))</f>
        <v/>
      </c>
      <c r="M462" s="4">
        <f t="array" ref="M462">IFERROR(INDEX(Unified_Matrix!$A:$ZZ,ROW(A459),MATCH("+ OVR",Unified_Matrix!$1:$1,0)),"")</f>
        <v/>
      </c>
      <c r="N462" s="4">
        <f t="array" ref="N462">IFERROR(INDEX(Unified_Matrix!$A:$ZZ,ROW(A459),MATCH("Max OVR",Unified_Matrix!$1:$1,0)),"")</f>
        <v/>
      </c>
      <c r="O462" s="4">
        <f t="array" ref="O462">IFERROR(INDEX(Unified_Matrix!$A:$ZZ,ROW(A459),MATCH("Req_Position",Unified_Matrix!$1:$1,0)),"")</f>
        <v/>
      </c>
      <c r="P462" s="4">
        <f t="array" ref="P462">IFERROR(INDEX(Unified_Matrix!$A:$ZZ,ROW(A459),MATCH("Req_OVR_Max",Unified_Matrix!$1:$1,0)),"")</f>
        <v/>
      </c>
      <c r="Q462" s="4">
        <f t="array" ref="Q462">IFERROR(INDEX(Unified_Matrix!$A:$ZZ,ROW(A459),MATCH("Req_Other",Unified_Matrix!$1:$1,0)),"")</f>
        <v/>
      </c>
    </row>
    <row r="463" hidden="1">
      <c r="J463" s="4">
        <f t="array" ref="J463">IFERROR(INDEX(Unified_Matrix!$A:$ZZ,ROW(A460),MATCH("Max "&amp;$J$9,Unified_Matrix!$1:$1,0)),"")</f>
        <v/>
      </c>
      <c r="K463" s="4">
        <f t="array" ref="K463">IFERROR(INDEX(Unified_Matrix!$A:$ZZ,ROW(A460),MATCH("Evolution_Name",Unified_Matrix!$1:$1,0)),"")</f>
        <v/>
      </c>
      <c r="L463" s="4">
        <f>IF(J463="","",IF(J463=0,"",IF(J463=$AB$28,1,IF(J463=$AB$29,2,IF(J463=$AB$30,3,"")))))</f>
        <v/>
      </c>
      <c r="M463" s="4">
        <f t="array" ref="M463">IFERROR(INDEX(Unified_Matrix!$A:$ZZ,ROW(A460),MATCH("+ OVR",Unified_Matrix!$1:$1,0)),"")</f>
        <v/>
      </c>
      <c r="N463" s="4">
        <f t="array" ref="N463">IFERROR(INDEX(Unified_Matrix!$A:$ZZ,ROW(A460),MATCH("Max OVR",Unified_Matrix!$1:$1,0)),"")</f>
        <v/>
      </c>
      <c r="O463" s="4">
        <f t="array" ref="O463">IFERROR(INDEX(Unified_Matrix!$A:$ZZ,ROW(A460),MATCH("Req_Position",Unified_Matrix!$1:$1,0)),"")</f>
        <v/>
      </c>
      <c r="P463" s="4">
        <f t="array" ref="P463">IFERROR(INDEX(Unified_Matrix!$A:$ZZ,ROW(A460),MATCH("Req_OVR_Max",Unified_Matrix!$1:$1,0)),"")</f>
        <v/>
      </c>
      <c r="Q463" s="4">
        <f t="array" ref="Q463">IFERROR(INDEX(Unified_Matrix!$A:$ZZ,ROW(A460),MATCH("Req_Other",Unified_Matrix!$1:$1,0)),"")</f>
        <v/>
      </c>
    </row>
    <row r="464" hidden="1">
      <c r="J464" s="4">
        <f t="array" ref="J464">IFERROR(INDEX(Unified_Matrix!$A:$ZZ,ROW(A461),MATCH("Max "&amp;$J$9,Unified_Matrix!$1:$1,0)),"")</f>
        <v/>
      </c>
      <c r="K464" s="4">
        <f t="array" ref="K464">IFERROR(INDEX(Unified_Matrix!$A:$ZZ,ROW(A461),MATCH("Evolution_Name",Unified_Matrix!$1:$1,0)),"")</f>
        <v/>
      </c>
      <c r="L464" s="4">
        <f>IF(J464="","",IF(J464=0,"",IF(J464=$AB$28,1,IF(J464=$AB$29,2,IF(J464=$AB$30,3,"")))))</f>
        <v/>
      </c>
      <c r="M464" s="4">
        <f t="array" ref="M464">IFERROR(INDEX(Unified_Matrix!$A:$ZZ,ROW(A461),MATCH("+ OVR",Unified_Matrix!$1:$1,0)),"")</f>
        <v/>
      </c>
      <c r="N464" s="4">
        <f t="array" ref="N464">IFERROR(INDEX(Unified_Matrix!$A:$ZZ,ROW(A461),MATCH("Max OVR",Unified_Matrix!$1:$1,0)),"")</f>
        <v/>
      </c>
      <c r="O464" s="4">
        <f t="array" ref="O464">IFERROR(INDEX(Unified_Matrix!$A:$ZZ,ROW(A461),MATCH("Req_Position",Unified_Matrix!$1:$1,0)),"")</f>
        <v/>
      </c>
      <c r="P464" s="4">
        <f t="array" ref="P464">IFERROR(INDEX(Unified_Matrix!$A:$ZZ,ROW(A461),MATCH("Req_OVR_Max",Unified_Matrix!$1:$1,0)),"")</f>
        <v/>
      </c>
      <c r="Q464" s="4">
        <f t="array" ref="Q464">IFERROR(INDEX(Unified_Matrix!$A:$ZZ,ROW(A461),MATCH("Req_Other",Unified_Matrix!$1:$1,0)),"")</f>
        <v/>
      </c>
    </row>
    <row r="465" hidden="1">
      <c r="J465" s="4">
        <f t="array" ref="J465">IFERROR(INDEX(Unified_Matrix!$A:$ZZ,ROW(A462),MATCH("Max "&amp;$J$9,Unified_Matrix!$1:$1,0)),"")</f>
        <v/>
      </c>
      <c r="K465" s="4">
        <f t="array" ref="K465">IFERROR(INDEX(Unified_Matrix!$A:$ZZ,ROW(A462),MATCH("Evolution_Name",Unified_Matrix!$1:$1,0)),"")</f>
        <v/>
      </c>
      <c r="L465" s="4">
        <f>IF(J465="","",IF(J465=0,"",IF(J465=$AB$28,1,IF(J465=$AB$29,2,IF(J465=$AB$30,3,"")))))</f>
        <v/>
      </c>
      <c r="M465" s="4">
        <f t="array" ref="M465">IFERROR(INDEX(Unified_Matrix!$A:$ZZ,ROW(A462),MATCH("+ OVR",Unified_Matrix!$1:$1,0)),"")</f>
        <v/>
      </c>
      <c r="N465" s="4">
        <f t="array" ref="N465">IFERROR(INDEX(Unified_Matrix!$A:$ZZ,ROW(A462),MATCH("Max OVR",Unified_Matrix!$1:$1,0)),"")</f>
        <v/>
      </c>
      <c r="O465" s="4">
        <f t="array" ref="O465">IFERROR(INDEX(Unified_Matrix!$A:$ZZ,ROW(A462),MATCH("Req_Position",Unified_Matrix!$1:$1,0)),"")</f>
        <v/>
      </c>
      <c r="P465" s="4">
        <f t="array" ref="P465">IFERROR(INDEX(Unified_Matrix!$A:$ZZ,ROW(A462),MATCH("Req_OVR_Max",Unified_Matrix!$1:$1,0)),"")</f>
        <v/>
      </c>
      <c r="Q465" s="4">
        <f t="array" ref="Q465">IFERROR(INDEX(Unified_Matrix!$A:$ZZ,ROW(A462),MATCH("Req_Other",Unified_Matrix!$1:$1,0)),"")</f>
        <v/>
      </c>
    </row>
    <row r="466" hidden="1">
      <c r="J466" s="4">
        <f t="array" ref="J466">IFERROR(INDEX(Unified_Matrix!$A:$ZZ,ROW(A463),MATCH("Max "&amp;$J$9,Unified_Matrix!$1:$1,0)),"")</f>
        <v/>
      </c>
      <c r="K466" s="4">
        <f t="array" ref="K466">IFERROR(INDEX(Unified_Matrix!$A:$ZZ,ROW(A463),MATCH("Evolution_Name",Unified_Matrix!$1:$1,0)),"")</f>
        <v/>
      </c>
      <c r="L466" s="4">
        <f>IF(J466="","",IF(J466=0,"",IF(J466=$AB$28,1,IF(J466=$AB$29,2,IF(J466=$AB$30,3,"")))))</f>
        <v/>
      </c>
      <c r="M466" s="4">
        <f t="array" ref="M466">IFERROR(INDEX(Unified_Matrix!$A:$ZZ,ROW(A463),MATCH("+ OVR",Unified_Matrix!$1:$1,0)),"")</f>
        <v/>
      </c>
      <c r="N466" s="4">
        <f t="array" ref="N466">IFERROR(INDEX(Unified_Matrix!$A:$ZZ,ROW(A463),MATCH("Max OVR",Unified_Matrix!$1:$1,0)),"")</f>
        <v/>
      </c>
      <c r="O466" s="4">
        <f t="array" ref="O466">IFERROR(INDEX(Unified_Matrix!$A:$ZZ,ROW(A463),MATCH("Req_Position",Unified_Matrix!$1:$1,0)),"")</f>
        <v/>
      </c>
      <c r="P466" s="4">
        <f t="array" ref="P466">IFERROR(INDEX(Unified_Matrix!$A:$ZZ,ROW(A463),MATCH("Req_OVR_Max",Unified_Matrix!$1:$1,0)),"")</f>
        <v/>
      </c>
      <c r="Q466" s="4">
        <f t="array" ref="Q466">IFERROR(INDEX(Unified_Matrix!$A:$ZZ,ROW(A463),MATCH("Req_Other",Unified_Matrix!$1:$1,0)),"")</f>
        <v/>
      </c>
    </row>
    <row r="467" hidden="1">
      <c r="J467" s="4">
        <f t="array" ref="J467">IFERROR(INDEX(Unified_Matrix!$A:$ZZ,ROW(A464),MATCH("Max "&amp;$J$9,Unified_Matrix!$1:$1,0)),"")</f>
        <v/>
      </c>
      <c r="K467" s="4">
        <f t="array" ref="K467">IFERROR(INDEX(Unified_Matrix!$A:$ZZ,ROW(A464),MATCH("Evolution_Name",Unified_Matrix!$1:$1,0)),"")</f>
        <v/>
      </c>
      <c r="L467" s="4">
        <f>IF(J467="","",IF(J467=0,"",IF(J467=$AB$28,1,IF(J467=$AB$29,2,IF(J467=$AB$30,3,"")))))</f>
        <v/>
      </c>
      <c r="M467" s="4">
        <f t="array" ref="M467">IFERROR(INDEX(Unified_Matrix!$A:$ZZ,ROW(A464),MATCH("+ OVR",Unified_Matrix!$1:$1,0)),"")</f>
        <v/>
      </c>
      <c r="N467" s="4">
        <f t="array" ref="N467">IFERROR(INDEX(Unified_Matrix!$A:$ZZ,ROW(A464),MATCH("Max OVR",Unified_Matrix!$1:$1,0)),"")</f>
        <v/>
      </c>
      <c r="O467" s="4">
        <f t="array" ref="O467">IFERROR(INDEX(Unified_Matrix!$A:$ZZ,ROW(A464),MATCH("Req_Position",Unified_Matrix!$1:$1,0)),"")</f>
        <v/>
      </c>
      <c r="P467" s="4">
        <f t="array" ref="P467">IFERROR(INDEX(Unified_Matrix!$A:$ZZ,ROW(A464),MATCH("Req_OVR_Max",Unified_Matrix!$1:$1,0)),"")</f>
        <v/>
      </c>
      <c r="Q467" s="4">
        <f t="array" ref="Q467">IFERROR(INDEX(Unified_Matrix!$A:$ZZ,ROW(A464),MATCH("Req_Other",Unified_Matrix!$1:$1,0)),"")</f>
        <v/>
      </c>
    </row>
    <row r="468" hidden="1">
      <c r="J468" s="4">
        <f t="array" ref="J468">IFERROR(INDEX(Unified_Matrix!$A:$ZZ,ROW(A465),MATCH("Max "&amp;$J$9,Unified_Matrix!$1:$1,0)),"")</f>
        <v/>
      </c>
      <c r="K468" s="4">
        <f t="array" ref="K468">IFERROR(INDEX(Unified_Matrix!$A:$ZZ,ROW(A465),MATCH("Evolution_Name",Unified_Matrix!$1:$1,0)),"")</f>
        <v/>
      </c>
      <c r="L468" s="4">
        <f>IF(J468="","",IF(J468=0,"",IF(J468=$AB$28,1,IF(J468=$AB$29,2,IF(J468=$AB$30,3,"")))))</f>
        <v/>
      </c>
      <c r="M468" s="4">
        <f t="array" ref="M468">IFERROR(INDEX(Unified_Matrix!$A:$ZZ,ROW(A465),MATCH("+ OVR",Unified_Matrix!$1:$1,0)),"")</f>
        <v/>
      </c>
      <c r="N468" s="4">
        <f t="array" ref="N468">IFERROR(INDEX(Unified_Matrix!$A:$ZZ,ROW(A465),MATCH("Max OVR",Unified_Matrix!$1:$1,0)),"")</f>
        <v/>
      </c>
      <c r="O468" s="4">
        <f t="array" ref="O468">IFERROR(INDEX(Unified_Matrix!$A:$ZZ,ROW(A465),MATCH("Req_Position",Unified_Matrix!$1:$1,0)),"")</f>
        <v/>
      </c>
      <c r="P468" s="4">
        <f t="array" ref="P468">IFERROR(INDEX(Unified_Matrix!$A:$ZZ,ROW(A465),MATCH("Req_OVR_Max",Unified_Matrix!$1:$1,0)),"")</f>
        <v/>
      </c>
      <c r="Q468" s="4">
        <f t="array" ref="Q468">IFERROR(INDEX(Unified_Matrix!$A:$ZZ,ROW(A465),MATCH("Req_Other",Unified_Matrix!$1:$1,0)),"")</f>
        <v/>
      </c>
    </row>
    <row r="469" hidden="1">
      <c r="J469" s="4">
        <f t="array" ref="J469">IFERROR(INDEX(Unified_Matrix!$A:$ZZ,ROW(A466),MATCH("Max "&amp;$J$9,Unified_Matrix!$1:$1,0)),"")</f>
        <v/>
      </c>
      <c r="K469" s="4">
        <f t="array" ref="K469">IFERROR(INDEX(Unified_Matrix!$A:$ZZ,ROW(A466),MATCH("Evolution_Name",Unified_Matrix!$1:$1,0)),"")</f>
        <v/>
      </c>
      <c r="L469" s="4">
        <f>IF(J469="","",IF(J469=0,"",IF(J469=$AB$28,1,IF(J469=$AB$29,2,IF(J469=$AB$30,3,"")))))</f>
        <v/>
      </c>
      <c r="M469" s="4">
        <f t="array" ref="M469">IFERROR(INDEX(Unified_Matrix!$A:$ZZ,ROW(A466),MATCH("+ OVR",Unified_Matrix!$1:$1,0)),"")</f>
        <v/>
      </c>
      <c r="N469" s="4">
        <f t="array" ref="N469">IFERROR(INDEX(Unified_Matrix!$A:$ZZ,ROW(A466),MATCH("Max OVR",Unified_Matrix!$1:$1,0)),"")</f>
        <v/>
      </c>
      <c r="O469" s="4">
        <f t="array" ref="O469">IFERROR(INDEX(Unified_Matrix!$A:$ZZ,ROW(A466),MATCH("Req_Position",Unified_Matrix!$1:$1,0)),"")</f>
        <v/>
      </c>
      <c r="P469" s="4">
        <f t="array" ref="P469">IFERROR(INDEX(Unified_Matrix!$A:$ZZ,ROW(A466),MATCH("Req_OVR_Max",Unified_Matrix!$1:$1,0)),"")</f>
        <v/>
      </c>
      <c r="Q469" s="4">
        <f t="array" ref="Q469">IFERROR(INDEX(Unified_Matrix!$A:$ZZ,ROW(A466),MATCH("Req_Other",Unified_Matrix!$1:$1,0)),"")</f>
        <v/>
      </c>
    </row>
    <row r="470" hidden="1">
      <c r="J470" s="4">
        <f t="array" ref="J470">IFERROR(INDEX(Unified_Matrix!$A:$ZZ,ROW(A467),MATCH("Max "&amp;$J$9,Unified_Matrix!$1:$1,0)),"")</f>
        <v/>
      </c>
      <c r="K470" s="4">
        <f t="array" ref="K470">IFERROR(INDEX(Unified_Matrix!$A:$ZZ,ROW(A467),MATCH("Evolution_Name",Unified_Matrix!$1:$1,0)),"")</f>
        <v/>
      </c>
      <c r="L470" s="4">
        <f>IF(J470="","",IF(J470=0,"",IF(J470=$AB$28,1,IF(J470=$AB$29,2,IF(J470=$AB$30,3,"")))))</f>
        <v/>
      </c>
      <c r="M470" s="4">
        <f t="array" ref="M470">IFERROR(INDEX(Unified_Matrix!$A:$ZZ,ROW(A467),MATCH("+ OVR",Unified_Matrix!$1:$1,0)),"")</f>
        <v/>
      </c>
      <c r="N470" s="4">
        <f t="array" ref="N470">IFERROR(INDEX(Unified_Matrix!$A:$ZZ,ROW(A467),MATCH("Max OVR",Unified_Matrix!$1:$1,0)),"")</f>
        <v/>
      </c>
      <c r="O470" s="4">
        <f t="array" ref="O470">IFERROR(INDEX(Unified_Matrix!$A:$ZZ,ROW(A467),MATCH("Req_Position",Unified_Matrix!$1:$1,0)),"")</f>
        <v/>
      </c>
      <c r="P470" s="4">
        <f t="array" ref="P470">IFERROR(INDEX(Unified_Matrix!$A:$ZZ,ROW(A467),MATCH("Req_OVR_Max",Unified_Matrix!$1:$1,0)),"")</f>
        <v/>
      </c>
      <c r="Q470" s="4">
        <f t="array" ref="Q470">IFERROR(INDEX(Unified_Matrix!$A:$ZZ,ROW(A467),MATCH("Req_Other",Unified_Matrix!$1:$1,0)),"")</f>
        <v/>
      </c>
    </row>
    <row r="471" hidden="1">
      <c r="J471" s="4">
        <f t="array" ref="J471">IFERROR(INDEX(Unified_Matrix!$A:$ZZ,ROW(A468),MATCH("Max "&amp;$J$9,Unified_Matrix!$1:$1,0)),"")</f>
        <v/>
      </c>
      <c r="K471" s="4">
        <f t="array" ref="K471">IFERROR(INDEX(Unified_Matrix!$A:$ZZ,ROW(A468),MATCH("Evolution_Name",Unified_Matrix!$1:$1,0)),"")</f>
        <v/>
      </c>
      <c r="L471" s="4">
        <f>IF(J471="","",IF(J471=0,"",IF(J471=$AB$28,1,IF(J471=$AB$29,2,IF(J471=$AB$30,3,"")))))</f>
        <v/>
      </c>
      <c r="M471" s="4">
        <f t="array" ref="M471">IFERROR(INDEX(Unified_Matrix!$A:$ZZ,ROW(A468),MATCH("+ OVR",Unified_Matrix!$1:$1,0)),"")</f>
        <v/>
      </c>
      <c r="N471" s="4">
        <f t="array" ref="N471">IFERROR(INDEX(Unified_Matrix!$A:$ZZ,ROW(A468),MATCH("Max OVR",Unified_Matrix!$1:$1,0)),"")</f>
        <v/>
      </c>
      <c r="O471" s="4">
        <f t="array" ref="O471">IFERROR(INDEX(Unified_Matrix!$A:$ZZ,ROW(A468),MATCH("Req_Position",Unified_Matrix!$1:$1,0)),"")</f>
        <v/>
      </c>
      <c r="P471" s="4">
        <f t="array" ref="P471">IFERROR(INDEX(Unified_Matrix!$A:$ZZ,ROW(A468),MATCH("Req_OVR_Max",Unified_Matrix!$1:$1,0)),"")</f>
        <v/>
      </c>
      <c r="Q471" s="4">
        <f t="array" ref="Q471">IFERROR(INDEX(Unified_Matrix!$A:$ZZ,ROW(A468),MATCH("Req_Other",Unified_Matrix!$1:$1,0)),"")</f>
        <v/>
      </c>
    </row>
    <row r="472" hidden="1">
      <c r="J472" s="4">
        <f t="array" ref="J472">IFERROR(INDEX(Unified_Matrix!$A:$ZZ,ROW(A469),MATCH("Max "&amp;$J$9,Unified_Matrix!$1:$1,0)),"")</f>
        <v/>
      </c>
      <c r="K472" s="4">
        <f t="array" ref="K472">IFERROR(INDEX(Unified_Matrix!$A:$ZZ,ROW(A469),MATCH("Evolution_Name",Unified_Matrix!$1:$1,0)),"")</f>
        <v/>
      </c>
      <c r="L472" s="4">
        <f>IF(J472="","",IF(J472=0,"",IF(J472=$AB$28,1,IF(J472=$AB$29,2,IF(J472=$AB$30,3,"")))))</f>
        <v/>
      </c>
      <c r="M472" s="4">
        <f t="array" ref="M472">IFERROR(INDEX(Unified_Matrix!$A:$ZZ,ROW(A469),MATCH("+ OVR",Unified_Matrix!$1:$1,0)),"")</f>
        <v/>
      </c>
      <c r="N472" s="4">
        <f t="array" ref="N472">IFERROR(INDEX(Unified_Matrix!$A:$ZZ,ROW(A469),MATCH("Max OVR",Unified_Matrix!$1:$1,0)),"")</f>
        <v/>
      </c>
      <c r="O472" s="4">
        <f t="array" ref="O472">IFERROR(INDEX(Unified_Matrix!$A:$ZZ,ROW(A469),MATCH("Req_Position",Unified_Matrix!$1:$1,0)),"")</f>
        <v/>
      </c>
      <c r="P472" s="4">
        <f t="array" ref="P472">IFERROR(INDEX(Unified_Matrix!$A:$ZZ,ROW(A469),MATCH("Req_OVR_Max",Unified_Matrix!$1:$1,0)),"")</f>
        <v/>
      </c>
      <c r="Q472" s="4">
        <f t="array" ref="Q472">IFERROR(INDEX(Unified_Matrix!$A:$ZZ,ROW(A469),MATCH("Req_Other",Unified_Matrix!$1:$1,0)),"")</f>
        <v/>
      </c>
    </row>
    <row r="473" hidden="1">
      <c r="J473" s="4">
        <f t="array" ref="J473">IFERROR(INDEX(Unified_Matrix!$A:$ZZ,ROW(A470),MATCH("Max "&amp;$J$9,Unified_Matrix!$1:$1,0)),"")</f>
        <v/>
      </c>
      <c r="K473" s="4">
        <f t="array" ref="K473">IFERROR(INDEX(Unified_Matrix!$A:$ZZ,ROW(A470),MATCH("Evolution_Name",Unified_Matrix!$1:$1,0)),"")</f>
        <v/>
      </c>
      <c r="L473" s="4">
        <f>IF(J473="","",IF(J473=0,"",IF(J473=$AB$28,1,IF(J473=$AB$29,2,IF(J473=$AB$30,3,"")))))</f>
        <v/>
      </c>
      <c r="M473" s="4">
        <f t="array" ref="M473">IFERROR(INDEX(Unified_Matrix!$A:$ZZ,ROW(A470),MATCH("+ OVR",Unified_Matrix!$1:$1,0)),"")</f>
        <v/>
      </c>
      <c r="N473" s="4">
        <f t="array" ref="N473">IFERROR(INDEX(Unified_Matrix!$A:$ZZ,ROW(A470),MATCH("Max OVR",Unified_Matrix!$1:$1,0)),"")</f>
        <v/>
      </c>
      <c r="O473" s="4">
        <f t="array" ref="O473">IFERROR(INDEX(Unified_Matrix!$A:$ZZ,ROW(A470),MATCH("Req_Position",Unified_Matrix!$1:$1,0)),"")</f>
        <v/>
      </c>
      <c r="P473" s="4">
        <f t="array" ref="P473">IFERROR(INDEX(Unified_Matrix!$A:$ZZ,ROW(A470),MATCH("Req_OVR_Max",Unified_Matrix!$1:$1,0)),"")</f>
        <v/>
      </c>
      <c r="Q473" s="4">
        <f t="array" ref="Q473">IFERROR(INDEX(Unified_Matrix!$A:$ZZ,ROW(A470),MATCH("Req_Other",Unified_Matrix!$1:$1,0)),"")</f>
        <v/>
      </c>
    </row>
    <row r="474" hidden="1">
      <c r="J474" s="4">
        <f t="array" ref="J474">IFERROR(INDEX(Unified_Matrix!$A:$ZZ,ROW(A471),MATCH("Max "&amp;$J$9,Unified_Matrix!$1:$1,0)),"")</f>
        <v/>
      </c>
      <c r="K474" s="4">
        <f t="array" ref="K474">IFERROR(INDEX(Unified_Matrix!$A:$ZZ,ROW(A471),MATCH("Evolution_Name",Unified_Matrix!$1:$1,0)),"")</f>
        <v/>
      </c>
      <c r="L474" s="4">
        <f>IF(J474="","",IF(J474=0,"",IF(J474=$AB$28,1,IF(J474=$AB$29,2,IF(J474=$AB$30,3,"")))))</f>
        <v/>
      </c>
      <c r="M474" s="4">
        <f t="array" ref="M474">IFERROR(INDEX(Unified_Matrix!$A:$ZZ,ROW(A471),MATCH("+ OVR",Unified_Matrix!$1:$1,0)),"")</f>
        <v/>
      </c>
      <c r="N474" s="4">
        <f t="array" ref="N474">IFERROR(INDEX(Unified_Matrix!$A:$ZZ,ROW(A471),MATCH("Max OVR",Unified_Matrix!$1:$1,0)),"")</f>
        <v/>
      </c>
      <c r="O474" s="4">
        <f t="array" ref="O474">IFERROR(INDEX(Unified_Matrix!$A:$ZZ,ROW(A471),MATCH("Req_Position",Unified_Matrix!$1:$1,0)),"")</f>
        <v/>
      </c>
      <c r="P474" s="4">
        <f t="array" ref="P474">IFERROR(INDEX(Unified_Matrix!$A:$ZZ,ROW(A471),MATCH("Req_OVR_Max",Unified_Matrix!$1:$1,0)),"")</f>
        <v/>
      </c>
      <c r="Q474" s="4">
        <f t="array" ref="Q474">IFERROR(INDEX(Unified_Matrix!$A:$ZZ,ROW(A471),MATCH("Req_Other",Unified_Matrix!$1:$1,0)),"")</f>
        <v/>
      </c>
    </row>
    <row r="475" hidden="1">
      <c r="J475" s="4">
        <f t="array" ref="J475">IFERROR(INDEX(Unified_Matrix!$A:$ZZ,ROW(A472),MATCH("Max "&amp;$J$9,Unified_Matrix!$1:$1,0)),"")</f>
        <v/>
      </c>
      <c r="K475" s="4">
        <f t="array" ref="K475">IFERROR(INDEX(Unified_Matrix!$A:$ZZ,ROW(A472),MATCH("Evolution_Name",Unified_Matrix!$1:$1,0)),"")</f>
        <v/>
      </c>
      <c r="L475" s="4">
        <f>IF(J475="","",IF(J475=0,"",IF(J475=$AB$28,1,IF(J475=$AB$29,2,IF(J475=$AB$30,3,"")))))</f>
        <v/>
      </c>
      <c r="M475" s="4">
        <f t="array" ref="M475">IFERROR(INDEX(Unified_Matrix!$A:$ZZ,ROW(A472),MATCH("+ OVR",Unified_Matrix!$1:$1,0)),"")</f>
        <v/>
      </c>
      <c r="N475" s="4">
        <f t="array" ref="N475">IFERROR(INDEX(Unified_Matrix!$A:$ZZ,ROW(A472),MATCH("Max OVR",Unified_Matrix!$1:$1,0)),"")</f>
        <v/>
      </c>
      <c r="O475" s="4">
        <f t="array" ref="O475">IFERROR(INDEX(Unified_Matrix!$A:$ZZ,ROW(A472),MATCH("Req_Position",Unified_Matrix!$1:$1,0)),"")</f>
        <v/>
      </c>
      <c r="P475" s="4">
        <f t="array" ref="P475">IFERROR(INDEX(Unified_Matrix!$A:$ZZ,ROW(A472),MATCH("Req_OVR_Max",Unified_Matrix!$1:$1,0)),"")</f>
        <v/>
      </c>
      <c r="Q475" s="4">
        <f t="array" ref="Q475">IFERROR(INDEX(Unified_Matrix!$A:$ZZ,ROW(A472),MATCH("Req_Other",Unified_Matrix!$1:$1,0)),"")</f>
        <v/>
      </c>
    </row>
    <row r="476" hidden="1">
      <c r="J476" s="4">
        <f t="array" ref="J476">IFERROR(INDEX(Unified_Matrix!$A:$ZZ,ROW(A473),MATCH("Max "&amp;$J$9,Unified_Matrix!$1:$1,0)),"")</f>
        <v/>
      </c>
      <c r="K476" s="4">
        <f t="array" ref="K476">IFERROR(INDEX(Unified_Matrix!$A:$ZZ,ROW(A473),MATCH("Evolution_Name",Unified_Matrix!$1:$1,0)),"")</f>
        <v/>
      </c>
      <c r="L476" s="4">
        <f>IF(J476="","",IF(J476=0,"",IF(J476=$AB$28,1,IF(J476=$AB$29,2,IF(J476=$AB$30,3,"")))))</f>
        <v/>
      </c>
      <c r="M476" s="4">
        <f t="array" ref="M476">IFERROR(INDEX(Unified_Matrix!$A:$ZZ,ROW(A473),MATCH("+ OVR",Unified_Matrix!$1:$1,0)),"")</f>
        <v/>
      </c>
      <c r="N476" s="4">
        <f t="array" ref="N476">IFERROR(INDEX(Unified_Matrix!$A:$ZZ,ROW(A473),MATCH("Max OVR",Unified_Matrix!$1:$1,0)),"")</f>
        <v/>
      </c>
      <c r="O476" s="4">
        <f t="array" ref="O476">IFERROR(INDEX(Unified_Matrix!$A:$ZZ,ROW(A473),MATCH("Req_Position",Unified_Matrix!$1:$1,0)),"")</f>
        <v/>
      </c>
      <c r="P476" s="4">
        <f t="array" ref="P476">IFERROR(INDEX(Unified_Matrix!$A:$ZZ,ROW(A473),MATCH("Req_OVR_Max",Unified_Matrix!$1:$1,0)),"")</f>
        <v/>
      </c>
      <c r="Q476" s="4">
        <f t="array" ref="Q476">IFERROR(INDEX(Unified_Matrix!$A:$ZZ,ROW(A473),MATCH("Req_Other",Unified_Matrix!$1:$1,0)),"")</f>
        <v/>
      </c>
    </row>
    <row r="477" hidden="1">
      <c r="J477" s="4">
        <f t="array" ref="J477">IFERROR(INDEX(Unified_Matrix!$A:$ZZ,ROW(A474),MATCH("Max "&amp;$J$9,Unified_Matrix!$1:$1,0)),"")</f>
        <v/>
      </c>
      <c r="K477" s="4">
        <f t="array" ref="K477">IFERROR(INDEX(Unified_Matrix!$A:$ZZ,ROW(A474),MATCH("Evolution_Name",Unified_Matrix!$1:$1,0)),"")</f>
        <v/>
      </c>
      <c r="L477" s="4">
        <f>IF(J477="","",IF(J477=0,"",IF(J477=$AB$28,1,IF(J477=$AB$29,2,IF(J477=$AB$30,3,"")))))</f>
        <v/>
      </c>
      <c r="M477" s="4">
        <f t="array" ref="M477">IFERROR(INDEX(Unified_Matrix!$A:$ZZ,ROW(A474),MATCH("+ OVR",Unified_Matrix!$1:$1,0)),"")</f>
        <v/>
      </c>
      <c r="N477" s="4">
        <f t="array" ref="N477">IFERROR(INDEX(Unified_Matrix!$A:$ZZ,ROW(A474),MATCH("Max OVR",Unified_Matrix!$1:$1,0)),"")</f>
        <v/>
      </c>
      <c r="O477" s="4">
        <f t="array" ref="O477">IFERROR(INDEX(Unified_Matrix!$A:$ZZ,ROW(A474),MATCH("Req_Position",Unified_Matrix!$1:$1,0)),"")</f>
        <v/>
      </c>
      <c r="P477" s="4">
        <f t="array" ref="P477">IFERROR(INDEX(Unified_Matrix!$A:$ZZ,ROW(A474),MATCH("Req_OVR_Max",Unified_Matrix!$1:$1,0)),"")</f>
        <v/>
      </c>
      <c r="Q477" s="4">
        <f t="array" ref="Q477">IFERROR(INDEX(Unified_Matrix!$A:$ZZ,ROW(A474),MATCH("Req_Other",Unified_Matrix!$1:$1,0)),"")</f>
        <v/>
      </c>
    </row>
    <row r="478" hidden="1">
      <c r="J478" s="4">
        <f t="array" ref="J478">IFERROR(INDEX(Unified_Matrix!$A:$ZZ,ROW(A475),MATCH("Max "&amp;$J$9,Unified_Matrix!$1:$1,0)),"")</f>
        <v/>
      </c>
      <c r="K478" s="4">
        <f t="array" ref="K478">IFERROR(INDEX(Unified_Matrix!$A:$ZZ,ROW(A475),MATCH("Evolution_Name",Unified_Matrix!$1:$1,0)),"")</f>
        <v/>
      </c>
      <c r="L478" s="4">
        <f>IF(J478="","",IF(J478=0,"",IF(J478=$AB$28,1,IF(J478=$AB$29,2,IF(J478=$AB$30,3,"")))))</f>
        <v/>
      </c>
      <c r="M478" s="4">
        <f t="array" ref="M478">IFERROR(INDEX(Unified_Matrix!$A:$ZZ,ROW(A475),MATCH("+ OVR",Unified_Matrix!$1:$1,0)),"")</f>
        <v/>
      </c>
      <c r="N478" s="4">
        <f t="array" ref="N478">IFERROR(INDEX(Unified_Matrix!$A:$ZZ,ROW(A475),MATCH("Max OVR",Unified_Matrix!$1:$1,0)),"")</f>
        <v/>
      </c>
      <c r="O478" s="4">
        <f t="array" ref="O478">IFERROR(INDEX(Unified_Matrix!$A:$ZZ,ROW(A475),MATCH("Req_Position",Unified_Matrix!$1:$1,0)),"")</f>
        <v/>
      </c>
      <c r="P478" s="4">
        <f t="array" ref="P478">IFERROR(INDEX(Unified_Matrix!$A:$ZZ,ROW(A475),MATCH("Req_OVR_Max",Unified_Matrix!$1:$1,0)),"")</f>
        <v/>
      </c>
      <c r="Q478" s="4">
        <f t="array" ref="Q478">IFERROR(INDEX(Unified_Matrix!$A:$ZZ,ROW(A475),MATCH("Req_Other",Unified_Matrix!$1:$1,0)),"")</f>
        <v/>
      </c>
    </row>
    <row r="479" hidden="1">
      <c r="J479" s="4">
        <f t="array" ref="J479">IFERROR(INDEX(Unified_Matrix!$A:$ZZ,ROW(A476),MATCH("Max "&amp;$J$9,Unified_Matrix!$1:$1,0)),"")</f>
        <v/>
      </c>
      <c r="K479" s="4">
        <f t="array" ref="K479">IFERROR(INDEX(Unified_Matrix!$A:$ZZ,ROW(A476),MATCH("Evolution_Name",Unified_Matrix!$1:$1,0)),"")</f>
        <v/>
      </c>
      <c r="L479" s="4">
        <f>IF(J479="","",IF(J479=0,"",IF(J479=$AB$28,1,IF(J479=$AB$29,2,IF(J479=$AB$30,3,"")))))</f>
        <v/>
      </c>
      <c r="M479" s="4">
        <f t="array" ref="M479">IFERROR(INDEX(Unified_Matrix!$A:$ZZ,ROW(A476),MATCH("+ OVR",Unified_Matrix!$1:$1,0)),"")</f>
        <v/>
      </c>
      <c r="N479" s="4">
        <f t="array" ref="N479">IFERROR(INDEX(Unified_Matrix!$A:$ZZ,ROW(A476),MATCH("Max OVR",Unified_Matrix!$1:$1,0)),"")</f>
        <v/>
      </c>
      <c r="O479" s="4">
        <f t="array" ref="O479">IFERROR(INDEX(Unified_Matrix!$A:$ZZ,ROW(A476),MATCH("Req_Position",Unified_Matrix!$1:$1,0)),"")</f>
        <v/>
      </c>
      <c r="P479" s="4">
        <f t="array" ref="P479">IFERROR(INDEX(Unified_Matrix!$A:$ZZ,ROW(A476),MATCH("Req_OVR_Max",Unified_Matrix!$1:$1,0)),"")</f>
        <v/>
      </c>
      <c r="Q479" s="4">
        <f t="array" ref="Q479">IFERROR(INDEX(Unified_Matrix!$A:$ZZ,ROW(A476),MATCH("Req_Other",Unified_Matrix!$1:$1,0)),"")</f>
        <v/>
      </c>
    </row>
    <row r="480" hidden="1">
      <c r="J480" s="4">
        <f t="array" ref="J480">IFERROR(INDEX(Unified_Matrix!$A:$ZZ,ROW(A477),MATCH("Max "&amp;$J$9,Unified_Matrix!$1:$1,0)),"")</f>
        <v/>
      </c>
      <c r="K480" s="4">
        <f t="array" ref="K480">IFERROR(INDEX(Unified_Matrix!$A:$ZZ,ROW(A477),MATCH("Evolution_Name",Unified_Matrix!$1:$1,0)),"")</f>
        <v/>
      </c>
      <c r="L480" s="4">
        <f>IF(J480="","",IF(J480=0,"",IF(J480=$AB$28,1,IF(J480=$AB$29,2,IF(J480=$AB$30,3,"")))))</f>
        <v/>
      </c>
      <c r="M480" s="4">
        <f t="array" ref="M480">IFERROR(INDEX(Unified_Matrix!$A:$ZZ,ROW(A477),MATCH("+ OVR",Unified_Matrix!$1:$1,0)),"")</f>
        <v/>
      </c>
      <c r="N480" s="4">
        <f t="array" ref="N480">IFERROR(INDEX(Unified_Matrix!$A:$ZZ,ROW(A477),MATCH("Max OVR",Unified_Matrix!$1:$1,0)),"")</f>
        <v/>
      </c>
      <c r="O480" s="4">
        <f t="array" ref="O480">IFERROR(INDEX(Unified_Matrix!$A:$ZZ,ROW(A477),MATCH("Req_Position",Unified_Matrix!$1:$1,0)),"")</f>
        <v/>
      </c>
      <c r="P480" s="4">
        <f t="array" ref="P480">IFERROR(INDEX(Unified_Matrix!$A:$ZZ,ROW(A477),MATCH("Req_OVR_Max",Unified_Matrix!$1:$1,0)),"")</f>
        <v/>
      </c>
      <c r="Q480" s="4">
        <f t="array" ref="Q480">IFERROR(INDEX(Unified_Matrix!$A:$ZZ,ROW(A477),MATCH("Req_Other",Unified_Matrix!$1:$1,0)),"")</f>
        <v/>
      </c>
    </row>
    <row r="481" hidden="1">
      <c r="J481" s="4">
        <f t="array" ref="J481">IFERROR(INDEX(Unified_Matrix!$A:$ZZ,ROW(A478),MATCH("Max "&amp;$J$9,Unified_Matrix!$1:$1,0)),"")</f>
        <v/>
      </c>
      <c r="K481" s="4">
        <f t="array" ref="K481">IFERROR(INDEX(Unified_Matrix!$A:$ZZ,ROW(A478),MATCH("Evolution_Name",Unified_Matrix!$1:$1,0)),"")</f>
        <v/>
      </c>
      <c r="L481" s="4">
        <f>IF(J481="","",IF(J481=0,"",IF(J481=$AB$28,1,IF(J481=$AB$29,2,IF(J481=$AB$30,3,"")))))</f>
        <v/>
      </c>
      <c r="M481" s="4">
        <f t="array" ref="M481">IFERROR(INDEX(Unified_Matrix!$A:$ZZ,ROW(A478),MATCH("+ OVR",Unified_Matrix!$1:$1,0)),"")</f>
        <v/>
      </c>
      <c r="N481" s="4">
        <f t="array" ref="N481">IFERROR(INDEX(Unified_Matrix!$A:$ZZ,ROW(A478),MATCH("Max OVR",Unified_Matrix!$1:$1,0)),"")</f>
        <v/>
      </c>
      <c r="O481" s="4">
        <f t="array" ref="O481">IFERROR(INDEX(Unified_Matrix!$A:$ZZ,ROW(A478),MATCH("Req_Position",Unified_Matrix!$1:$1,0)),"")</f>
        <v/>
      </c>
      <c r="P481" s="4">
        <f t="array" ref="P481">IFERROR(INDEX(Unified_Matrix!$A:$ZZ,ROW(A478),MATCH("Req_OVR_Max",Unified_Matrix!$1:$1,0)),"")</f>
        <v/>
      </c>
      <c r="Q481" s="4">
        <f t="array" ref="Q481">IFERROR(INDEX(Unified_Matrix!$A:$ZZ,ROW(A478),MATCH("Req_Other",Unified_Matrix!$1:$1,0)),"")</f>
        <v/>
      </c>
    </row>
    <row r="482" hidden="1">
      <c r="J482" s="4">
        <f t="array" ref="J482">IFERROR(INDEX(Unified_Matrix!$A:$ZZ,ROW(A479),MATCH("Max "&amp;$J$9,Unified_Matrix!$1:$1,0)),"")</f>
        <v/>
      </c>
      <c r="K482" s="4">
        <f t="array" ref="K482">IFERROR(INDEX(Unified_Matrix!$A:$ZZ,ROW(A479),MATCH("Evolution_Name",Unified_Matrix!$1:$1,0)),"")</f>
        <v/>
      </c>
      <c r="L482" s="4">
        <f>IF(J482="","",IF(J482=0,"",IF(J482=$AB$28,1,IF(J482=$AB$29,2,IF(J482=$AB$30,3,"")))))</f>
        <v/>
      </c>
      <c r="M482" s="4">
        <f t="array" ref="M482">IFERROR(INDEX(Unified_Matrix!$A:$ZZ,ROW(A479),MATCH("+ OVR",Unified_Matrix!$1:$1,0)),"")</f>
        <v/>
      </c>
      <c r="N482" s="4">
        <f t="array" ref="N482">IFERROR(INDEX(Unified_Matrix!$A:$ZZ,ROW(A479),MATCH("Max OVR",Unified_Matrix!$1:$1,0)),"")</f>
        <v/>
      </c>
      <c r="O482" s="4">
        <f t="array" ref="O482">IFERROR(INDEX(Unified_Matrix!$A:$ZZ,ROW(A479),MATCH("Req_Position",Unified_Matrix!$1:$1,0)),"")</f>
        <v/>
      </c>
      <c r="P482" s="4">
        <f t="array" ref="P482">IFERROR(INDEX(Unified_Matrix!$A:$ZZ,ROW(A479),MATCH("Req_OVR_Max",Unified_Matrix!$1:$1,0)),"")</f>
        <v/>
      </c>
      <c r="Q482" s="4">
        <f t="array" ref="Q482">IFERROR(INDEX(Unified_Matrix!$A:$ZZ,ROW(A479),MATCH("Req_Other",Unified_Matrix!$1:$1,0)),"")</f>
        <v/>
      </c>
    </row>
    <row r="483" hidden="1">
      <c r="J483" s="4">
        <f t="array" ref="J483">IFERROR(INDEX(Unified_Matrix!$A:$ZZ,ROW(A480),MATCH("Max "&amp;$J$9,Unified_Matrix!$1:$1,0)),"")</f>
        <v/>
      </c>
      <c r="K483" s="4">
        <f t="array" ref="K483">IFERROR(INDEX(Unified_Matrix!$A:$ZZ,ROW(A480),MATCH("Evolution_Name",Unified_Matrix!$1:$1,0)),"")</f>
        <v/>
      </c>
      <c r="L483" s="4">
        <f>IF(J483="","",IF(J483=0,"",IF(J483=$AB$28,1,IF(J483=$AB$29,2,IF(J483=$AB$30,3,"")))))</f>
        <v/>
      </c>
      <c r="M483" s="4">
        <f t="array" ref="M483">IFERROR(INDEX(Unified_Matrix!$A:$ZZ,ROW(A480),MATCH("+ OVR",Unified_Matrix!$1:$1,0)),"")</f>
        <v/>
      </c>
      <c r="N483" s="4">
        <f t="array" ref="N483">IFERROR(INDEX(Unified_Matrix!$A:$ZZ,ROW(A480),MATCH("Max OVR",Unified_Matrix!$1:$1,0)),"")</f>
        <v/>
      </c>
      <c r="O483" s="4">
        <f t="array" ref="O483">IFERROR(INDEX(Unified_Matrix!$A:$ZZ,ROW(A480),MATCH("Req_Position",Unified_Matrix!$1:$1,0)),"")</f>
        <v/>
      </c>
      <c r="P483" s="4">
        <f t="array" ref="P483">IFERROR(INDEX(Unified_Matrix!$A:$ZZ,ROW(A480),MATCH("Req_OVR_Max",Unified_Matrix!$1:$1,0)),"")</f>
        <v/>
      </c>
      <c r="Q483" s="4">
        <f t="array" ref="Q483">IFERROR(INDEX(Unified_Matrix!$A:$ZZ,ROW(A480),MATCH("Req_Other",Unified_Matrix!$1:$1,0)),"")</f>
        <v/>
      </c>
    </row>
    <row r="484" hidden="1">
      <c r="J484" s="4">
        <f t="array" ref="J484">IFERROR(INDEX(Unified_Matrix!$A:$ZZ,ROW(A481),MATCH("Max "&amp;$J$9,Unified_Matrix!$1:$1,0)),"")</f>
        <v/>
      </c>
      <c r="K484" s="4">
        <f t="array" ref="K484">IFERROR(INDEX(Unified_Matrix!$A:$ZZ,ROW(A481),MATCH("Evolution_Name",Unified_Matrix!$1:$1,0)),"")</f>
        <v/>
      </c>
      <c r="L484" s="4">
        <f>IF(J484="","",IF(J484=0,"",IF(J484=$AB$28,1,IF(J484=$AB$29,2,IF(J484=$AB$30,3,"")))))</f>
        <v/>
      </c>
      <c r="M484" s="4">
        <f t="array" ref="M484">IFERROR(INDEX(Unified_Matrix!$A:$ZZ,ROW(A481),MATCH("+ OVR",Unified_Matrix!$1:$1,0)),"")</f>
        <v/>
      </c>
      <c r="N484" s="4">
        <f t="array" ref="N484">IFERROR(INDEX(Unified_Matrix!$A:$ZZ,ROW(A481),MATCH("Max OVR",Unified_Matrix!$1:$1,0)),"")</f>
        <v/>
      </c>
      <c r="O484" s="4">
        <f t="array" ref="O484">IFERROR(INDEX(Unified_Matrix!$A:$ZZ,ROW(A481),MATCH("Req_Position",Unified_Matrix!$1:$1,0)),"")</f>
        <v/>
      </c>
      <c r="P484" s="4">
        <f t="array" ref="P484">IFERROR(INDEX(Unified_Matrix!$A:$ZZ,ROW(A481),MATCH("Req_OVR_Max",Unified_Matrix!$1:$1,0)),"")</f>
        <v/>
      </c>
      <c r="Q484" s="4">
        <f t="array" ref="Q484">IFERROR(INDEX(Unified_Matrix!$A:$ZZ,ROW(A481),MATCH("Req_Other",Unified_Matrix!$1:$1,0)),"")</f>
        <v/>
      </c>
    </row>
    <row r="485" hidden="1">
      <c r="J485" s="4">
        <f t="array" ref="J485">IFERROR(INDEX(Unified_Matrix!$A:$ZZ,ROW(A482),MATCH("Max "&amp;$J$9,Unified_Matrix!$1:$1,0)),"")</f>
        <v/>
      </c>
      <c r="K485" s="4">
        <f t="array" ref="K485">IFERROR(INDEX(Unified_Matrix!$A:$ZZ,ROW(A482),MATCH("Evolution_Name",Unified_Matrix!$1:$1,0)),"")</f>
        <v/>
      </c>
      <c r="L485" s="4">
        <f>IF(J485="","",IF(J485=0,"",IF(J485=$AB$28,1,IF(J485=$AB$29,2,IF(J485=$AB$30,3,"")))))</f>
        <v/>
      </c>
      <c r="M485" s="4">
        <f t="array" ref="M485">IFERROR(INDEX(Unified_Matrix!$A:$ZZ,ROW(A482),MATCH("+ OVR",Unified_Matrix!$1:$1,0)),"")</f>
        <v/>
      </c>
      <c r="N485" s="4">
        <f t="array" ref="N485">IFERROR(INDEX(Unified_Matrix!$A:$ZZ,ROW(A482),MATCH("Max OVR",Unified_Matrix!$1:$1,0)),"")</f>
        <v/>
      </c>
      <c r="O485" s="4">
        <f t="array" ref="O485">IFERROR(INDEX(Unified_Matrix!$A:$ZZ,ROW(A482),MATCH("Req_Position",Unified_Matrix!$1:$1,0)),"")</f>
        <v/>
      </c>
      <c r="P485" s="4">
        <f t="array" ref="P485">IFERROR(INDEX(Unified_Matrix!$A:$ZZ,ROW(A482),MATCH("Req_OVR_Max",Unified_Matrix!$1:$1,0)),"")</f>
        <v/>
      </c>
      <c r="Q485" s="4">
        <f t="array" ref="Q485">IFERROR(INDEX(Unified_Matrix!$A:$ZZ,ROW(A482),MATCH("Req_Other",Unified_Matrix!$1:$1,0)),"")</f>
        <v/>
      </c>
    </row>
    <row r="486" hidden="1">
      <c r="J486" s="4">
        <f t="array" ref="J486">IFERROR(INDEX(Unified_Matrix!$A:$ZZ,ROW(A483),MATCH("Max "&amp;$J$9,Unified_Matrix!$1:$1,0)),"")</f>
        <v/>
      </c>
      <c r="K486" s="4">
        <f t="array" ref="K486">IFERROR(INDEX(Unified_Matrix!$A:$ZZ,ROW(A483),MATCH("Evolution_Name",Unified_Matrix!$1:$1,0)),"")</f>
        <v/>
      </c>
      <c r="L486" s="4">
        <f>IF(J486="","",IF(J486=0,"",IF(J486=$AB$28,1,IF(J486=$AB$29,2,IF(J486=$AB$30,3,"")))))</f>
        <v/>
      </c>
      <c r="M486" s="4">
        <f t="array" ref="M486">IFERROR(INDEX(Unified_Matrix!$A:$ZZ,ROW(A483),MATCH("+ OVR",Unified_Matrix!$1:$1,0)),"")</f>
        <v/>
      </c>
      <c r="N486" s="4">
        <f t="array" ref="N486">IFERROR(INDEX(Unified_Matrix!$A:$ZZ,ROW(A483),MATCH("Max OVR",Unified_Matrix!$1:$1,0)),"")</f>
        <v/>
      </c>
      <c r="O486" s="4">
        <f t="array" ref="O486">IFERROR(INDEX(Unified_Matrix!$A:$ZZ,ROW(A483),MATCH("Req_Position",Unified_Matrix!$1:$1,0)),"")</f>
        <v/>
      </c>
      <c r="P486" s="4">
        <f t="array" ref="P486">IFERROR(INDEX(Unified_Matrix!$A:$ZZ,ROW(A483),MATCH("Req_OVR_Max",Unified_Matrix!$1:$1,0)),"")</f>
        <v/>
      </c>
      <c r="Q486" s="4">
        <f t="array" ref="Q486">IFERROR(INDEX(Unified_Matrix!$A:$ZZ,ROW(A483),MATCH("Req_Other",Unified_Matrix!$1:$1,0)),"")</f>
        <v/>
      </c>
    </row>
    <row r="487" hidden="1">
      <c r="J487" s="4">
        <f t="array" ref="J487">IFERROR(INDEX(Unified_Matrix!$A:$ZZ,ROW(A484),MATCH("Max "&amp;$J$9,Unified_Matrix!$1:$1,0)),"")</f>
        <v/>
      </c>
      <c r="K487" s="4">
        <f t="array" ref="K487">IFERROR(INDEX(Unified_Matrix!$A:$ZZ,ROW(A484),MATCH("Evolution_Name",Unified_Matrix!$1:$1,0)),"")</f>
        <v/>
      </c>
      <c r="L487" s="4">
        <f>IF(J487="","",IF(J487=0,"",IF(J487=$AB$28,1,IF(J487=$AB$29,2,IF(J487=$AB$30,3,"")))))</f>
        <v/>
      </c>
      <c r="M487" s="4">
        <f t="array" ref="M487">IFERROR(INDEX(Unified_Matrix!$A:$ZZ,ROW(A484),MATCH("+ OVR",Unified_Matrix!$1:$1,0)),"")</f>
        <v/>
      </c>
      <c r="N487" s="4">
        <f t="array" ref="N487">IFERROR(INDEX(Unified_Matrix!$A:$ZZ,ROW(A484),MATCH("Max OVR",Unified_Matrix!$1:$1,0)),"")</f>
        <v/>
      </c>
      <c r="O487" s="4">
        <f t="array" ref="O487">IFERROR(INDEX(Unified_Matrix!$A:$ZZ,ROW(A484),MATCH("Req_Position",Unified_Matrix!$1:$1,0)),"")</f>
        <v/>
      </c>
      <c r="P487" s="4">
        <f t="array" ref="P487">IFERROR(INDEX(Unified_Matrix!$A:$ZZ,ROW(A484),MATCH("Req_OVR_Max",Unified_Matrix!$1:$1,0)),"")</f>
        <v/>
      </c>
      <c r="Q487" s="4">
        <f t="array" ref="Q487">IFERROR(INDEX(Unified_Matrix!$A:$ZZ,ROW(A484),MATCH("Req_Other",Unified_Matrix!$1:$1,0)),"")</f>
        <v/>
      </c>
    </row>
    <row r="488" hidden="1">
      <c r="J488" s="4">
        <f t="array" ref="J488">IFERROR(INDEX(Unified_Matrix!$A:$ZZ,ROW(A485),MATCH("Max "&amp;$J$9,Unified_Matrix!$1:$1,0)),"")</f>
        <v/>
      </c>
      <c r="K488" s="4">
        <f t="array" ref="K488">IFERROR(INDEX(Unified_Matrix!$A:$ZZ,ROW(A485),MATCH("Evolution_Name",Unified_Matrix!$1:$1,0)),"")</f>
        <v/>
      </c>
      <c r="L488" s="4">
        <f>IF(J488="","",IF(J488=0,"",IF(J488=$AB$28,1,IF(J488=$AB$29,2,IF(J488=$AB$30,3,"")))))</f>
        <v/>
      </c>
      <c r="M488" s="4">
        <f t="array" ref="M488">IFERROR(INDEX(Unified_Matrix!$A:$ZZ,ROW(A485),MATCH("+ OVR",Unified_Matrix!$1:$1,0)),"")</f>
        <v/>
      </c>
      <c r="N488" s="4">
        <f t="array" ref="N488">IFERROR(INDEX(Unified_Matrix!$A:$ZZ,ROW(A485),MATCH("Max OVR",Unified_Matrix!$1:$1,0)),"")</f>
        <v/>
      </c>
      <c r="O488" s="4">
        <f t="array" ref="O488">IFERROR(INDEX(Unified_Matrix!$A:$ZZ,ROW(A485),MATCH("Req_Position",Unified_Matrix!$1:$1,0)),"")</f>
        <v/>
      </c>
      <c r="P488" s="4">
        <f t="array" ref="P488">IFERROR(INDEX(Unified_Matrix!$A:$ZZ,ROW(A485),MATCH("Req_OVR_Max",Unified_Matrix!$1:$1,0)),"")</f>
        <v/>
      </c>
      <c r="Q488" s="4">
        <f t="array" ref="Q488">IFERROR(INDEX(Unified_Matrix!$A:$ZZ,ROW(A485),MATCH("Req_Other",Unified_Matrix!$1:$1,0)),"")</f>
        <v/>
      </c>
    </row>
    <row r="489" hidden="1">
      <c r="J489" s="4">
        <f t="array" ref="J489">IFERROR(INDEX(Unified_Matrix!$A:$ZZ,ROW(A486),MATCH("Max "&amp;$J$9,Unified_Matrix!$1:$1,0)),"")</f>
        <v/>
      </c>
      <c r="K489" s="4">
        <f t="array" ref="K489">IFERROR(INDEX(Unified_Matrix!$A:$ZZ,ROW(A486),MATCH("Evolution_Name",Unified_Matrix!$1:$1,0)),"")</f>
        <v/>
      </c>
      <c r="L489" s="4">
        <f>IF(J489="","",IF(J489=0,"",IF(J489=$AB$28,1,IF(J489=$AB$29,2,IF(J489=$AB$30,3,"")))))</f>
        <v/>
      </c>
      <c r="M489" s="4">
        <f t="array" ref="M489">IFERROR(INDEX(Unified_Matrix!$A:$ZZ,ROW(A486),MATCH("+ OVR",Unified_Matrix!$1:$1,0)),"")</f>
        <v/>
      </c>
      <c r="N489" s="4">
        <f t="array" ref="N489">IFERROR(INDEX(Unified_Matrix!$A:$ZZ,ROW(A486),MATCH("Max OVR",Unified_Matrix!$1:$1,0)),"")</f>
        <v/>
      </c>
      <c r="O489" s="4">
        <f t="array" ref="O489">IFERROR(INDEX(Unified_Matrix!$A:$ZZ,ROW(A486),MATCH("Req_Position",Unified_Matrix!$1:$1,0)),"")</f>
        <v/>
      </c>
      <c r="P489" s="4">
        <f t="array" ref="P489">IFERROR(INDEX(Unified_Matrix!$A:$ZZ,ROW(A486),MATCH("Req_OVR_Max",Unified_Matrix!$1:$1,0)),"")</f>
        <v/>
      </c>
      <c r="Q489" s="4">
        <f t="array" ref="Q489">IFERROR(INDEX(Unified_Matrix!$A:$ZZ,ROW(A486),MATCH("Req_Other",Unified_Matrix!$1:$1,0)),"")</f>
        <v/>
      </c>
    </row>
    <row r="490" hidden="1">
      <c r="J490" s="4">
        <f t="array" ref="J490">IFERROR(INDEX(Unified_Matrix!$A:$ZZ,ROW(A487),MATCH("Max "&amp;$J$9,Unified_Matrix!$1:$1,0)),"")</f>
        <v/>
      </c>
      <c r="K490" s="4">
        <f t="array" ref="K490">IFERROR(INDEX(Unified_Matrix!$A:$ZZ,ROW(A487),MATCH("Evolution_Name",Unified_Matrix!$1:$1,0)),"")</f>
        <v/>
      </c>
      <c r="L490" s="4">
        <f>IF(J490="","",IF(J490=0,"",IF(J490=$AB$28,1,IF(J490=$AB$29,2,IF(J490=$AB$30,3,"")))))</f>
        <v/>
      </c>
      <c r="M490" s="4">
        <f t="array" ref="M490">IFERROR(INDEX(Unified_Matrix!$A:$ZZ,ROW(A487),MATCH("+ OVR",Unified_Matrix!$1:$1,0)),"")</f>
        <v/>
      </c>
      <c r="N490" s="4">
        <f t="array" ref="N490">IFERROR(INDEX(Unified_Matrix!$A:$ZZ,ROW(A487),MATCH("Max OVR",Unified_Matrix!$1:$1,0)),"")</f>
        <v/>
      </c>
      <c r="O490" s="4">
        <f t="array" ref="O490">IFERROR(INDEX(Unified_Matrix!$A:$ZZ,ROW(A487),MATCH("Req_Position",Unified_Matrix!$1:$1,0)),"")</f>
        <v/>
      </c>
      <c r="P490" s="4">
        <f t="array" ref="P490">IFERROR(INDEX(Unified_Matrix!$A:$ZZ,ROW(A487),MATCH("Req_OVR_Max",Unified_Matrix!$1:$1,0)),"")</f>
        <v/>
      </c>
      <c r="Q490" s="4">
        <f t="array" ref="Q490">IFERROR(INDEX(Unified_Matrix!$A:$ZZ,ROW(A487),MATCH("Req_Other",Unified_Matrix!$1:$1,0)),"")</f>
        <v/>
      </c>
    </row>
    <row r="491" hidden="1">
      <c r="J491" s="4">
        <f t="array" ref="J491">IFERROR(INDEX(Unified_Matrix!$A:$ZZ,ROW(A488),MATCH("Max "&amp;$J$9,Unified_Matrix!$1:$1,0)),"")</f>
        <v/>
      </c>
      <c r="K491" s="4">
        <f t="array" ref="K491">IFERROR(INDEX(Unified_Matrix!$A:$ZZ,ROW(A488),MATCH("Evolution_Name",Unified_Matrix!$1:$1,0)),"")</f>
        <v/>
      </c>
      <c r="L491" s="4">
        <f>IF(J491="","",IF(J491=0,"",IF(J491=$AB$28,1,IF(J491=$AB$29,2,IF(J491=$AB$30,3,"")))))</f>
        <v/>
      </c>
      <c r="M491" s="4">
        <f t="array" ref="M491">IFERROR(INDEX(Unified_Matrix!$A:$ZZ,ROW(A488),MATCH("+ OVR",Unified_Matrix!$1:$1,0)),"")</f>
        <v/>
      </c>
      <c r="N491" s="4">
        <f t="array" ref="N491">IFERROR(INDEX(Unified_Matrix!$A:$ZZ,ROW(A488),MATCH("Max OVR",Unified_Matrix!$1:$1,0)),"")</f>
        <v/>
      </c>
      <c r="O491" s="4">
        <f t="array" ref="O491">IFERROR(INDEX(Unified_Matrix!$A:$ZZ,ROW(A488),MATCH("Req_Position",Unified_Matrix!$1:$1,0)),"")</f>
        <v/>
      </c>
      <c r="P491" s="4">
        <f t="array" ref="P491">IFERROR(INDEX(Unified_Matrix!$A:$ZZ,ROW(A488),MATCH("Req_OVR_Max",Unified_Matrix!$1:$1,0)),"")</f>
        <v/>
      </c>
      <c r="Q491" s="4">
        <f t="array" ref="Q491">IFERROR(INDEX(Unified_Matrix!$A:$ZZ,ROW(A488),MATCH("Req_Other",Unified_Matrix!$1:$1,0)),"")</f>
        <v/>
      </c>
    </row>
    <row r="492" hidden="1">
      <c r="J492" s="4">
        <f t="array" ref="J492">IFERROR(INDEX(Unified_Matrix!$A:$ZZ,ROW(A489),MATCH("Max "&amp;$J$9,Unified_Matrix!$1:$1,0)),"")</f>
        <v/>
      </c>
      <c r="K492" s="4">
        <f t="array" ref="K492">IFERROR(INDEX(Unified_Matrix!$A:$ZZ,ROW(A489),MATCH("Evolution_Name",Unified_Matrix!$1:$1,0)),"")</f>
        <v/>
      </c>
      <c r="L492" s="4">
        <f>IF(J492="","",IF(J492=0,"",IF(J492=$AB$28,1,IF(J492=$AB$29,2,IF(J492=$AB$30,3,"")))))</f>
        <v/>
      </c>
      <c r="M492" s="4">
        <f t="array" ref="M492">IFERROR(INDEX(Unified_Matrix!$A:$ZZ,ROW(A489),MATCH("+ OVR",Unified_Matrix!$1:$1,0)),"")</f>
        <v/>
      </c>
      <c r="N492" s="4">
        <f t="array" ref="N492">IFERROR(INDEX(Unified_Matrix!$A:$ZZ,ROW(A489),MATCH("Max OVR",Unified_Matrix!$1:$1,0)),"")</f>
        <v/>
      </c>
      <c r="O492" s="4">
        <f t="array" ref="O492">IFERROR(INDEX(Unified_Matrix!$A:$ZZ,ROW(A489),MATCH("Req_Position",Unified_Matrix!$1:$1,0)),"")</f>
        <v/>
      </c>
      <c r="P492" s="4">
        <f t="array" ref="P492">IFERROR(INDEX(Unified_Matrix!$A:$ZZ,ROW(A489),MATCH("Req_OVR_Max",Unified_Matrix!$1:$1,0)),"")</f>
        <v/>
      </c>
      <c r="Q492" s="4">
        <f t="array" ref="Q492">IFERROR(INDEX(Unified_Matrix!$A:$ZZ,ROW(A489),MATCH("Req_Other",Unified_Matrix!$1:$1,0)),"")</f>
        <v/>
      </c>
    </row>
    <row r="493" hidden="1">
      <c r="J493" s="4">
        <f t="array" ref="J493">IFERROR(INDEX(Unified_Matrix!$A:$ZZ,ROW(A490),MATCH("Max "&amp;$J$9,Unified_Matrix!$1:$1,0)),"")</f>
        <v/>
      </c>
      <c r="K493" s="4">
        <f t="array" ref="K493">IFERROR(INDEX(Unified_Matrix!$A:$ZZ,ROW(A490),MATCH("Evolution_Name",Unified_Matrix!$1:$1,0)),"")</f>
        <v/>
      </c>
      <c r="L493" s="4">
        <f>IF(J493="","",IF(J493=0,"",IF(J493=$AB$28,1,IF(J493=$AB$29,2,IF(J493=$AB$30,3,"")))))</f>
        <v/>
      </c>
      <c r="M493" s="4">
        <f t="array" ref="M493">IFERROR(INDEX(Unified_Matrix!$A:$ZZ,ROW(A490),MATCH("+ OVR",Unified_Matrix!$1:$1,0)),"")</f>
        <v/>
      </c>
      <c r="N493" s="4">
        <f t="array" ref="N493">IFERROR(INDEX(Unified_Matrix!$A:$ZZ,ROW(A490),MATCH("Max OVR",Unified_Matrix!$1:$1,0)),"")</f>
        <v/>
      </c>
      <c r="O493" s="4">
        <f t="array" ref="O493">IFERROR(INDEX(Unified_Matrix!$A:$ZZ,ROW(A490),MATCH("Req_Position",Unified_Matrix!$1:$1,0)),"")</f>
        <v/>
      </c>
      <c r="P493" s="4">
        <f t="array" ref="P493">IFERROR(INDEX(Unified_Matrix!$A:$ZZ,ROW(A490),MATCH("Req_OVR_Max",Unified_Matrix!$1:$1,0)),"")</f>
        <v/>
      </c>
      <c r="Q493" s="4">
        <f t="array" ref="Q493">IFERROR(INDEX(Unified_Matrix!$A:$ZZ,ROW(A490),MATCH("Req_Other",Unified_Matrix!$1:$1,0)),"")</f>
        <v/>
      </c>
    </row>
    <row r="494" hidden="1">
      <c r="J494" s="4">
        <f t="array" ref="J494">IFERROR(INDEX(Unified_Matrix!$A:$ZZ,ROW(A491),MATCH("Max "&amp;$J$9,Unified_Matrix!$1:$1,0)),"")</f>
        <v/>
      </c>
      <c r="K494" s="4">
        <f t="array" ref="K494">IFERROR(INDEX(Unified_Matrix!$A:$ZZ,ROW(A491),MATCH("Evolution_Name",Unified_Matrix!$1:$1,0)),"")</f>
        <v/>
      </c>
      <c r="L494" s="4">
        <f>IF(J494="","",IF(J494=0,"",IF(J494=$AB$28,1,IF(J494=$AB$29,2,IF(J494=$AB$30,3,"")))))</f>
        <v/>
      </c>
      <c r="M494" s="4">
        <f t="array" ref="M494">IFERROR(INDEX(Unified_Matrix!$A:$ZZ,ROW(A491),MATCH("+ OVR",Unified_Matrix!$1:$1,0)),"")</f>
        <v/>
      </c>
      <c r="N494" s="4">
        <f t="array" ref="N494">IFERROR(INDEX(Unified_Matrix!$A:$ZZ,ROW(A491),MATCH("Max OVR",Unified_Matrix!$1:$1,0)),"")</f>
        <v/>
      </c>
      <c r="O494" s="4">
        <f t="array" ref="O494">IFERROR(INDEX(Unified_Matrix!$A:$ZZ,ROW(A491),MATCH("Req_Position",Unified_Matrix!$1:$1,0)),"")</f>
        <v/>
      </c>
      <c r="P494" s="4">
        <f t="array" ref="P494">IFERROR(INDEX(Unified_Matrix!$A:$ZZ,ROW(A491),MATCH("Req_OVR_Max",Unified_Matrix!$1:$1,0)),"")</f>
        <v/>
      </c>
      <c r="Q494" s="4">
        <f t="array" ref="Q494">IFERROR(INDEX(Unified_Matrix!$A:$ZZ,ROW(A491),MATCH("Req_Other",Unified_Matrix!$1:$1,0)),"")</f>
        <v/>
      </c>
    </row>
    <row r="495" hidden="1">
      <c r="J495" s="4">
        <f t="array" ref="J495">IFERROR(INDEX(Unified_Matrix!$A:$ZZ,ROW(A492),MATCH("Max "&amp;$J$9,Unified_Matrix!$1:$1,0)),"")</f>
        <v/>
      </c>
      <c r="K495" s="4">
        <f t="array" ref="K495">IFERROR(INDEX(Unified_Matrix!$A:$ZZ,ROW(A492),MATCH("Evolution_Name",Unified_Matrix!$1:$1,0)),"")</f>
        <v/>
      </c>
      <c r="L495" s="4">
        <f>IF(J495="","",IF(J495=0,"",IF(J495=$AB$28,1,IF(J495=$AB$29,2,IF(J495=$AB$30,3,"")))))</f>
        <v/>
      </c>
      <c r="M495" s="4">
        <f t="array" ref="M495">IFERROR(INDEX(Unified_Matrix!$A:$ZZ,ROW(A492),MATCH("+ OVR",Unified_Matrix!$1:$1,0)),"")</f>
        <v/>
      </c>
      <c r="N495" s="4">
        <f t="array" ref="N495">IFERROR(INDEX(Unified_Matrix!$A:$ZZ,ROW(A492),MATCH("Max OVR",Unified_Matrix!$1:$1,0)),"")</f>
        <v/>
      </c>
      <c r="O495" s="4">
        <f t="array" ref="O495">IFERROR(INDEX(Unified_Matrix!$A:$ZZ,ROW(A492),MATCH("Req_Position",Unified_Matrix!$1:$1,0)),"")</f>
        <v/>
      </c>
      <c r="P495" s="4">
        <f t="array" ref="P495">IFERROR(INDEX(Unified_Matrix!$A:$ZZ,ROW(A492),MATCH("Req_OVR_Max",Unified_Matrix!$1:$1,0)),"")</f>
        <v/>
      </c>
      <c r="Q495" s="4">
        <f t="array" ref="Q495">IFERROR(INDEX(Unified_Matrix!$A:$ZZ,ROW(A492),MATCH("Req_Other",Unified_Matrix!$1:$1,0)),"")</f>
        <v/>
      </c>
    </row>
    <row r="496" hidden="1">
      <c r="J496" s="4">
        <f t="array" ref="J496">IFERROR(INDEX(Unified_Matrix!$A:$ZZ,ROW(A493),MATCH("Max "&amp;$J$9,Unified_Matrix!$1:$1,0)),"")</f>
        <v/>
      </c>
      <c r="K496" s="4">
        <f t="array" ref="K496">IFERROR(INDEX(Unified_Matrix!$A:$ZZ,ROW(A493),MATCH("Evolution_Name",Unified_Matrix!$1:$1,0)),"")</f>
        <v/>
      </c>
      <c r="L496" s="4">
        <f>IF(J496="","",IF(J496=0,"",IF(J496=$AB$28,1,IF(J496=$AB$29,2,IF(J496=$AB$30,3,"")))))</f>
        <v/>
      </c>
      <c r="M496" s="4">
        <f t="array" ref="M496">IFERROR(INDEX(Unified_Matrix!$A:$ZZ,ROW(A493),MATCH("+ OVR",Unified_Matrix!$1:$1,0)),"")</f>
        <v/>
      </c>
      <c r="N496" s="4">
        <f t="array" ref="N496">IFERROR(INDEX(Unified_Matrix!$A:$ZZ,ROW(A493),MATCH("Max OVR",Unified_Matrix!$1:$1,0)),"")</f>
        <v/>
      </c>
      <c r="O496" s="4">
        <f t="array" ref="O496">IFERROR(INDEX(Unified_Matrix!$A:$ZZ,ROW(A493),MATCH("Req_Position",Unified_Matrix!$1:$1,0)),"")</f>
        <v/>
      </c>
      <c r="P496" s="4">
        <f t="array" ref="P496">IFERROR(INDEX(Unified_Matrix!$A:$ZZ,ROW(A493),MATCH("Req_OVR_Max",Unified_Matrix!$1:$1,0)),"")</f>
        <v/>
      </c>
      <c r="Q496" s="4">
        <f t="array" ref="Q496">IFERROR(INDEX(Unified_Matrix!$A:$ZZ,ROW(A493),MATCH("Req_Other",Unified_Matrix!$1:$1,0)),"")</f>
        <v/>
      </c>
    </row>
    <row r="497" hidden="1">
      <c r="J497" s="4">
        <f t="array" ref="J497">IFERROR(INDEX(Unified_Matrix!$A:$ZZ,ROW(A494),MATCH("Max "&amp;$J$9,Unified_Matrix!$1:$1,0)),"")</f>
        <v/>
      </c>
      <c r="K497" s="4">
        <f t="array" ref="K497">IFERROR(INDEX(Unified_Matrix!$A:$ZZ,ROW(A494),MATCH("Evolution_Name",Unified_Matrix!$1:$1,0)),"")</f>
        <v/>
      </c>
      <c r="L497" s="4">
        <f>IF(J497="","",IF(J497=0,"",IF(J497=$AB$28,1,IF(J497=$AB$29,2,IF(J497=$AB$30,3,"")))))</f>
        <v/>
      </c>
      <c r="M497" s="4">
        <f t="array" ref="M497">IFERROR(INDEX(Unified_Matrix!$A:$ZZ,ROW(A494),MATCH("+ OVR",Unified_Matrix!$1:$1,0)),"")</f>
        <v/>
      </c>
      <c r="N497" s="4">
        <f t="array" ref="N497">IFERROR(INDEX(Unified_Matrix!$A:$ZZ,ROW(A494),MATCH("Max OVR",Unified_Matrix!$1:$1,0)),"")</f>
        <v/>
      </c>
      <c r="O497" s="4">
        <f t="array" ref="O497">IFERROR(INDEX(Unified_Matrix!$A:$ZZ,ROW(A494),MATCH("Req_Position",Unified_Matrix!$1:$1,0)),"")</f>
        <v/>
      </c>
      <c r="P497" s="4">
        <f t="array" ref="P497">IFERROR(INDEX(Unified_Matrix!$A:$ZZ,ROW(A494),MATCH("Req_OVR_Max",Unified_Matrix!$1:$1,0)),"")</f>
        <v/>
      </c>
      <c r="Q497" s="4">
        <f t="array" ref="Q497">IFERROR(INDEX(Unified_Matrix!$A:$ZZ,ROW(A494),MATCH("Req_Other",Unified_Matrix!$1:$1,0)),"")</f>
        <v/>
      </c>
    </row>
    <row r="498" hidden="1">
      <c r="J498" s="4">
        <f t="array" ref="J498">IFERROR(INDEX(Unified_Matrix!$A:$ZZ,ROW(A495),MATCH("Max "&amp;$J$9,Unified_Matrix!$1:$1,0)),"")</f>
        <v/>
      </c>
      <c r="K498" s="4">
        <f t="array" ref="K498">IFERROR(INDEX(Unified_Matrix!$A:$ZZ,ROW(A495),MATCH("Evolution_Name",Unified_Matrix!$1:$1,0)),"")</f>
        <v/>
      </c>
      <c r="L498" s="4">
        <f>IF(J498="","",IF(J498=0,"",IF(J498=$AB$28,1,IF(J498=$AB$29,2,IF(J498=$AB$30,3,"")))))</f>
        <v/>
      </c>
      <c r="M498" s="4">
        <f t="array" ref="M498">IFERROR(INDEX(Unified_Matrix!$A:$ZZ,ROW(A495),MATCH("+ OVR",Unified_Matrix!$1:$1,0)),"")</f>
        <v/>
      </c>
      <c r="N498" s="4">
        <f t="array" ref="N498">IFERROR(INDEX(Unified_Matrix!$A:$ZZ,ROW(A495),MATCH("Max OVR",Unified_Matrix!$1:$1,0)),"")</f>
        <v/>
      </c>
      <c r="O498" s="4">
        <f t="array" ref="O498">IFERROR(INDEX(Unified_Matrix!$A:$ZZ,ROW(A495),MATCH("Req_Position",Unified_Matrix!$1:$1,0)),"")</f>
        <v/>
      </c>
      <c r="P498" s="4">
        <f t="array" ref="P498">IFERROR(INDEX(Unified_Matrix!$A:$ZZ,ROW(A495),MATCH("Req_OVR_Max",Unified_Matrix!$1:$1,0)),"")</f>
        <v/>
      </c>
      <c r="Q498" s="4">
        <f t="array" ref="Q498">IFERROR(INDEX(Unified_Matrix!$A:$ZZ,ROW(A495),MATCH("Req_Other",Unified_Matrix!$1:$1,0)),"")</f>
        <v/>
      </c>
    </row>
    <row r="499" hidden="1">
      <c r="J499" s="4">
        <f t="array" ref="J499">IFERROR(INDEX(Unified_Matrix!$A:$ZZ,ROW(A496),MATCH("Max "&amp;$J$9,Unified_Matrix!$1:$1,0)),"")</f>
        <v/>
      </c>
      <c r="K499" s="4">
        <f t="array" ref="K499">IFERROR(INDEX(Unified_Matrix!$A:$ZZ,ROW(A496),MATCH("Evolution_Name",Unified_Matrix!$1:$1,0)),"")</f>
        <v/>
      </c>
      <c r="L499" s="4">
        <f>IF(J499="","",IF(J499=0,"",IF(J499=$AB$28,1,IF(J499=$AB$29,2,IF(J499=$AB$30,3,"")))))</f>
        <v/>
      </c>
      <c r="M499" s="4">
        <f t="array" ref="M499">IFERROR(INDEX(Unified_Matrix!$A:$ZZ,ROW(A496),MATCH("+ OVR",Unified_Matrix!$1:$1,0)),"")</f>
        <v/>
      </c>
      <c r="N499" s="4">
        <f t="array" ref="N499">IFERROR(INDEX(Unified_Matrix!$A:$ZZ,ROW(A496),MATCH("Max OVR",Unified_Matrix!$1:$1,0)),"")</f>
        <v/>
      </c>
      <c r="O499" s="4">
        <f t="array" ref="O499">IFERROR(INDEX(Unified_Matrix!$A:$ZZ,ROW(A496),MATCH("Req_Position",Unified_Matrix!$1:$1,0)),"")</f>
        <v/>
      </c>
      <c r="P499" s="4">
        <f t="array" ref="P499">IFERROR(INDEX(Unified_Matrix!$A:$ZZ,ROW(A496),MATCH("Req_OVR_Max",Unified_Matrix!$1:$1,0)),"")</f>
        <v/>
      </c>
      <c r="Q499" s="4">
        <f t="array" ref="Q499">IFERROR(INDEX(Unified_Matrix!$A:$ZZ,ROW(A496),MATCH("Req_Other",Unified_Matrix!$1:$1,0)),"")</f>
        <v/>
      </c>
    </row>
    <row r="500" hidden="1">
      <c r="J500" s="4">
        <f t="array" ref="J500">IFERROR(INDEX(Unified_Matrix!$A:$ZZ,ROW(A497),MATCH("Max "&amp;$J$9,Unified_Matrix!$1:$1,0)),"")</f>
        <v/>
      </c>
      <c r="K500" s="4">
        <f t="array" ref="K500">IFERROR(INDEX(Unified_Matrix!$A:$ZZ,ROW(A497),MATCH("Evolution_Name",Unified_Matrix!$1:$1,0)),"")</f>
        <v/>
      </c>
      <c r="L500" s="4">
        <f>IF(J500="","",IF(J500=0,"",IF(J500=$AB$28,1,IF(J500=$AB$29,2,IF(J500=$AB$30,3,"")))))</f>
        <v/>
      </c>
      <c r="M500" s="4">
        <f t="array" ref="M500">IFERROR(INDEX(Unified_Matrix!$A:$ZZ,ROW(A497),MATCH("+ OVR",Unified_Matrix!$1:$1,0)),"")</f>
        <v/>
      </c>
      <c r="N500" s="4">
        <f t="array" ref="N500">IFERROR(INDEX(Unified_Matrix!$A:$ZZ,ROW(A497),MATCH("Max OVR",Unified_Matrix!$1:$1,0)),"")</f>
        <v/>
      </c>
      <c r="O500" s="4">
        <f t="array" ref="O500">IFERROR(INDEX(Unified_Matrix!$A:$ZZ,ROW(A497),MATCH("Req_Position",Unified_Matrix!$1:$1,0)),"")</f>
        <v/>
      </c>
      <c r="P500" s="4">
        <f t="array" ref="P500">IFERROR(INDEX(Unified_Matrix!$A:$ZZ,ROW(A497),MATCH("Req_OVR_Max",Unified_Matrix!$1:$1,0)),"")</f>
        <v/>
      </c>
      <c r="Q500" s="4">
        <f t="array" ref="Q500">IFERROR(INDEX(Unified_Matrix!$A:$ZZ,ROW(A497),MATCH("Req_Other",Unified_Matrix!$1:$1,0)),"")</f>
        <v/>
      </c>
    </row>
    <row r="501" hidden="1">
      <c r="J501" s="4">
        <f t="array" ref="J501">IFERROR(INDEX(Unified_Matrix!$A:$ZZ,ROW(A498),MATCH("Max "&amp;$J$9,Unified_Matrix!$1:$1,0)),"")</f>
        <v/>
      </c>
      <c r="K501" s="4">
        <f t="array" ref="K501">IFERROR(INDEX(Unified_Matrix!$A:$ZZ,ROW(A498),MATCH("Evolution_Name",Unified_Matrix!$1:$1,0)),"")</f>
        <v/>
      </c>
      <c r="L501" s="4">
        <f>IF(J501="","",IF(J501=0,"",IF(J501=$AB$28,1,IF(J501=$AB$29,2,IF(J501=$AB$30,3,"")))))</f>
        <v/>
      </c>
      <c r="M501" s="4">
        <f t="array" ref="M501">IFERROR(INDEX(Unified_Matrix!$A:$ZZ,ROW(A498),MATCH("+ OVR",Unified_Matrix!$1:$1,0)),"")</f>
        <v/>
      </c>
      <c r="N501" s="4">
        <f t="array" ref="N501">IFERROR(INDEX(Unified_Matrix!$A:$ZZ,ROW(A498),MATCH("Max OVR",Unified_Matrix!$1:$1,0)),"")</f>
        <v/>
      </c>
      <c r="O501" s="4">
        <f t="array" ref="O501">IFERROR(INDEX(Unified_Matrix!$A:$ZZ,ROW(A498),MATCH("Req_Position",Unified_Matrix!$1:$1,0)),"")</f>
        <v/>
      </c>
      <c r="P501" s="4">
        <f t="array" ref="P501">IFERROR(INDEX(Unified_Matrix!$A:$ZZ,ROW(A498),MATCH("Req_OVR_Max",Unified_Matrix!$1:$1,0)),"")</f>
        <v/>
      </c>
      <c r="Q501" s="4">
        <f t="array" ref="Q501">IFERROR(INDEX(Unified_Matrix!$A:$ZZ,ROW(A498),MATCH("Req_Other",Unified_Matrix!$1:$1,0)),"")</f>
        <v/>
      </c>
    </row>
    <row r="502" hidden="1">
      <c r="J502" s="4">
        <f t="array" ref="J502">IFERROR(INDEX(Unified_Matrix!$A:$ZZ,ROW(A499),MATCH("Max "&amp;$J$9,Unified_Matrix!$1:$1,0)),"")</f>
        <v/>
      </c>
      <c r="K502" s="4">
        <f t="array" ref="K502">IFERROR(INDEX(Unified_Matrix!$A:$ZZ,ROW(A499),MATCH("Evolution_Name",Unified_Matrix!$1:$1,0)),"")</f>
        <v/>
      </c>
      <c r="L502" s="4">
        <f>IF(J502="","",IF(J502=0,"",IF(J502=$AB$28,1,IF(J502=$AB$29,2,IF(J502=$AB$30,3,"")))))</f>
        <v/>
      </c>
      <c r="M502" s="4">
        <f t="array" ref="M502">IFERROR(INDEX(Unified_Matrix!$A:$ZZ,ROW(A499),MATCH("+ OVR",Unified_Matrix!$1:$1,0)),"")</f>
        <v/>
      </c>
      <c r="N502" s="4">
        <f t="array" ref="N502">IFERROR(INDEX(Unified_Matrix!$A:$ZZ,ROW(A499),MATCH("Max OVR",Unified_Matrix!$1:$1,0)),"")</f>
        <v/>
      </c>
      <c r="O502" s="4">
        <f t="array" ref="O502">IFERROR(INDEX(Unified_Matrix!$A:$ZZ,ROW(A499),MATCH("Req_Position",Unified_Matrix!$1:$1,0)),"")</f>
        <v/>
      </c>
      <c r="P502" s="4">
        <f t="array" ref="P502">IFERROR(INDEX(Unified_Matrix!$A:$ZZ,ROW(A499),MATCH("Req_OVR_Max",Unified_Matrix!$1:$1,0)),"")</f>
        <v/>
      </c>
      <c r="Q502" s="4">
        <f t="array" ref="Q502">IFERROR(INDEX(Unified_Matrix!$A:$ZZ,ROW(A499),MATCH("Req_Other",Unified_Matrix!$1:$1,0)),"")</f>
        <v/>
      </c>
    </row>
    <row r="503" hidden="1">
      <c r="J503" s="4">
        <f t="array" ref="J503">IFERROR(INDEX(Unified_Matrix!$A:$ZZ,ROW(A500),MATCH("Max "&amp;$J$9,Unified_Matrix!$1:$1,0)),"")</f>
        <v/>
      </c>
      <c r="K503" s="4">
        <f t="array" ref="K503">IFERROR(INDEX(Unified_Matrix!$A:$ZZ,ROW(A500),MATCH("Evolution_Name",Unified_Matrix!$1:$1,0)),"")</f>
        <v/>
      </c>
      <c r="L503" s="4">
        <f>IF(J503="","",IF(J503=0,"",IF(J503=$AB$28,1,IF(J503=$AB$29,2,IF(J503=$AB$30,3,"")))))</f>
        <v/>
      </c>
      <c r="M503" s="4">
        <f t="array" ref="M503">IFERROR(INDEX(Unified_Matrix!$A:$ZZ,ROW(A500),MATCH("+ OVR",Unified_Matrix!$1:$1,0)),"")</f>
        <v/>
      </c>
      <c r="N503" s="4">
        <f t="array" ref="N503">IFERROR(INDEX(Unified_Matrix!$A:$ZZ,ROW(A500),MATCH("Max OVR",Unified_Matrix!$1:$1,0)),"")</f>
        <v/>
      </c>
      <c r="O503" s="4">
        <f t="array" ref="O503">IFERROR(INDEX(Unified_Matrix!$A:$ZZ,ROW(A500),MATCH("Req_Position",Unified_Matrix!$1:$1,0)),"")</f>
        <v/>
      </c>
      <c r="P503" s="4">
        <f t="array" ref="P503">IFERROR(INDEX(Unified_Matrix!$A:$ZZ,ROW(A500),MATCH("Req_OVR_Max",Unified_Matrix!$1:$1,0)),"")</f>
        <v/>
      </c>
      <c r="Q503" s="4">
        <f t="array" ref="Q503">IFERROR(INDEX(Unified_Matrix!$A:$ZZ,ROW(A500),MATCH("Req_Other",Unified_Matrix!$1:$1,0)),"")</f>
        <v/>
      </c>
    </row>
    <row r="504" hidden="1">
      <c r="J504" s="4">
        <f t="array" ref="J504">IFERROR(INDEX(Unified_Matrix!$A:$ZZ,ROW(A501),MATCH("Max "&amp;$J$9,Unified_Matrix!$1:$1,0)),"")</f>
        <v/>
      </c>
      <c r="K504" s="4">
        <f t="array" ref="K504">IFERROR(INDEX(Unified_Matrix!$A:$ZZ,ROW(A501),MATCH("Evolution_Name",Unified_Matrix!$1:$1,0)),"")</f>
        <v/>
      </c>
      <c r="L504" s="4">
        <f>IF(J504="","",IF(J504=0,"",IF(J504=$AB$28,1,IF(J504=$AB$29,2,IF(J504=$AB$30,3,"")))))</f>
        <v/>
      </c>
      <c r="M504" s="4">
        <f t="array" ref="M504">IFERROR(INDEX(Unified_Matrix!$A:$ZZ,ROW(A501),MATCH("+ OVR",Unified_Matrix!$1:$1,0)),"")</f>
        <v/>
      </c>
      <c r="N504" s="4">
        <f t="array" ref="N504">IFERROR(INDEX(Unified_Matrix!$A:$ZZ,ROW(A501),MATCH("Max OVR",Unified_Matrix!$1:$1,0)),"")</f>
        <v/>
      </c>
      <c r="O504" s="4">
        <f t="array" ref="O504">IFERROR(INDEX(Unified_Matrix!$A:$ZZ,ROW(A501),MATCH("Req_Position",Unified_Matrix!$1:$1,0)),"")</f>
        <v/>
      </c>
      <c r="P504" s="4">
        <f t="array" ref="P504">IFERROR(INDEX(Unified_Matrix!$A:$ZZ,ROW(A501),MATCH("Req_OVR_Max",Unified_Matrix!$1:$1,0)),"")</f>
        <v/>
      </c>
      <c r="Q504" s="4">
        <f t="array" ref="Q504">IFERROR(INDEX(Unified_Matrix!$A:$ZZ,ROW(A501),MATCH("Req_Other",Unified_Matrix!$1:$1,0)),"")</f>
        <v/>
      </c>
    </row>
    <row r="505" hidden="1">
      <c r="J505" s="4">
        <f t="array" ref="J505">IFERROR(INDEX(Unified_Matrix!$A:$ZZ,ROW(A502),MATCH("Max "&amp;$J$9,Unified_Matrix!$1:$1,0)),"")</f>
        <v/>
      </c>
      <c r="K505" s="4">
        <f t="array" ref="K505">IFERROR(INDEX(Unified_Matrix!$A:$ZZ,ROW(A502),MATCH("Evolution_Name",Unified_Matrix!$1:$1,0)),"")</f>
        <v/>
      </c>
      <c r="L505" s="4">
        <f>IF(J505="","",IF(J505=0,"",IF(J505=$AB$28,1,IF(J505=$AB$29,2,IF(J505=$AB$30,3,"")))))</f>
        <v/>
      </c>
      <c r="M505" s="4">
        <f t="array" ref="M505">IFERROR(INDEX(Unified_Matrix!$A:$ZZ,ROW(A502),MATCH("+ OVR",Unified_Matrix!$1:$1,0)),"")</f>
        <v/>
      </c>
      <c r="N505" s="4">
        <f t="array" ref="N505">IFERROR(INDEX(Unified_Matrix!$A:$ZZ,ROW(A502),MATCH("Max OVR",Unified_Matrix!$1:$1,0)),"")</f>
        <v/>
      </c>
      <c r="O505" s="4">
        <f t="array" ref="O505">IFERROR(INDEX(Unified_Matrix!$A:$ZZ,ROW(A502),MATCH("Req_Position",Unified_Matrix!$1:$1,0)),"")</f>
        <v/>
      </c>
      <c r="P505" s="4">
        <f t="array" ref="P505">IFERROR(INDEX(Unified_Matrix!$A:$ZZ,ROW(A502),MATCH("Req_OVR_Max",Unified_Matrix!$1:$1,0)),"")</f>
        <v/>
      </c>
      <c r="Q505" s="4">
        <f t="array" ref="Q505">IFERROR(INDEX(Unified_Matrix!$A:$ZZ,ROW(A502),MATCH("Req_Other",Unified_Matrix!$1:$1,0)),"")</f>
        <v/>
      </c>
    </row>
    <row r="506" hidden="1">
      <c r="J506" s="4">
        <f t="array" ref="J506">IFERROR(INDEX(Unified_Matrix!$A:$ZZ,ROW(A503),MATCH("Max "&amp;$J$9,Unified_Matrix!$1:$1,0)),"")</f>
        <v/>
      </c>
      <c r="K506" s="4">
        <f t="array" ref="K506">IFERROR(INDEX(Unified_Matrix!$A:$ZZ,ROW(A503),MATCH("Evolution_Name",Unified_Matrix!$1:$1,0)),"")</f>
        <v/>
      </c>
      <c r="L506" s="4">
        <f>IF(J506="","",IF(J506=0,"",IF(J506=$AB$28,1,IF(J506=$AB$29,2,IF(J506=$AB$30,3,"")))))</f>
        <v/>
      </c>
      <c r="M506" s="4">
        <f t="array" ref="M506">IFERROR(INDEX(Unified_Matrix!$A:$ZZ,ROW(A503),MATCH("+ OVR",Unified_Matrix!$1:$1,0)),"")</f>
        <v/>
      </c>
      <c r="N506" s="4">
        <f t="array" ref="N506">IFERROR(INDEX(Unified_Matrix!$A:$ZZ,ROW(A503),MATCH("Max OVR",Unified_Matrix!$1:$1,0)),"")</f>
        <v/>
      </c>
      <c r="O506" s="4">
        <f t="array" ref="O506">IFERROR(INDEX(Unified_Matrix!$A:$ZZ,ROW(A503),MATCH("Req_Position",Unified_Matrix!$1:$1,0)),"")</f>
        <v/>
      </c>
      <c r="P506" s="4">
        <f t="array" ref="P506">IFERROR(INDEX(Unified_Matrix!$A:$ZZ,ROW(A503),MATCH("Req_OVR_Max",Unified_Matrix!$1:$1,0)),"")</f>
        <v/>
      </c>
      <c r="Q506" s="4">
        <f t="array" ref="Q506">IFERROR(INDEX(Unified_Matrix!$A:$ZZ,ROW(A503),MATCH("Req_Other",Unified_Matrix!$1:$1,0)),"")</f>
        <v/>
      </c>
    </row>
    <row r="507" hidden="1">
      <c r="J507" s="4">
        <f t="array" ref="J507">IFERROR(INDEX(Unified_Matrix!$A:$ZZ,ROW(A504),MATCH("Max "&amp;$J$9,Unified_Matrix!$1:$1,0)),"")</f>
        <v/>
      </c>
      <c r="K507" s="4">
        <f t="array" ref="K507">IFERROR(INDEX(Unified_Matrix!$A:$ZZ,ROW(A504),MATCH("Evolution_Name",Unified_Matrix!$1:$1,0)),"")</f>
        <v/>
      </c>
      <c r="L507" s="4">
        <f>IF(J507="","",IF(J507=0,"",IF(J507=$AB$28,1,IF(J507=$AB$29,2,IF(J507=$AB$30,3,"")))))</f>
        <v/>
      </c>
      <c r="M507" s="4">
        <f t="array" ref="M507">IFERROR(INDEX(Unified_Matrix!$A:$ZZ,ROW(A504),MATCH("+ OVR",Unified_Matrix!$1:$1,0)),"")</f>
        <v/>
      </c>
      <c r="N507" s="4">
        <f t="array" ref="N507">IFERROR(INDEX(Unified_Matrix!$A:$ZZ,ROW(A504),MATCH("Max OVR",Unified_Matrix!$1:$1,0)),"")</f>
        <v/>
      </c>
      <c r="O507" s="4">
        <f t="array" ref="O507">IFERROR(INDEX(Unified_Matrix!$A:$ZZ,ROW(A504),MATCH("Req_Position",Unified_Matrix!$1:$1,0)),"")</f>
        <v/>
      </c>
      <c r="P507" s="4">
        <f t="array" ref="P507">IFERROR(INDEX(Unified_Matrix!$A:$ZZ,ROW(A504),MATCH("Req_OVR_Max",Unified_Matrix!$1:$1,0)),"")</f>
        <v/>
      </c>
      <c r="Q507" s="4">
        <f t="array" ref="Q507">IFERROR(INDEX(Unified_Matrix!$A:$ZZ,ROW(A504),MATCH("Req_Other",Unified_Matrix!$1:$1,0)),"")</f>
        <v/>
      </c>
    </row>
    <row r="508" hidden="1">
      <c r="J508" s="4">
        <f t="array" ref="J508">IFERROR(INDEX(Unified_Matrix!$A:$ZZ,ROW(A505),MATCH("Max "&amp;$J$9,Unified_Matrix!$1:$1,0)),"")</f>
        <v/>
      </c>
      <c r="K508" s="4">
        <f t="array" ref="K508">IFERROR(INDEX(Unified_Matrix!$A:$ZZ,ROW(A505),MATCH("Evolution_Name",Unified_Matrix!$1:$1,0)),"")</f>
        <v/>
      </c>
      <c r="L508" s="4">
        <f>IF(J508="","",IF(J508=0,"",IF(J508=$AB$28,1,IF(J508=$AB$29,2,IF(J508=$AB$30,3,"")))))</f>
        <v/>
      </c>
      <c r="M508" s="4">
        <f t="array" ref="M508">IFERROR(INDEX(Unified_Matrix!$A:$ZZ,ROW(A505),MATCH("+ OVR",Unified_Matrix!$1:$1,0)),"")</f>
        <v/>
      </c>
      <c r="N508" s="4">
        <f t="array" ref="N508">IFERROR(INDEX(Unified_Matrix!$A:$ZZ,ROW(A505),MATCH("Max OVR",Unified_Matrix!$1:$1,0)),"")</f>
        <v/>
      </c>
      <c r="O508" s="4">
        <f t="array" ref="O508">IFERROR(INDEX(Unified_Matrix!$A:$ZZ,ROW(A505),MATCH("Req_Position",Unified_Matrix!$1:$1,0)),"")</f>
        <v/>
      </c>
      <c r="P508" s="4">
        <f t="array" ref="P508">IFERROR(INDEX(Unified_Matrix!$A:$ZZ,ROW(A505),MATCH("Req_OVR_Max",Unified_Matrix!$1:$1,0)),"")</f>
        <v/>
      </c>
      <c r="Q508" s="4">
        <f t="array" ref="Q508">IFERROR(INDEX(Unified_Matrix!$A:$ZZ,ROW(A505),MATCH("Req_Other",Unified_Matrix!$1:$1,0)),"")</f>
        <v/>
      </c>
    </row>
    <row r="509" hidden="1">
      <c r="J509" s="4">
        <f t="array" ref="J509">IFERROR(INDEX(Unified_Matrix!$A:$ZZ,ROW(A506),MATCH("Max "&amp;$J$9,Unified_Matrix!$1:$1,0)),"")</f>
        <v/>
      </c>
      <c r="K509" s="4">
        <f t="array" ref="K509">IFERROR(INDEX(Unified_Matrix!$A:$ZZ,ROW(A506),MATCH("Evolution_Name",Unified_Matrix!$1:$1,0)),"")</f>
        <v/>
      </c>
      <c r="L509" s="4">
        <f>IF(J509="","",IF(J509=0,"",IF(J509=$AB$28,1,IF(J509=$AB$29,2,IF(J509=$AB$30,3,"")))))</f>
        <v/>
      </c>
      <c r="M509" s="4">
        <f t="array" ref="M509">IFERROR(INDEX(Unified_Matrix!$A:$ZZ,ROW(A506),MATCH("+ OVR",Unified_Matrix!$1:$1,0)),"")</f>
        <v/>
      </c>
      <c r="N509" s="4">
        <f t="array" ref="N509">IFERROR(INDEX(Unified_Matrix!$A:$ZZ,ROW(A506),MATCH("Max OVR",Unified_Matrix!$1:$1,0)),"")</f>
        <v/>
      </c>
      <c r="O509" s="4">
        <f t="array" ref="O509">IFERROR(INDEX(Unified_Matrix!$A:$ZZ,ROW(A506),MATCH("Req_Position",Unified_Matrix!$1:$1,0)),"")</f>
        <v/>
      </c>
      <c r="P509" s="4">
        <f t="array" ref="P509">IFERROR(INDEX(Unified_Matrix!$A:$ZZ,ROW(A506),MATCH("Req_OVR_Max",Unified_Matrix!$1:$1,0)),"")</f>
        <v/>
      </c>
      <c r="Q509" s="4">
        <f t="array" ref="Q509">IFERROR(INDEX(Unified_Matrix!$A:$ZZ,ROW(A506),MATCH("Req_Other",Unified_Matrix!$1:$1,0)),"")</f>
        <v/>
      </c>
    </row>
    <row r="510" hidden="1">
      <c r="J510" s="4">
        <f t="array" ref="J510">IFERROR(INDEX(Unified_Matrix!$A:$ZZ,ROW(A507),MATCH("Max "&amp;$J$9,Unified_Matrix!$1:$1,0)),"")</f>
        <v/>
      </c>
      <c r="K510" s="4">
        <f t="array" ref="K510">IFERROR(INDEX(Unified_Matrix!$A:$ZZ,ROW(A507),MATCH("Evolution_Name",Unified_Matrix!$1:$1,0)),"")</f>
        <v/>
      </c>
      <c r="L510" s="4">
        <f>IF(J510="","",IF(J510=0,"",IF(J510=$AB$28,1,IF(J510=$AB$29,2,IF(J510=$AB$30,3,"")))))</f>
        <v/>
      </c>
      <c r="M510" s="4">
        <f t="array" ref="M510">IFERROR(INDEX(Unified_Matrix!$A:$ZZ,ROW(A507),MATCH("+ OVR",Unified_Matrix!$1:$1,0)),"")</f>
        <v/>
      </c>
      <c r="N510" s="4">
        <f t="array" ref="N510">IFERROR(INDEX(Unified_Matrix!$A:$ZZ,ROW(A507),MATCH("Max OVR",Unified_Matrix!$1:$1,0)),"")</f>
        <v/>
      </c>
      <c r="O510" s="4">
        <f t="array" ref="O510">IFERROR(INDEX(Unified_Matrix!$A:$ZZ,ROW(A507),MATCH("Req_Position",Unified_Matrix!$1:$1,0)),"")</f>
        <v/>
      </c>
      <c r="P510" s="4">
        <f t="array" ref="P510">IFERROR(INDEX(Unified_Matrix!$A:$ZZ,ROW(A507),MATCH("Req_OVR_Max",Unified_Matrix!$1:$1,0)),"")</f>
        <v/>
      </c>
      <c r="Q510" s="4">
        <f t="array" ref="Q510">IFERROR(INDEX(Unified_Matrix!$A:$ZZ,ROW(A507),MATCH("Req_Other",Unified_Matrix!$1:$1,0)),"")</f>
        <v/>
      </c>
    </row>
    <row r="511" hidden="1">
      <c r="J511" s="4">
        <f t="array" ref="J511">IFERROR(INDEX(Unified_Matrix!$A:$ZZ,ROW(A508),MATCH("Max "&amp;$J$9,Unified_Matrix!$1:$1,0)),"")</f>
        <v/>
      </c>
      <c r="K511" s="4">
        <f t="array" ref="K511">IFERROR(INDEX(Unified_Matrix!$A:$ZZ,ROW(A508),MATCH("Evolution_Name",Unified_Matrix!$1:$1,0)),"")</f>
        <v/>
      </c>
      <c r="L511" s="4">
        <f>IF(J511="","",IF(J511=0,"",IF(J511=$AB$28,1,IF(J511=$AB$29,2,IF(J511=$AB$30,3,"")))))</f>
        <v/>
      </c>
      <c r="M511" s="4">
        <f t="array" ref="M511">IFERROR(INDEX(Unified_Matrix!$A:$ZZ,ROW(A508),MATCH("+ OVR",Unified_Matrix!$1:$1,0)),"")</f>
        <v/>
      </c>
      <c r="N511" s="4">
        <f t="array" ref="N511">IFERROR(INDEX(Unified_Matrix!$A:$ZZ,ROW(A508),MATCH("Max OVR",Unified_Matrix!$1:$1,0)),"")</f>
        <v/>
      </c>
      <c r="O511" s="4">
        <f t="array" ref="O511">IFERROR(INDEX(Unified_Matrix!$A:$ZZ,ROW(A508),MATCH("Req_Position",Unified_Matrix!$1:$1,0)),"")</f>
        <v/>
      </c>
      <c r="P511" s="4">
        <f t="array" ref="P511">IFERROR(INDEX(Unified_Matrix!$A:$ZZ,ROW(A508),MATCH("Req_OVR_Max",Unified_Matrix!$1:$1,0)),"")</f>
        <v/>
      </c>
      <c r="Q511" s="4">
        <f t="array" ref="Q511">IFERROR(INDEX(Unified_Matrix!$A:$ZZ,ROW(A508),MATCH("Req_Other",Unified_Matrix!$1:$1,0)),"")</f>
        <v/>
      </c>
    </row>
    <row r="512" hidden="1">
      <c r="J512" s="4">
        <f t="array" ref="J512">IFERROR(INDEX(Unified_Matrix!$A:$ZZ,ROW(A509),MATCH("Max "&amp;$J$9,Unified_Matrix!$1:$1,0)),"")</f>
        <v/>
      </c>
      <c r="K512" s="4">
        <f t="array" ref="K512">IFERROR(INDEX(Unified_Matrix!$A:$ZZ,ROW(A509),MATCH("Evolution_Name",Unified_Matrix!$1:$1,0)),"")</f>
        <v/>
      </c>
      <c r="L512" s="4">
        <f>IF(J512="","",IF(J512=0,"",IF(J512=$AB$28,1,IF(J512=$AB$29,2,IF(J512=$AB$30,3,"")))))</f>
        <v/>
      </c>
      <c r="M512" s="4">
        <f t="array" ref="M512">IFERROR(INDEX(Unified_Matrix!$A:$ZZ,ROW(A509),MATCH("+ OVR",Unified_Matrix!$1:$1,0)),"")</f>
        <v/>
      </c>
      <c r="N512" s="4">
        <f t="array" ref="N512">IFERROR(INDEX(Unified_Matrix!$A:$ZZ,ROW(A509),MATCH("Max OVR",Unified_Matrix!$1:$1,0)),"")</f>
        <v/>
      </c>
      <c r="O512" s="4">
        <f t="array" ref="O512">IFERROR(INDEX(Unified_Matrix!$A:$ZZ,ROW(A509),MATCH("Req_Position",Unified_Matrix!$1:$1,0)),"")</f>
        <v/>
      </c>
      <c r="P512" s="4">
        <f t="array" ref="P512">IFERROR(INDEX(Unified_Matrix!$A:$ZZ,ROW(A509),MATCH("Req_OVR_Max",Unified_Matrix!$1:$1,0)),"")</f>
        <v/>
      </c>
      <c r="Q512" s="4">
        <f t="array" ref="Q512">IFERROR(INDEX(Unified_Matrix!$A:$ZZ,ROW(A509),MATCH("Req_Other",Unified_Matrix!$1:$1,0)),"")</f>
        <v/>
      </c>
    </row>
    <row r="513" hidden="1">
      <c r="J513" s="4">
        <f t="array" ref="J513">IFERROR(INDEX(Unified_Matrix!$A:$ZZ,ROW(A510),MATCH("Max "&amp;$J$9,Unified_Matrix!$1:$1,0)),"")</f>
        <v/>
      </c>
      <c r="K513" s="4">
        <f t="array" ref="K513">IFERROR(INDEX(Unified_Matrix!$A:$ZZ,ROW(A510),MATCH("Evolution_Name",Unified_Matrix!$1:$1,0)),"")</f>
        <v/>
      </c>
      <c r="L513" s="4">
        <f>IF(J513="","",IF(J513=0,"",IF(J513=$AB$28,1,IF(J513=$AB$29,2,IF(J513=$AB$30,3,"")))))</f>
        <v/>
      </c>
      <c r="M513" s="4">
        <f t="array" ref="M513">IFERROR(INDEX(Unified_Matrix!$A:$ZZ,ROW(A510),MATCH("+ OVR",Unified_Matrix!$1:$1,0)),"")</f>
        <v/>
      </c>
      <c r="N513" s="4">
        <f t="array" ref="N513">IFERROR(INDEX(Unified_Matrix!$A:$ZZ,ROW(A510),MATCH("Max OVR",Unified_Matrix!$1:$1,0)),"")</f>
        <v/>
      </c>
      <c r="O513" s="4">
        <f t="array" ref="O513">IFERROR(INDEX(Unified_Matrix!$A:$ZZ,ROW(A510),MATCH("Req_Position",Unified_Matrix!$1:$1,0)),"")</f>
        <v/>
      </c>
      <c r="P513" s="4">
        <f t="array" ref="P513">IFERROR(INDEX(Unified_Matrix!$A:$ZZ,ROW(A510),MATCH("Req_OVR_Max",Unified_Matrix!$1:$1,0)),"")</f>
        <v/>
      </c>
      <c r="Q513" s="4">
        <f t="array" ref="Q513">IFERROR(INDEX(Unified_Matrix!$A:$ZZ,ROW(A510),MATCH("Req_Other",Unified_Matrix!$1:$1,0)),"")</f>
        <v/>
      </c>
    </row>
    <row r="514" hidden="1">
      <c r="J514" s="4">
        <f t="array" ref="J514">IFERROR(INDEX(Unified_Matrix!$A:$ZZ,ROW(A511),MATCH("Max "&amp;$J$9,Unified_Matrix!$1:$1,0)),"")</f>
        <v/>
      </c>
      <c r="K514" s="4">
        <f t="array" ref="K514">IFERROR(INDEX(Unified_Matrix!$A:$ZZ,ROW(A511),MATCH("Evolution_Name",Unified_Matrix!$1:$1,0)),"")</f>
        <v/>
      </c>
      <c r="L514" s="4">
        <f>IF(J514="","",IF(J514=0,"",IF(J514=$AB$28,1,IF(J514=$AB$29,2,IF(J514=$AB$30,3,"")))))</f>
        <v/>
      </c>
      <c r="M514" s="4">
        <f t="array" ref="M514">IFERROR(INDEX(Unified_Matrix!$A:$ZZ,ROW(A511),MATCH("+ OVR",Unified_Matrix!$1:$1,0)),"")</f>
        <v/>
      </c>
      <c r="N514" s="4">
        <f t="array" ref="N514">IFERROR(INDEX(Unified_Matrix!$A:$ZZ,ROW(A511),MATCH("Max OVR",Unified_Matrix!$1:$1,0)),"")</f>
        <v/>
      </c>
      <c r="O514" s="4">
        <f t="array" ref="O514">IFERROR(INDEX(Unified_Matrix!$A:$ZZ,ROW(A511),MATCH("Req_Position",Unified_Matrix!$1:$1,0)),"")</f>
        <v/>
      </c>
      <c r="P514" s="4">
        <f t="array" ref="P514">IFERROR(INDEX(Unified_Matrix!$A:$ZZ,ROW(A511),MATCH("Req_OVR_Max",Unified_Matrix!$1:$1,0)),"")</f>
        <v/>
      </c>
      <c r="Q514" s="4">
        <f t="array" ref="Q514">IFERROR(INDEX(Unified_Matrix!$A:$ZZ,ROW(A511),MATCH("Req_Other",Unified_Matrix!$1:$1,0)),"")</f>
        <v/>
      </c>
    </row>
    <row r="515" hidden="1">
      <c r="J515" s="4">
        <f t="array" ref="J515">IFERROR(INDEX(Unified_Matrix!$A:$ZZ,ROW(A512),MATCH("Max "&amp;$J$9,Unified_Matrix!$1:$1,0)),"")</f>
        <v/>
      </c>
      <c r="K515" s="4">
        <f t="array" ref="K515">IFERROR(INDEX(Unified_Matrix!$A:$ZZ,ROW(A512),MATCH("Evolution_Name",Unified_Matrix!$1:$1,0)),"")</f>
        <v/>
      </c>
      <c r="L515" s="4">
        <f>IF(J515="","",IF(J515=0,"",IF(J515=$AB$28,1,IF(J515=$AB$29,2,IF(J515=$AB$30,3,"")))))</f>
        <v/>
      </c>
      <c r="M515" s="4">
        <f t="array" ref="M515">IFERROR(INDEX(Unified_Matrix!$A:$ZZ,ROW(A512),MATCH("+ OVR",Unified_Matrix!$1:$1,0)),"")</f>
        <v/>
      </c>
      <c r="N515" s="4">
        <f t="array" ref="N515">IFERROR(INDEX(Unified_Matrix!$A:$ZZ,ROW(A512),MATCH("Max OVR",Unified_Matrix!$1:$1,0)),"")</f>
        <v/>
      </c>
      <c r="O515" s="4">
        <f t="array" ref="O515">IFERROR(INDEX(Unified_Matrix!$A:$ZZ,ROW(A512),MATCH("Req_Position",Unified_Matrix!$1:$1,0)),"")</f>
        <v/>
      </c>
      <c r="P515" s="4">
        <f t="array" ref="P515">IFERROR(INDEX(Unified_Matrix!$A:$ZZ,ROW(A512),MATCH("Req_OVR_Max",Unified_Matrix!$1:$1,0)),"")</f>
        <v/>
      </c>
      <c r="Q515" s="4">
        <f t="array" ref="Q515">IFERROR(INDEX(Unified_Matrix!$A:$ZZ,ROW(A512),MATCH("Req_Other",Unified_Matrix!$1:$1,0)),"")</f>
        <v/>
      </c>
    </row>
    <row r="516" hidden="1">
      <c r="J516" s="4">
        <f t="array" ref="J516">IFERROR(INDEX(Unified_Matrix!$A:$ZZ,ROW(A513),MATCH("Max "&amp;$J$9,Unified_Matrix!$1:$1,0)),"")</f>
        <v/>
      </c>
      <c r="K516" s="4">
        <f t="array" ref="K516">IFERROR(INDEX(Unified_Matrix!$A:$ZZ,ROW(A513),MATCH("Evolution_Name",Unified_Matrix!$1:$1,0)),"")</f>
        <v/>
      </c>
      <c r="L516" s="4">
        <f>IF(J516="","",IF(J516=0,"",IF(J516=$AB$28,1,IF(J516=$AB$29,2,IF(J516=$AB$30,3,"")))))</f>
        <v/>
      </c>
      <c r="M516" s="4">
        <f t="array" ref="M516">IFERROR(INDEX(Unified_Matrix!$A:$ZZ,ROW(A513),MATCH("+ OVR",Unified_Matrix!$1:$1,0)),"")</f>
        <v/>
      </c>
      <c r="N516" s="4">
        <f t="array" ref="N516">IFERROR(INDEX(Unified_Matrix!$A:$ZZ,ROW(A513),MATCH("Max OVR",Unified_Matrix!$1:$1,0)),"")</f>
        <v/>
      </c>
      <c r="O516" s="4">
        <f t="array" ref="O516">IFERROR(INDEX(Unified_Matrix!$A:$ZZ,ROW(A513),MATCH("Req_Position",Unified_Matrix!$1:$1,0)),"")</f>
        <v/>
      </c>
      <c r="P516" s="4">
        <f t="array" ref="P516">IFERROR(INDEX(Unified_Matrix!$A:$ZZ,ROW(A513),MATCH("Req_OVR_Max",Unified_Matrix!$1:$1,0)),"")</f>
        <v/>
      </c>
      <c r="Q516" s="4">
        <f t="array" ref="Q516">IFERROR(INDEX(Unified_Matrix!$A:$ZZ,ROW(A513),MATCH("Req_Other",Unified_Matrix!$1:$1,0)),"")</f>
        <v/>
      </c>
    </row>
    <row r="517" hidden="1">
      <c r="J517" s="4">
        <f t="array" ref="J517">IFERROR(INDEX(Unified_Matrix!$A:$ZZ,ROW(A514),MATCH("Max "&amp;$J$9,Unified_Matrix!$1:$1,0)),"")</f>
        <v/>
      </c>
      <c r="K517" s="4">
        <f t="array" ref="K517">IFERROR(INDEX(Unified_Matrix!$A:$ZZ,ROW(A514),MATCH("Evolution_Name",Unified_Matrix!$1:$1,0)),"")</f>
        <v/>
      </c>
      <c r="L517" s="4">
        <f>IF(J517="","",IF(J517=0,"",IF(J517=$AB$28,1,IF(J517=$AB$29,2,IF(J517=$AB$30,3,"")))))</f>
        <v/>
      </c>
      <c r="M517" s="4">
        <f t="array" ref="M517">IFERROR(INDEX(Unified_Matrix!$A:$ZZ,ROW(A514),MATCH("+ OVR",Unified_Matrix!$1:$1,0)),"")</f>
        <v/>
      </c>
      <c r="N517" s="4">
        <f t="array" ref="N517">IFERROR(INDEX(Unified_Matrix!$A:$ZZ,ROW(A514),MATCH("Max OVR",Unified_Matrix!$1:$1,0)),"")</f>
        <v/>
      </c>
      <c r="O517" s="4">
        <f t="array" ref="O517">IFERROR(INDEX(Unified_Matrix!$A:$ZZ,ROW(A514),MATCH("Req_Position",Unified_Matrix!$1:$1,0)),"")</f>
        <v/>
      </c>
      <c r="P517" s="4">
        <f t="array" ref="P517">IFERROR(INDEX(Unified_Matrix!$A:$ZZ,ROW(A514),MATCH("Req_OVR_Max",Unified_Matrix!$1:$1,0)),"")</f>
        <v/>
      </c>
      <c r="Q517" s="4">
        <f t="array" ref="Q517">IFERROR(INDEX(Unified_Matrix!$A:$ZZ,ROW(A514),MATCH("Req_Other",Unified_Matrix!$1:$1,0)),"")</f>
        <v/>
      </c>
    </row>
    <row r="518" hidden="1">
      <c r="J518" s="4">
        <f t="array" ref="J518">IFERROR(INDEX(Unified_Matrix!$A:$ZZ,ROW(A515),MATCH("Max "&amp;$J$9,Unified_Matrix!$1:$1,0)),"")</f>
        <v/>
      </c>
      <c r="K518" s="4">
        <f t="array" ref="K518">IFERROR(INDEX(Unified_Matrix!$A:$ZZ,ROW(A515),MATCH("Evolution_Name",Unified_Matrix!$1:$1,0)),"")</f>
        <v/>
      </c>
      <c r="L518" s="4">
        <f>IF(J518="","",IF(J518=0,"",IF(J518=$AB$28,1,IF(J518=$AB$29,2,IF(J518=$AB$30,3,"")))))</f>
        <v/>
      </c>
      <c r="M518" s="4">
        <f t="array" ref="M518">IFERROR(INDEX(Unified_Matrix!$A:$ZZ,ROW(A515),MATCH("+ OVR",Unified_Matrix!$1:$1,0)),"")</f>
        <v/>
      </c>
      <c r="N518" s="4">
        <f t="array" ref="N518">IFERROR(INDEX(Unified_Matrix!$A:$ZZ,ROW(A515),MATCH("Max OVR",Unified_Matrix!$1:$1,0)),"")</f>
        <v/>
      </c>
      <c r="O518" s="4">
        <f t="array" ref="O518">IFERROR(INDEX(Unified_Matrix!$A:$ZZ,ROW(A515),MATCH("Req_Position",Unified_Matrix!$1:$1,0)),"")</f>
        <v/>
      </c>
      <c r="P518" s="4">
        <f t="array" ref="P518">IFERROR(INDEX(Unified_Matrix!$A:$ZZ,ROW(A515),MATCH("Req_OVR_Max",Unified_Matrix!$1:$1,0)),"")</f>
        <v/>
      </c>
      <c r="Q518" s="4">
        <f t="array" ref="Q518">IFERROR(INDEX(Unified_Matrix!$A:$ZZ,ROW(A515),MATCH("Req_Other",Unified_Matrix!$1:$1,0)),"")</f>
        <v/>
      </c>
    </row>
    <row r="519" hidden="1">
      <c r="J519" s="4">
        <f t="array" ref="J519">IFERROR(INDEX(Unified_Matrix!$A:$ZZ,ROW(A516),MATCH("Max "&amp;$J$9,Unified_Matrix!$1:$1,0)),"")</f>
        <v/>
      </c>
      <c r="K519" s="4">
        <f t="array" ref="K519">IFERROR(INDEX(Unified_Matrix!$A:$ZZ,ROW(A516),MATCH("Evolution_Name",Unified_Matrix!$1:$1,0)),"")</f>
        <v/>
      </c>
      <c r="L519" s="4">
        <f>IF(J519="","",IF(J519=0,"",IF(J519=$AB$28,1,IF(J519=$AB$29,2,IF(J519=$AB$30,3,"")))))</f>
        <v/>
      </c>
      <c r="M519" s="4">
        <f t="array" ref="M519">IFERROR(INDEX(Unified_Matrix!$A:$ZZ,ROW(A516),MATCH("+ OVR",Unified_Matrix!$1:$1,0)),"")</f>
        <v/>
      </c>
      <c r="N519" s="4">
        <f t="array" ref="N519">IFERROR(INDEX(Unified_Matrix!$A:$ZZ,ROW(A516),MATCH("Max OVR",Unified_Matrix!$1:$1,0)),"")</f>
        <v/>
      </c>
      <c r="O519" s="4">
        <f t="array" ref="O519">IFERROR(INDEX(Unified_Matrix!$A:$ZZ,ROW(A516),MATCH("Req_Position",Unified_Matrix!$1:$1,0)),"")</f>
        <v/>
      </c>
      <c r="P519" s="4">
        <f t="array" ref="P519">IFERROR(INDEX(Unified_Matrix!$A:$ZZ,ROW(A516),MATCH("Req_OVR_Max",Unified_Matrix!$1:$1,0)),"")</f>
        <v/>
      </c>
      <c r="Q519" s="4">
        <f t="array" ref="Q519">IFERROR(INDEX(Unified_Matrix!$A:$ZZ,ROW(A516),MATCH("Req_Other",Unified_Matrix!$1:$1,0)),"")</f>
        <v/>
      </c>
    </row>
    <row r="520" hidden="1">
      <c r="J520" s="4">
        <f t="array" ref="J520">IFERROR(INDEX(Unified_Matrix!$A:$ZZ,ROW(A517),MATCH("Max "&amp;$J$9,Unified_Matrix!$1:$1,0)),"")</f>
        <v/>
      </c>
      <c r="K520" s="4">
        <f t="array" ref="K520">IFERROR(INDEX(Unified_Matrix!$A:$ZZ,ROW(A517),MATCH("Evolution_Name",Unified_Matrix!$1:$1,0)),"")</f>
        <v/>
      </c>
      <c r="L520" s="4">
        <f>IF(J520="","",IF(J520=0,"",IF(J520=$AB$28,1,IF(J520=$AB$29,2,IF(J520=$AB$30,3,"")))))</f>
        <v/>
      </c>
      <c r="M520" s="4">
        <f t="array" ref="M520">IFERROR(INDEX(Unified_Matrix!$A:$ZZ,ROW(A517),MATCH("+ OVR",Unified_Matrix!$1:$1,0)),"")</f>
        <v/>
      </c>
      <c r="N520" s="4">
        <f t="array" ref="N520">IFERROR(INDEX(Unified_Matrix!$A:$ZZ,ROW(A517),MATCH("Max OVR",Unified_Matrix!$1:$1,0)),"")</f>
        <v/>
      </c>
      <c r="O520" s="4">
        <f t="array" ref="O520">IFERROR(INDEX(Unified_Matrix!$A:$ZZ,ROW(A517),MATCH("Req_Position",Unified_Matrix!$1:$1,0)),"")</f>
        <v/>
      </c>
      <c r="P520" s="4">
        <f t="array" ref="P520">IFERROR(INDEX(Unified_Matrix!$A:$ZZ,ROW(A517),MATCH("Req_OVR_Max",Unified_Matrix!$1:$1,0)),"")</f>
        <v/>
      </c>
      <c r="Q520" s="4">
        <f t="array" ref="Q520">IFERROR(INDEX(Unified_Matrix!$A:$ZZ,ROW(A517),MATCH("Req_Other",Unified_Matrix!$1:$1,0)),"")</f>
        <v/>
      </c>
    </row>
    <row r="521" hidden="1">
      <c r="J521" s="4">
        <f t="array" ref="J521">IFERROR(INDEX(Unified_Matrix!$A:$ZZ,ROW(A518),MATCH("Max "&amp;$J$9,Unified_Matrix!$1:$1,0)),"")</f>
        <v/>
      </c>
      <c r="K521" s="4">
        <f t="array" ref="K521">IFERROR(INDEX(Unified_Matrix!$A:$ZZ,ROW(A518),MATCH("Evolution_Name",Unified_Matrix!$1:$1,0)),"")</f>
        <v/>
      </c>
      <c r="L521" s="4">
        <f>IF(J521="","",IF(J521=0,"",IF(J521=$AB$28,1,IF(J521=$AB$29,2,IF(J521=$AB$30,3,"")))))</f>
        <v/>
      </c>
      <c r="M521" s="4">
        <f t="array" ref="M521">IFERROR(INDEX(Unified_Matrix!$A:$ZZ,ROW(A518),MATCH("+ OVR",Unified_Matrix!$1:$1,0)),"")</f>
        <v/>
      </c>
      <c r="N521" s="4">
        <f t="array" ref="N521">IFERROR(INDEX(Unified_Matrix!$A:$ZZ,ROW(A518),MATCH("Max OVR",Unified_Matrix!$1:$1,0)),"")</f>
        <v/>
      </c>
      <c r="O521" s="4">
        <f t="array" ref="O521">IFERROR(INDEX(Unified_Matrix!$A:$ZZ,ROW(A518),MATCH("Req_Position",Unified_Matrix!$1:$1,0)),"")</f>
        <v/>
      </c>
      <c r="P521" s="4">
        <f t="array" ref="P521">IFERROR(INDEX(Unified_Matrix!$A:$ZZ,ROW(A518),MATCH("Req_OVR_Max",Unified_Matrix!$1:$1,0)),"")</f>
        <v/>
      </c>
      <c r="Q521" s="4">
        <f t="array" ref="Q521">IFERROR(INDEX(Unified_Matrix!$A:$ZZ,ROW(A518),MATCH("Req_Other",Unified_Matrix!$1:$1,0)),"")</f>
        <v/>
      </c>
    </row>
    <row r="522" hidden="1">
      <c r="J522" s="4">
        <f t="array" ref="J522">IFERROR(INDEX(Unified_Matrix!$A:$ZZ,ROW(A519),MATCH("Max "&amp;$J$9,Unified_Matrix!$1:$1,0)),"")</f>
        <v/>
      </c>
      <c r="K522" s="4">
        <f t="array" ref="K522">IFERROR(INDEX(Unified_Matrix!$A:$ZZ,ROW(A519),MATCH("Evolution_Name",Unified_Matrix!$1:$1,0)),"")</f>
        <v/>
      </c>
      <c r="L522" s="4">
        <f>IF(J522="","",IF(J522=0,"",IF(J522=$AB$28,1,IF(J522=$AB$29,2,IF(J522=$AB$30,3,"")))))</f>
        <v/>
      </c>
      <c r="M522" s="4">
        <f t="array" ref="M522">IFERROR(INDEX(Unified_Matrix!$A:$ZZ,ROW(A519),MATCH("+ OVR",Unified_Matrix!$1:$1,0)),"")</f>
        <v/>
      </c>
      <c r="N522" s="4">
        <f t="array" ref="N522">IFERROR(INDEX(Unified_Matrix!$A:$ZZ,ROW(A519),MATCH("Max OVR",Unified_Matrix!$1:$1,0)),"")</f>
        <v/>
      </c>
      <c r="O522" s="4">
        <f t="array" ref="O522">IFERROR(INDEX(Unified_Matrix!$A:$ZZ,ROW(A519),MATCH("Req_Position",Unified_Matrix!$1:$1,0)),"")</f>
        <v/>
      </c>
      <c r="P522" s="4">
        <f t="array" ref="P522">IFERROR(INDEX(Unified_Matrix!$A:$ZZ,ROW(A519),MATCH("Req_OVR_Max",Unified_Matrix!$1:$1,0)),"")</f>
        <v/>
      </c>
      <c r="Q522" s="4">
        <f t="array" ref="Q522">IFERROR(INDEX(Unified_Matrix!$A:$ZZ,ROW(A519),MATCH("Req_Other",Unified_Matrix!$1:$1,0)),"")</f>
        <v/>
      </c>
    </row>
  </sheetData>
  <autoFilter ref="A27:R27"/>
  <mergeCells count="3">
    <mergeCell ref="H10:H13"/>
    <mergeCell ref="H2:H5"/>
    <mergeCell ref="H6:H9"/>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F1:AP526"/>
  <sheetViews>
    <sheetView tabSelected="1" topLeftCell="F1" zoomScale="55" zoomScaleNormal="55" workbookViewId="0">
      <pane ySplit="4" topLeftCell="A5" activePane="bottomLeft" state="frozen"/>
      <selection activeCell="F1" sqref="F1"/>
      <selection pane="bottomLeft" activeCell="J3" sqref="J3"/>
    </sheetView>
  </sheetViews>
  <sheetFormatPr baseColWidth="8" defaultRowHeight="16.5"/>
  <cols>
    <col hidden="1" width="9" customWidth="1" min="1" max="1"/>
    <col hidden="1" width="9.375" customWidth="1" min="2" max="2"/>
    <col hidden="1" width="9" customWidth="1" min="3" max="5"/>
    <col width="12.5" customWidth="1" min="6" max="6"/>
    <col width="9" customWidth="1" style="6" min="7" max="7"/>
    <col width="14.375" customWidth="1" min="8" max="8"/>
    <col width="14.375" customWidth="1" style="23" min="9" max="9"/>
    <col width="14.375" customWidth="1" min="10" max="14"/>
    <col width="14.375" customWidth="1" style="23" min="15" max="15"/>
    <col width="14.375" customWidth="1" min="16" max="44"/>
  </cols>
  <sheetData>
    <row r="1" ht="33" customHeight="1">
      <c r="F1" s="15" t="inlineStr">
        <is>
          <t>PAC</t>
        </is>
      </c>
      <c r="G1" s="15" t="inlineStr">
        <is>
          <t>SHO</t>
        </is>
      </c>
      <c r="H1" s="15" t="inlineStr">
        <is>
          <t>PAS</t>
        </is>
      </c>
      <c r="I1" s="15" t="inlineStr">
        <is>
          <t>DRI</t>
        </is>
      </c>
      <c r="J1" s="15" t="inlineStr">
        <is>
          <t>DEF</t>
        </is>
      </c>
      <c r="K1" s="15" t="inlineStr">
        <is>
          <t>PHY</t>
        </is>
      </c>
      <c r="L1" s="21" t="inlineStr">
        <is>
          <t>Acceleration</t>
        </is>
      </c>
      <c r="M1" s="21" t="inlineStr">
        <is>
          <t>Sprint Speed</t>
        </is>
      </c>
      <c r="N1" s="21" t="inlineStr">
        <is>
          <t>Positioning</t>
        </is>
      </c>
      <c r="O1" s="21" t="inlineStr">
        <is>
          <t>Finishing</t>
        </is>
      </c>
      <c r="P1" s="21" t="inlineStr">
        <is>
          <t>Shot Power</t>
        </is>
      </c>
      <c r="Q1" s="21" t="inlineStr">
        <is>
          <t>Long Shots</t>
        </is>
      </c>
      <c r="R1" s="21" t="inlineStr">
        <is>
          <t>Volleys</t>
        </is>
      </c>
      <c r="S1" s="21" t="inlineStr">
        <is>
          <t>Penalties</t>
        </is>
      </c>
      <c r="T1" s="21" t="inlineStr">
        <is>
          <t>Vision</t>
        </is>
      </c>
      <c r="U1" s="21" t="inlineStr">
        <is>
          <t>Crossing</t>
        </is>
      </c>
      <c r="V1" s="21" t="inlineStr">
        <is>
          <t>FK Accuracy</t>
        </is>
      </c>
      <c r="W1" s="21" t="inlineStr">
        <is>
          <t>Short Passing</t>
        </is>
      </c>
      <c r="X1" s="21" t="inlineStr">
        <is>
          <t>Long Passing</t>
        </is>
      </c>
      <c r="Y1" s="21" t="inlineStr">
        <is>
          <t>Curve</t>
        </is>
      </c>
      <c r="Z1" s="21" t="inlineStr">
        <is>
          <t>Agility</t>
        </is>
      </c>
      <c r="AA1" s="21" t="inlineStr">
        <is>
          <t>Balance</t>
        </is>
      </c>
      <c r="AB1" s="21" t="inlineStr">
        <is>
          <t>Reactions</t>
        </is>
      </c>
      <c r="AC1" s="21" t="inlineStr">
        <is>
          <t>Ball Control</t>
        </is>
      </c>
      <c r="AD1" s="21" t="inlineStr">
        <is>
          <t>Dribbling</t>
        </is>
      </c>
      <c r="AE1" s="21" t="inlineStr">
        <is>
          <t>Composure</t>
        </is>
      </c>
      <c r="AF1" s="21" t="inlineStr">
        <is>
          <t>Interceptions</t>
        </is>
      </c>
      <c r="AG1" s="21" t="inlineStr">
        <is>
          <t>Heading Accuracy</t>
        </is>
      </c>
      <c r="AH1" s="21" t="inlineStr">
        <is>
          <t>Defensive Awareness</t>
        </is>
      </c>
      <c r="AI1" s="21" t="inlineStr">
        <is>
          <t>Standing Tackle</t>
        </is>
      </c>
      <c r="AJ1" s="21" t="inlineStr">
        <is>
          <t>Sliding Tackle</t>
        </is>
      </c>
      <c r="AK1" s="21" t="inlineStr">
        <is>
          <t>Jumping</t>
        </is>
      </c>
      <c r="AL1" s="21" t="inlineStr">
        <is>
          <t>Stamina</t>
        </is>
      </c>
      <c r="AM1" s="21" t="inlineStr">
        <is>
          <t>Strength</t>
        </is>
      </c>
      <c r="AN1" s="21" t="inlineStr">
        <is>
          <t>Aggression</t>
        </is>
      </c>
      <c r="AO1" s="21" t="inlineStr">
        <is>
          <t>SM</t>
        </is>
      </c>
      <c r="AP1" s="21" t="inlineStr">
        <is>
          <t>WF</t>
        </is>
      </c>
    </row>
    <row r="2" ht="36.75" customHeight="1"/>
    <row r="3" ht="36.75" customHeight="1">
      <c r="F3" s="7" t="n"/>
      <c r="G3" s="7" t="n"/>
      <c r="H3" s="21" t="inlineStr">
        <is>
          <t>Agility</t>
        </is>
      </c>
      <c r="I3" s="22" t="n"/>
      <c r="J3" s="7" t="n"/>
      <c r="K3" s="7" t="n"/>
      <c r="L3" s="7" t="n"/>
      <c r="M3" s="7" t="n"/>
      <c r="N3" s="7" t="n"/>
      <c r="O3" s="22" t="n"/>
    </row>
    <row r="4" ht="68.25" customFormat="1" customHeight="1" s="7">
      <c r="F4" s="27" t="inlineStr">
        <is>
          <t>MAX수치
순위</t>
        </is>
      </c>
      <c r="G4" s="28" t="inlineStr">
        <is>
          <t>번호</t>
        </is>
      </c>
      <c r="H4" s="28" t="inlineStr">
        <is>
          <t>상한선</t>
        </is>
      </c>
      <c r="I4" s="28" t="inlineStr">
        <is>
          <t>진화명</t>
        </is>
      </c>
      <c r="J4" s="29" t="inlineStr">
        <is>
          <t>+Stat Point</t>
        </is>
      </c>
      <c r="K4" s="29" t="inlineStr">
        <is>
          <t>+OVR</t>
        </is>
      </c>
      <c r="L4" s="28" t="inlineStr">
        <is>
          <t>MAX OVR</t>
        </is>
      </c>
      <c r="M4" s="28" t="inlineStr">
        <is>
          <t>포지션 제한</t>
        </is>
      </c>
      <c r="N4" s="28" t="inlineStr">
        <is>
          <t>OVR 제한</t>
        </is>
      </c>
      <c r="O4" s="28" t="inlineStr">
        <is>
          <t>기타 요구조건</t>
        </is>
      </c>
    </row>
    <row r="5" ht="68.25" customHeight="1">
      <c r="F5" s="31" t="inlineStr">
        <is>
          <t>1위</t>
        </is>
      </c>
      <c r="G5" s="31" t="n">
        <v>1</v>
      </c>
      <c r="H5" s="32">
        <f>_xlfn.MAXIFS(INDIRECT("Evo[Max "&amp;$H$3&amp;"]"),INDIRECT("Evo[Max "&amp;$H$3&amp;"]"),"&gt;0")</f>
        <v/>
      </c>
      <c r="I5" s="33">
        <f t="array" ref="I5">IFERROR(INDEX(Evo[Evolution_Name],_xlfn.AGGREGATE(15,6,(ROW(Evo[Evolution_Name])-MIN(ROW(Evo[Evolution_Name]))+1)/((INDIRECT("Evo[Max "&amp;$H$3&amp;"]")=$H5)*(INDIRECT("Evo[Max "&amp;$H$3&amp;"]")&gt;0)),$G5)),"")</f>
        <v/>
      </c>
      <c r="J5" s="32">
        <f t="array" ref="J5">IFERROR(INDEX(INDIRECT("Evo[+ "&amp;$H$3&amp;"]"),_xlfn.AGGREGATE(15,6,(ROW(Evo[Evolution_Name])-MIN(ROW(Evo[Evolution_Name]))+1)/((INDIRECT("Evo[Max "&amp;$H$3&amp;"]")=$H5)*(INDIRECT("Evo[Max "&amp;$H$3&amp;"]")&gt;0)),$G5)),"")</f>
        <v/>
      </c>
      <c r="K5" s="32">
        <f t="array" ref="K5">IFERROR(INDEX(INDIRECT("Evo[+ OVR]"),_xlfn.AGGREGATE(15,6,(ROW(Evo[Evolution_Name])-MIN(ROW(Evo[Evolution_Name]))+1)/((INDIRECT("Evo[Max "&amp;$H$3&amp;"]")=$H5)*(INDIRECT("Evo[Max "&amp;$H$3&amp;"]")&gt;0)),$G5)),"")</f>
        <v/>
      </c>
      <c r="L5" s="32">
        <f t="array" ref="L5">IFERROR(INDEX(INDIRECT("Evo[Max OVR]"),_xlfn.AGGREGATE(15,6,(ROW(Evo[Evolution_Name])-MIN(ROW(Evo[Evolution_Name]))+1)/((INDIRECT("Evo[Max "&amp;$H$3&amp;"]")=$H5)*(INDIRECT("Evo[Max "&amp;$H$3&amp;"]")&gt;0)),$G5)),"")</f>
        <v/>
      </c>
      <c r="M5" s="32">
        <f t="array" ref="M5">IFERROR(INDEX(INDIRECT("Evo[Req_Position]"),_xlfn.AGGREGATE(15,6,(ROW(Evo[Evolution_Name])-MIN(ROW(Evo[Evolution_Name]))+1)/((INDIRECT("Evo[Max "&amp;$H$3&amp;"]")=$H5)*(INDIRECT("Evo[Max "&amp;$H$3&amp;"]")&gt;0)),$G5)),"")</f>
        <v/>
      </c>
      <c r="N5" s="32">
        <f t="array" ref="N5">IFERROR(INDEX(INDIRECT("Evo[Req_OVR_Max]"),_xlfn.AGGREGATE(15,6,(ROW(Evo[Evolution_Name])-MIN(ROW(Evo[Evolution_Name]))+1)/((INDIRECT("Evo[Max "&amp;$H$3&amp;"]")=$H5)*(INDIRECT("Evo[Max "&amp;$H$3&amp;"]")&gt;0)),$G5)),"")</f>
        <v/>
      </c>
      <c r="O5" s="34">
        <f t="array" ref="O5">IFERROR(INDEX(INDIRECT("Evo[Req_Other]"),_xlfn.AGGREGATE(15,6,(ROW(Evo[Evolution_Name])-MIN(ROW(Evo[Evolution_Name]))+1)/((INDIRECT("Evo[Max "&amp;$H$3&amp;"]")=$H5)*(INDIRECT("Evo[Max "&amp;$H$3&amp;"]")&gt;0)),$G5)),"")</f>
        <v/>
      </c>
    </row>
    <row r="6" ht="68.25" customHeight="1">
      <c r="F6" s="40" t="n"/>
      <c r="G6" s="31" t="n">
        <v>2</v>
      </c>
      <c r="H6" s="32">
        <f>_xlfn.MAXIFS(INDIRECT("Evo[Max "&amp;$H$3&amp;"]"),INDIRECT("Evo[Max "&amp;$H$3&amp;"]"),"&gt;0")</f>
        <v/>
      </c>
      <c r="I6" s="33">
        <f t="array" ref="I6">IFERROR(INDEX(Evo[Evolution_Name],_xlfn.AGGREGATE(15,6,(ROW(Evo[Evolution_Name])-MIN(ROW(Evo[Evolution_Name]))+1)/((INDIRECT("Evo[Max "&amp;$H$3&amp;"]")=$H6)*(INDIRECT("Evo[Max "&amp;$H$3&amp;"]")&gt;0)),$G6)),"")</f>
        <v/>
      </c>
      <c r="J6" s="32">
        <f t="array" ref="J6">IFERROR(INDEX(INDIRECT("Evo[+ "&amp;$H$3&amp;"]"),_xlfn.AGGREGATE(15,6,(ROW(Evo[Evolution_Name])-MIN(ROW(Evo[Evolution_Name]))+1)/((INDIRECT("Evo[Max "&amp;$H$3&amp;"]")=$H6)*(INDIRECT("Evo[Max "&amp;$H$3&amp;"]")&gt;0)),$G6)),"")</f>
        <v/>
      </c>
      <c r="K6" s="32">
        <f t="array" ref="K6">IFERROR(INDEX(INDIRECT("Evo[+ OVR]"),_xlfn.AGGREGATE(15,6,(ROW(Evo[Evolution_Name])-MIN(ROW(Evo[Evolution_Name]))+1)/((INDIRECT("Evo[Max "&amp;$H$3&amp;"]")=$H6)*(INDIRECT("Evo[Max "&amp;$H$3&amp;"]")&gt;0)),$G6)),"")</f>
        <v/>
      </c>
      <c r="L6" s="32">
        <f t="array" ref="L6">IFERROR(INDEX(INDIRECT("Evo[Max OVR]"),_xlfn.AGGREGATE(15,6,(ROW(Evo[Evolution_Name])-MIN(ROW(Evo[Evolution_Name]))+1)/((INDIRECT("Evo[Max "&amp;$H$3&amp;"]")=$H6)*(INDIRECT("Evo[Max "&amp;$H$3&amp;"]")&gt;0)),$G6)),"")</f>
        <v/>
      </c>
      <c r="M6" s="32">
        <f t="array" ref="M6">IFERROR(INDEX(INDIRECT("Evo[Req_Position]"),_xlfn.AGGREGATE(15,6,(ROW(Evo[Evolution_Name])-MIN(ROW(Evo[Evolution_Name]))+1)/((INDIRECT("Evo[Max "&amp;$H$3&amp;"]")=$H6)*(INDIRECT("Evo[Max "&amp;$H$3&amp;"]")&gt;0)),$G6)),"")</f>
        <v/>
      </c>
      <c r="N6" s="32">
        <f t="array" ref="N6">IFERROR(INDEX(INDIRECT("Evo[Req_OVR_Max]"),_xlfn.AGGREGATE(15,6,(ROW(Evo[Evolution_Name])-MIN(ROW(Evo[Evolution_Name]))+1)/((INDIRECT("Evo[Max "&amp;$H$3&amp;"]")=$H6)*(INDIRECT("Evo[Max "&amp;$H$3&amp;"]")&gt;0)),$G6)),"")</f>
        <v/>
      </c>
      <c r="O6" s="34">
        <f t="array" ref="O6">IFERROR(INDEX(INDIRECT("Evo[Req_Other]"),_xlfn.AGGREGATE(15,6,(ROW(Evo[Evolution_Name])-MIN(ROW(Evo[Evolution_Name]))+1)/((INDIRECT("Evo[Max "&amp;$H$3&amp;"]")=$H6)*(INDIRECT("Evo[Max "&amp;$H$3&amp;"]")&gt;0)),$G6)),"")</f>
        <v/>
      </c>
    </row>
    <row r="7" ht="68.25" customHeight="1">
      <c r="F7" s="40" t="n"/>
      <c r="G7" s="31" t="n">
        <v>3</v>
      </c>
      <c r="H7" s="32">
        <f>_xlfn.MAXIFS(INDIRECT("Evo[Max "&amp;$H$3&amp;"]"),INDIRECT("Evo[Max "&amp;$H$3&amp;"]"),"&gt;0")</f>
        <v/>
      </c>
      <c r="I7" s="33">
        <f t="array" ref="I7">IFERROR(INDEX(Evo[Evolution_Name],_xlfn.AGGREGATE(15,6,(ROW(Evo[Evolution_Name])-MIN(ROW(Evo[Evolution_Name]))+1)/((INDIRECT("Evo[Max "&amp;$H$3&amp;"]")=$H7)*(INDIRECT("Evo[Max "&amp;$H$3&amp;"]")&gt;0)),$G7)),"")</f>
        <v/>
      </c>
      <c r="J7" s="32">
        <f t="array" ref="J7">IFERROR(INDEX(INDIRECT("Evo[+ "&amp;$H$3&amp;"]"),_xlfn.AGGREGATE(15,6,(ROW(Evo[Evolution_Name])-MIN(ROW(Evo[Evolution_Name]))+1)/((INDIRECT("Evo[Max "&amp;$H$3&amp;"]")=$H7)*(INDIRECT("Evo[Max "&amp;$H$3&amp;"]")&gt;0)),$G7)),"")</f>
        <v/>
      </c>
      <c r="K7" s="32">
        <f t="array" ref="K7">IFERROR(INDEX(INDIRECT("Evo[+ OVR]"),_xlfn.AGGREGATE(15,6,(ROW(Evo[Evolution_Name])-MIN(ROW(Evo[Evolution_Name]))+1)/((INDIRECT("Evo[Max "&amp;$H$3&amp;"]")=$H7)*(INDIRECT("Evo[Max "&amp;$H$3&amp;"]")&gt;0)),$G7)),"")</f>
        <v/>
      </c>
      <c r="L7" s="32">
        <f t="array" ref="L7">IFERROR(INDEX(INDIRECT("Evo[Max OVR]"),_xlfn.AGGREGATE(15,6,(ROW(Evo[Evolution_Name])-MIN(ROW(Evo[Evolution_Name]))+1)/((INDIRECT("Evo[Max "&amp;$H$3&amp;"]")=$H7)*(INDIRECT("Evo[Max "&amp;$H$3&amp;"]")&gt;0)),$G7)),"")</f>
        <v/>
      </c>
      <c r="M7" s="32">
        <f t="array" ref="M7">IFERROR(INDEX(INDIRECT("Evo[Req_Position]"),_xlfn.AGGREGATE(15,6,(ROW(Evo[Evolution_Name])-MIN(ROW(Evo[Evolution_Name]))+1)/((INDIRECT("Evo[Max "&amp;$H$3&amp;"]")=$H7)*(INDIRECT("Evo[Max "&amp;$H$3&amp;"]")&gt;0)),$G7)),"")</f>
        <v/>
      </c>
      <c r="N7" s="32">
        <f t="array" ref="N7">IFERROR(INDEX(INDIRECT("Evo[Req_OVR_Max]"),_xlfn.AGGREGATE(15,6,(ROW(Evo[Evolution_Name])-MIN(ROW(Evo[Evolution_Name]))+1)/((INDIRECT("Evo[Max "&amp;$H$3&amp;"]")=$H7)*(INDIRECT("Evo[Max "&amp;$H$3&amp;"]")&gt;0)),$G7)),"")</f>
        <v/>
      </c>
      <c r="O7" s="34">
        <f t="array" ref="O7">IFERROR(INDEX(INDIRECT("Evo[Req_Other]"),_xlfn.AGGREGATE(15,6,(ROW(Evo[Evolution_Name])-MIN(ROW(Evo[Evolution_Name]))+1)/((INDIRECT("Evo[Max "&amp;$H$3&amp;"]")=$H7)*(INDIRECT("Evo[Max "&amp;$H$3&amp;"]")&gt;0)),$G7)),"")</f>
        <v/>
      </c>
    </row>
    <row r="8" ht="68.25" customHeight="1">
      <c r="F8" s="40" t="n"/>
      <c r="G8" s="31" t="n">
        <v>4</v>
      </c>
      <c r="H8" s="32">
        <f>_xlfn.MAXIFS(INDIRECT("Evo[Max "&amp;$H$3&amp;"]"),INDIRECT("Evo[Max "&amp;$H$3&amp;"]"),"&gt;0")</f>
        <v/>
      </c>
      <c r="I8" s="33">
        <f t="array" ref="I8">IFERROR(INDEX(Evo[Evolution_Name],_xlfn.AGGREGATE(15,6,(ROW(Evo[Evolution_Name])-MIN(ROW(Evo[Evolution_Name]))+1)/((INDIRECT("Evo[Max "&amp;$H$3&amp;"]")=$H8)*(INDIRECT("Evo[Max "&amp;$H$3&amp;"]")&gt;0)),$G8)),"")</f>
        <v/>
      </c>
      <c r="J8" s="32">
        <f t="array" ref="J8">IFERROR(INDEX(INDIRECT("Evo[+ "&amp;$H$3&amp;"]"),_xlfn.AGGREGATE(15,6,(ROW(Evo[Evolution_Name])-MIN(ROW(Evo[Evolution_Name]))+1)/((INDIRECT("Evo[Max "&amp;$H$3&amp;"]")=$H8)*(INDIRECT("Evo[Max "&amp;$H$3&amp;"]")&gt;0)),$G8)),"")</f>
        <v/>
      </c>
      <c r="K8" s="32">
        <f t="array" ref="K8">IFERROR(INDEX(INDIRECT("Evo[+ OVR]"),_xlfn.AGGREGATE(15,6,(ROW(Evo[Evolution_Name])-MIN(ROW(Evo[Evolution_Name]))+1)/((INDIRECT("Evo[Max "&amp;$H$3&amp;"]")=$H8)*(INDIRECT("Evo[Max "&amp;$H$3&amp;"]")&gt;0)),$G8)),"")</f>
        <v/>
      </c>
      <c r="L8" s="32">
        <f t="array" ref="L8">IFERROR(INDEX(INDIRECT("Evo[Max OVR]"),_xlfn.AGGREGATE(15,6,(ROW(Evo[Evolution_Name])-MIN(ROW(Evo[Evolution_Name]))+1)/((INDIRECT("Evo[Max "&amp;$H$3&amp;"]")=$H8)*(INDIRECT("Evo[Max "&amp;$H$3&amp;"]")&gt;0)),$G8)),"")</f>
        <v/>
      </c>
      <c r="M8" s="32">
        <f t="array" ref="M8">IFERROR(INDEX(INDIRECT("Evo[Req_Position]"),_xlfn.AGGREGATE(15,6,(ROW(Evo[Evolution_Name])-MIN(ROW(Evo[Evolution_Name]))+1)/((INDIRECT("Evo[Max "&amp;$H$3&amp;"]")=$H8)*(INDIRECT("Evo[Max "&amp;$H$3&amp;"]")&gt;0)),$G8)),"")</f>
        <v/>
      </c>
      <c r="N8" s="32">
        <f t="array" ref="N8">IFERROR(INDEX(INDIRECT("Evo[Req_OVR_Max]"),_xlfn.AGGREGATE(15,6,(ROW(Evo[Evolution_Name])-MIN(ROW(Evo[Evolution_Name]))+1)/((INDIRECT("Evo[Max "&amp;$H$3&amp;"]")=$H8)*(INDIRECT("Evo[Max "&amp;$H$3&amp;"]")&gt;0)),$G8)),"")</f>
        <v/>
      </c>
      <c r="O8" s="34">
        <f t="array" ref="O8">IFERROR(INDEX(INDIRECT("Evo[Req_Other]"),_xlfn.AGGREGATE(15,6,(ROW(Evo[Evolution_Name])-MIN(ROW(Evo[Evolution_Name]))+1)/((INDIRECT("Evo[Max "&amp;$H$3&amp;"]")=$H8)*(INDIRECT("Evo[Max "&amp;$H$3&amp;"]")&gt;0)),$G8)),"")</f>
        <v/>
      </c>
    </row>
    <row r="9" ht="68.25" customHeight="1">
      <c r="F9" s="38" t="n"/>
      <c r="G9" s="31" t="n">
        <v>5</v>
      </c>
      <c r="H9" s="32">
        <f>_xlfn.MAXIFS(INDIRECT("Evo[Max "&amp;$H$3&amp;"]"),INDIRECT("Evo[Max "&amp;$H$3&amp;"]"),"&gt;0")</f>
        <v/>
      </c>
      <c r="I9" s="33">
        <f t="array" ref="I9">IFERROR(INDEX(Evo[Evolution_Name],_xlfn.AGGREGATE(15,6,(ROW(Evo[Evolution_Name])-MIN(ROW(Evo[Evolution_Name]))+1)/((INDIRECT("Evo[Max "&amp;$H$3&amp;"]")=$H9)*(INDIRECT("Evo[Max "&amp;$H$3&amp;"]")&gt;0)),$G9)),"")</f>
        <v/>
      </c>
      <c r="J9" s="32">
        <f t="array" ref="J9">IFERROR(INDEX(INDIRECT("Evo[+ "&amp;$H$3&amp;"]"),_xlfn.AGGREGATE(15,6,(ROW(Evo[Evolution_Name])-MIN(ROW(Evo[Evolution_Name]))+1)/((INDIRECT("Evo[Max "&amp;$H$3&amp;"]")=$H9)*(INDIRECT("Evo[Max "&amp;$H$3&amp;"]")&gt;0)),$G9)),"")</f>
        <v/>
      </c>
      <c r="K9" s="32">
        <f t="array" ref="K9">IFERROR(INDEX(INDIRECT("Evo[+ OVR]"),_xlfn.AGGREGATE(15,6,(ROW(Evo[Evolution_Name])-MIN(ROW(Evo[Evolution_Name]))+1)/((INDIRECT("Evo[Max "&amp;$H$3&amp;"]")=$H9)*(INDIRECT("Evo[Max "&amp;$H$3&amp;"]")&gt;0)),$G9)),"")</f>
        <v/>
      </c>
      <c r="L9" s="32">
        <f t="array" ref="L9">IFERROR(INDEX(INDIRECT("Evo[Max OVR]"),_xlfn.AGGREGATE(15,6,(ROW(Evo[Evolution_Name])-MIN(ROW(Evo[Evolution_Name]))+1)/((INDIRECT("Evo[Max "&amp;$H$3&amp;"]")=$H9)*(INDIRECT("Evo[Max "&amp;$H$3&amp;"]")&gt;0)),$G9)),"")</f>
        <v/>
      </c>
      <c r="M9" s="32">
        <f t="array" ref="M9">IFERROR(INDEX(INDIRECT("Evo[Req_Position]"),_xlfn.AGGREGATE(15,6,(ROW(Evo[Evolution_Name])-MIN(ROW(Evo[Evolution_Name]))+1)/((INDIRECT("Evo[Max "&amp;$H$3&amp;"]")=$H9)*(INDIRECT("Evo[Max "&amp;$H$3&amp;"]")&gt;0)),$G9)),"")</f>
        <v/>
      </c>
      <c r="N9" s="32">
        <f t="array" ref="N9">IFERROR(INDEX(INDIRECT("Evo[Req_OVR_Max]"),_xlfn.AGGREGATE(15,6,(ROW(Evo[Evolution_Name])-MIN(ROW(Evo[Evolution_Name]))+1)/((INDIRECT("Evo[Max "&amp;$H$3&amp;"]")=$H9)*(INDIRECT("Evo[Max "&amp;$H$3&amp;"]")&gt;0)),$G9)),"")</f>
        <v/>
      </c>
      <c r="O9" s="34">
        <f t="array" ref="O9">IFERROR(INDEX(INDIRECT("Evo[Req_Other]"),_xlfn.AGGREGATE(15,6,(ROW(Evo[Evolution_Name])-MIN(ROW(Evo[Evolution_Name]))+1)/((INDIRECT("Evo[Max "&amp;$H$3&amp;"]")=$H9)*(INDIRECT("Evo[Max "&amp;$H$3&amp;"]")&gt;0)),$G9)),"")</f>
        <v/>
      </c>
    </row>
    <row r="10" ht="68.25" customHeight="1">
      <c r="F10" s="31" t="inlineStr">
        <is>
          <t>2위</t>
        </is>
      </c>
      <c r="G10" s="31" t="n">
        <v>1</v>
      </c>
      <c r="H10" s="32">
        <f>_xlfn.MAXIFS(INDIRECT("Evo[Max "&amp;$H$3&amp;"]"),INDIRECT("Evo[Max "&amp;$H$3&amp;"]"),"&lt;"&amp;$H$5,INDIRECT("Evo[Max "&amp;$H$3&amp;"]"),"&gt;0")</f>
        <v/>
      </c>
      <c r="I10" s="33">
        <f t="array" ref="I10">IFERROR(INDEX(Evo[Evolution_Name],_xlfn.AGGREGATE(15,6,(ROW(Evo[Evolution_Name])-MIN(ROW(Evo[Evolution_Name]))+1)/((INDIRECT("Evo[Max "&amp;$H$3&amp;"]")=$H10)*(INDIRECT("Evo[Max "&amp;$H$3&amp;"]")&gt;0)),$G10)),"")</f>
        <v/>
      </c>
      <c r="J10" s="32">
        <f t="array" ref="J10">IFERROR(INDEX(INDIRECT("Evo[+ "&amp;$H$3&amp;"]"),_xlfn.AGGREGATE(15,6,(ROW(Evo[Evolution_Name])-MIN(ROW(Evo[Evolution_Name]))+1)/((INDIRECT("Evo[Max "&amp;$H$3&amp;"]")=$H10)*(INDIRECT("Evo[Max "&amp;$H$3&amp;"]")&gt;0)),$G10)),"")</f>
        <v/>
      </c>
      <c r="K10" s="32">
        <f t="array" ref="K10">IFERROR(INDEX(INDIRECT("Evo[+ OVR]"),_xlfn.AGGREGATE(15,6,(ROW(Evo[Evolution_Name])-MIN(ROW(Evo[Evolution_Name]))+1)/((INDIRECT("Evo[Max "&amp;$H$3&amp;"]")=$H10)*(INDIRECT("Evo[Max "&amp;$H$3&amp;"]")&gt;0)),$G10)),"")</f>
        <v/>
      </c>
      <c r="L10" s="32">
        <f t="array" ref="L10">IFERROR(INDEX(INDIRECT("Evo[Max OVR]"),_xlfn.AGGREGATE(15,6,(ROW(Evo[Evolution_Name])-MIN(ROW(Evo[Evolution_Name]))+1)/((INDIRECT("Evo[Max "&amp;$H$3&amp;"]")=$H10)*(INDIRECT("Evo[Max "&amp;$H$3&amp;"]")&gt;0)),$G10)),"")</f>
        <v/>
      </c>
      <c r="M10" s="32">
        <f t="array" ref="M10">IFERROR(INDEX(INDIRECT("Evo[Req_Position]"),_xlfn.AGGREGATE(15,6,(ROW(Evo[Evolution_Name])-MIN(ROW(Evo[Evolution_Name]))+1)/((INDIRECT("Evo[Max "&amp;$H$3&amp;"]")=$H10)*(INDIRECT("Evo[Max "&amp;$H$3&amp;"]")&gt;0)),$G10)),"")</f>
        <v/>
      </c>
      <c r="N10" s="32">
        <f t="array" ref="N10">IFERROR(INDEX(INDIRECT("Evo[Req_OVR_Max]"),_xlfn.AGGREGATE(15,6,(ROW(Evo[Evolution_Name])-MIN(ROW(Evo[Evolution_Name]))+1)/((INDIRECT("Evo[Max "&amp;$H$3&amp;"]")=$H10)*(INDIRECT("Evo[Max "&amp;$H$3&amp;"]")&gt;0)),$G10)),"")</f>
        <v/>
      </c>
      <c r="O10" s="34">
        <f t="array" ref="O10">IFERROR(INDEX(INDIRECT("Evo[Req_Other]"),_xlfn.AGGREGATE(15,6,(ROW(Evo[Evolution_Name])-MIN(ROW(Evo[Evolution_Name]))+1)/((INDIRECT("Evo[Max "&amp;$H$3&amp;"]")=$H10)*(INDIRECT("Evo[Max "&amp;$H$3&amp;"]")&gt;0)),$G10)),"")</f>
        <v/>
      </c>
    </row>
    <row r="11" ht="68.25" customHeight="1">
      <c r="F11" s="40" t="n"/>
      <c r="G11" s="31" t="n">
        <v>2</v>
      </c>
      <c r="H11" s="32">
        <f>_xlfn.MAXIFS(INDIRECT("Evo[Max "&amp;$H$3&amp;"]"),INDIRECT("Evo[Max "&amp;$H$3&amp;"]"),"&lt;"&amp;$H$5,INDIRECT("Evo[Max "&amp;$H$3&amp;"]"),"&gt;0")</f>
        <v/>
      </c>
      <c r="I11" s="33">
        <f t="array" ref="I11">IFERROR(INDEX(Evo[Evolution_Name],_xlfn.AGGREGATE(15,6,(ROW(Evo[Evolution_Name])-MIN(ROW(Evo[Evolution_Name]))+1)/((INDIRECT("Evo[Max "&amp;$H$3&amp;"]")=$H11)*(INDIRECT("Evo[Max "&amp;$H$3&amp;"]")&gt;0)),$G11)),"")</f>
        <v/>
      </c>
      <c r="J11" s="32">
        <f t="array" ref="J11">IFERROR(INDEX(INDIRECT("Evo[+ "&amp;$H$3&amp;"]"),_xlfn.AGGREGATE(15,6,(ROW(Evo[Evolution_Name])-MIN(ROW(Evo[Evolution_Name]))+1)/((INDIRECT("Evo[Max "&amp;$H$3&amp;"]")=$H11)*(INDIRECT("Evo[Max "&amp;$H$3&amp;"]")&gt;0)),$G11)),"")</f>
        <v/>
      </c>
      <c r="K11" s="32">
        <f t="array" ref="K11">IFERROR(INDEX(INDIRECT("Evo[+ OVR]"),_xlfn.AGGREGATE(15,6,(ROW(Evo[Evolution_Name])-MIN(ROW(Evo[Evolution_Name]))+1)/((INDIRECT("Evo[Max "&amp;$H$3&amp;"]")=$H11)*(INDIRECT("Evo[Max "&amp;$H$3&amp;"]")&gt;0)),$G11)),"")</f>
        <v/>
      </c>
      <c r="L11" s="32">
        <f t="array" ref="L11">IFERROR(INDEX(INDIRECT("Evo[Max OVR]"),_xlfn.AGGREGATE(15,6,(ROW(Evo[Evolution_Name])-MIN(ROW(Evo[Evolution_Name]))+1)/((INDIRECT("Evo[Max "&amp;$H$3&amp;"]")=$H11)*(INDIRECT("Evo[Max "&amp;$H$3&amp;"]")&gt;0)),$G11)),"")</f>
        <v/>
      </c>
      <c r="M11" s="32">
        <f t="array" ref="M11">IFERROR(INDEX(INDIRECT("Evo[Req_Position]"),_xlfn.AGGREGATE(15,6,(ROW(Evo[Evolution_Name])-MIN(ROW(Evo[Evolution_Name]))+1)/((INDIRECT("Evo[Max "&amp;$H$3&amp;"]")=$H11)*(INDIRECT("Evo[Max "&amp;$H$3&amp;"]")&gt;0)),$G11)),"")</f>
        <v/>
      </c>
      <c r="N11" s="32">
        <f t="array" ref="N11">IFERROR(INDEX(INDIRECT("Evo[Req_OVR_Max]"),_xlfn.AGGREGATE(15,6,(ROW(Evo[Evolution_Name])-MIN(ROW(Evo[Evolution_Name]))+1)/((INDIRECT("Evo[Max "&amp;$H$3&amp;"]")=$H11)*(INDIRECT("Evo[Max "&amp;$H$3&amp;"]")&gt;0)),$G11)),"")</f>
        <v/>
      </c>
      <c r="O11" s="34">
        <f t="array" ref="O11">IFERROR(INDEX(INDIRECT("Evo[Req_Other]"),_xlfn.AGGREGATE(15,6,(ROW(Evo[Evolution_Name])-MIN(ROW(Evo[Evolution_Name]))+1)/((INDIRECT("Evo[Max "&amp;$H$3&amp;"]")=$H11)*(INDIRECT("Evo[Max "&amp;$H$3&amp;"]")&gt;0)),$G11)),"")</f>
        <v/>
      </c>
    </row>
    <row r="12" ht="68.25" customHeight="1">
      <c r="F12" s="40" t="n"/>
      <c r="G12" s="31" t="n">
        <v>3</v>
      </c>
      <c r="H12" s="32">
        <f>_xlfn.MAXIFS(INDIRECT("Evo[Max "&amp;$H$3&amp;"]"),INDIRECT("Evo[Max "&amp;$H$3&amp;"]"),"&lt;"&amp;$H$5,INDIRECT("Evo[Max "&amp;$H$3&amp;"]"),"&gt;0")</f>
        <v/>
      </c>
      <c r="I12" s="33">
        <f t="array" ref="I12">IFERROR(INDEX(Evo[Evolution_Name],_xlfn.AGGREGATE(15,6,(ROW(Evo[Evolution_Name])-MIN(ROW(Evo[Evolution_Name]))+1)/((INDIRECT("Evo[Max "&amp;$H$3&amp;"]")=$H12)*(INDIRECT("Evo[Max "&amp;$H$3&amp;"]")&gt;0)),$G12)),"")</f>
        <v/>
      </c>
      <c r="J12" s="32">
        <f t="array" ref="J12">IFERROR(INDEX(INDIRECT("Evo[+ "&amp;$H$3&amp;"]"),_xlfn.AGGREGATE(15,6,(ROW(Evo[Evolution_Name])-MIN(ROW(Evo[Evolution_Name]))+1)/((INDIRECT("Evo[Max "&amp;$H$3&amp;"]")=$H12)*(INDIRECT("Evo[Max "&amp;$H$3&amp;"]")&gt;0)),$G12)),"")</f>
        <v/>
      </c>
      <c r="K12" s="32">
        <f t="array" ref="K12">IFERROR(INDEX(INDIRECT("Evo[+ OVR]"),_xlfn.AGGREGATE(15,6,(ROW(Evo[Evolution_Name])-MIN(ROW(Evo[Evolution_Name]))+1)/((INDIRECT("Evo[Max "&amp;$H$3&amp;"]")=$H12)*(INDIRECT("Evo[Max "&amp;$H$3&amp;"]")&gt;0)),$G12)),"")</f>
        <v/>
      </c>
      <c r="L12" s="32">
        <f t="array" ref="L12">IFERROR(INDEX(INDIRECT("Evo[Max OVR]"),_xlfn.AGGREGATE(15,6,(ROW(Evo[Evolution_Name])-MIN(ROW(Evo[Evolution_Name]))+1)/((INDIRECT("Evo[Max "&amp;$H$3&amp;"]")=$H12)*(INDIRECT("Evo[Max "&amp;$H$3&amp;"]")&gt;0)),$G12)),"")</f>
        <v/>
      </c>
      <c r="M12" s="32">
        <f t="array" ref="M12">IFERROR(INDEX(INDIRECT("Evo[Req_Position]"),_xlfn.AGGREGATE(15,6,(ROW(Evo[Evolution_Name])-MIN(ROW(Evo[Evolution_Name]))+1)/((INDIRECT("Evo[Max "&amp;$H$3&amp;"]")=$H12)*(INDIRECT("Evo[Max "&amp;$H$3&amp;"]")&gt;0)),$G12)),"")</f>
        <v/>
      </c>
      <c r="N12" s="32">
        <f t="array" ref="N12">IFERROR(INDEX(INDIRECT("Evo[Req_OVR_Max]"),_xlfn.AGGREGATE(15,6,(ROW(Evo[Evolution_Name])-MIN(ROW(Evo[Evolution_Name]))+1)/((INDIRECT("Evo[Max "&amp;$H$3&amp;"]")=$H12)*(INDIRECT("Evo[Max "&amp;$H$3&amp;"]")&gt;0)),$G12)),"")</f>
        <v/>
      </c>
      <c r="O12" s="34">
        <f t="array" ref="O12">IFERROR(INDEX(INDIRECT("Evo[Req_Other]"),_xlfn.AGGREGATE(15,6,(ROW(Evo[Evolution_Name])-MIN(ROW(Evo[Evolution_Name]))+1)/((INDIRECT("Evo[Max "&amp;$H$3&amp;"]")=$H12)*(INDIRECT("Evo[Max "&amp;$H$3&amp;"]")&gt;0)),$G12)),"")</f>
        <v/>
      </c>
    </row>
    <row r="13" ht="68.25" customHeight="1">
      <c r="F13" s="40" t="n"/>
      <c r="G13" s="31" t="n">
        <v>4</v>
      </c>
      <c r="H13" s="32">
        <f>_xlfn.MAXIFS(INDIRECT("Evo[Max "&amp;$H$3&amp;"]"),INDIRECT("Evo[Max "&amp;$H$3&amp;"]"),"&lt;"&amp;$H$5,INDIRECT("Evo[Max "&amp;$H$3&amp;"]"),"&gt;0")</f>
        <v/>
      </c>
      <c r="I13" s="33">
        <f t="array" ref="I13">IFERROR(INDEX(Evo[Evolution_Name],_xlfn.AGGREGATE(15,6,(ROW(Evo[Evolution_Name])-MIN(ROW(Evo[Evolution_Name]))+1)/((INDIRECT("Evo[Max "&amp;$H$3&amp;"]")=$H13)*(INDIRECT("Evo[Max "&amp;$H$3&amp;"]")&gt;0)),$G13)),"")</f>
        <v/>
      </c>
      <c r="J13" s="32">
        <f t="array" ref="J13">IFERROR(INDEX(INDIRECT("Evo[+ "&amp;$H$3&amp;"]"),_xlfn.AGGREGATE(15,6,(ROW(Evo[Evolution_Name])-MIN(ROW(Evo[Evolution_Name]))+1)/((INDIRECT("Evo[Max "&amp;$H$3&amp;"]")=$H13)*(INDIRECT("Evo[Max "&amp;$H$3&amp;"]")&gt;0)),$G13)),"")</f>
        <v/>
      </c>
      <c r="K13" s="32">
        <f t="array" ref="K13">IFERROR(INDEX(INDIRECT("Evo[+ OVR]"),_xlfn.AGGREGATE(15,6,(ROW(Evo[Evolution_Name])-MIN(ROW(Evo[Evolution_Name]))+1)/((INDIRECT("Evo[Max "&amp;$H$3&amp;"]")=$H13)*(INDIRECT("Evo[Max "&amp;$H$3&amp;"]")&gt;0)),$G13)),"")</f>
        <v/>
      </c>
      <c r="L13" s="32">
        <f t="array" ref="L13">IFERROR(INDEX(INDIRECT("Evo[Max OVR]"),_xlfn.AGGREGATE(15,6,(ROW(Evo[Evolution_Name])-MIN(ROW(Evo[Evolution_Name]))+1)/((INDIRECT("Evo[Max "&amp;$H$3&amp;"]")=$H13)*(INDIRECT("Evo[Max "&amp;$H$3&amp;"]")&gt;0)),$G13)),"")</f>
        <v/>
      </c>
      <c r="M13" s="32">
        <f t="array" ref="M13">IFERROR(INDEX(INDIRECT("Evo[Req_Position]"),_xlfn.AGGREGATE(15,6,(ROW(Evo[Evolution_Name])-MIN(ROW(Evo[Evolution_Name]))+1)/((INDIRECT("Evo[Max "&amp;$H$3&amp;"]")=$H13)*(INDIRECT("Evo[Max "&amp;$H$3&amp;"]")&gt;0)),$G13)),"")</f>
        <v/>
      </c>
      <c r="N13" s="32">
        <f t="array" ref="N13">IFERROR(INDEX(INDIRECT("Evo[Req_OVR_Max]"),_xlfn.AGGREGATE(15,6,(ROW(Evo[Evolution_Name])-MIN(ROW(Evo[Evolution_Name]))+1)/((INDIRECT("Evo[Max "&amp;$H$3&amp;"]")=$H13)*(INDIRECT("Evo[Max "&amp;$H$3&amp;"]")&gt;0)),$G13)),"")</f>
        <v/>
      </c>
      <c r="O13" s="34">
        <f t="array" ref="O13">IFERROR(INDEX(INDIRECT("Evo[Req_Other]"),_xlfn.AGGREGATE(15,6,(ROW(Evo[Evolution_Name])-MIN(ROW(Evo[Evolution_Name]))+1)/((INDIRECT("Evo[Max "&amp;$H$3&amp;"]")=$H13)*(INDIRECT("Evo[Max "&amp;$H$3&amp;"]")&gt;0)),$G13)),"")</f>
        <v/>
      </c>
    </row>
    <row r="14" ht="68.25" customHeight="1">
      <c r="F14" s="38" t="n"/>
      <c r="G14" s="31" t="n">
        <v>5</v>
      </c>
      <c r="H14" s="32">
        <f>_xlfn.MAXIFS(INDIRECT("Evo[Max "&amp;$H$3&amp;"]"),INDIRECT("Evo[Max "&amp;$H$3&amp;"]"),"&lt;"&amp;$H$5,INDIRECT("Evo[Max "&amp;$H$3&amp;"]"),"&gt;0")</f>
        <v/>
      </c>
      <c r="I14" s="33">
        <f t="array" ref="I14">IFERROR(INDEX(Evo[Evolution_Name],_xlfn.AGGREGATE(15,6,(ROW(Evo[Evolution_Name])-MIN(ROW(Evo[Evolution_Name]))+1)/((INDIRECT("Evo[Max "&amp;$H$3&amp;"]")=$H14)*(INDIRECT("Evo[Max "&amp;$H$3&amp;"]")&gt;0)),$G14)),"")</f>
        <v/>
      </c>
      <c r="J14" s="32">
        <f t="array" ref="J14">IFERROR(INDEX(INDIRECT("Evo[+ "&amp;$H$3&amp;"]"),_xlfn.AGGREGATE(15,6,(ROW(Evo[Evolution_Name])-MIN(ROW(Evo[Evolution_Name]))+1)/((INDIRECT("Evo[Max "&amp;$H$3&amp;"]")=$H14)*(INDIRECT("Evo[Max "&amp;$H$3&amp;"]")&gt;0)),$G14)),"")</f>
        <v/>
      </c>
      <c r="K14" s="32">
        <f t="array" ref="K14">IFERROR(INDEX(INDIRECT("Evo[+ OVR]"),_xlfn.AGGREGATE(15,6,(ROW(Evo[Evolution_Name])-MIN(ROW(Evo[Evolution_Name]))+1)/((INDIRECT("Evo[Max "&amp;$H$3&amp;"]")=$H14)*(INDIRECT("Evo[Max "&amp;$H$3&amp;"]")&gt;0)),$G14)),"")</f>
        <v/>
      </c>
      <c r="L14" s="32">
        <f t="array" ref="L14">IFERROR(INDEX(INDIRECT("Evo[Max OVR]"),_xlfn.AGGREGATE(15,6,(ROW(Evo[Evolution_Name])-MIN(ROW(Evo[Evolution_Name]))+1)/((INDIRECT("Evo[Max "&amp;$H$3&amp;"]")=$H14)*(INDIRECT("Evo[Max "&amp;$H$3&amp;"]")&gt;0)),$G14)),"")</f>
        <v/>
      </c>
      <c r="M14" s="32">
        <f t="array" ref="M14">IFERROR(INDEX(INDIRECT("Evo[Req_Position]"),_xlfn.AGGREGATE(15,6,(ROW(Evo[Evolution_Name])-MIN(ROW(Evo[Evolution_Name]))+1)/((INDIRECT("Evo[Max "&amp;$H$3&amp;"]")=$H14)*(INDIRECT("Evo[Max "&amp;$H$3&amp;"]")&gt;0)),$G14)),"")</f>
        <v/>
      </c>
      <c r="N14" s="32">
        <f t="array" ref="N14">IFERROR(INDEX(INDIRECT("Evo[Req_OVR_Max]"),_xlfn.AGGREGATE(15,6,(ROW(Evo[Evolution_Name])-MIN(ROW(Evo[Evolution_Name]))+1)/((INDIRECT("Evo[Max "&amp;$H$3&amp;"]")=$H14)*(INDIRECT("Evo[Max "&amp;$H$3&amp;"]")&gt;0)),$G14)),"")</f>
        <v/>
      </c>
      <c r="O14" s="34">
        <f t="array" ref="O14">IFERROR(INDEX(INDIRECT("Evo[Req_Other]"),_xlfn.AGGREGATE(15,6,(ROW(Evo[Evolution_Name])-MIN(ROW(Evo[Evolution_Name]))+1)/((INDIRECT("Evo[Max "&amp;$H$3&amp;"]")=$H14)*(INDIRECT("Evo[Max "&amp;$H$3&amp;"]")&gt;0)),$G14)),"")</f>
        <v/>
      </c>
    </row>
    <row r="15" ht="68.25" customHeight="1">
      <c r="F15" s="31" t="inlineStr">
        <is>
          <t>3위</t>
        </is>
      </c>
      <c r="G15" s="31" t="n">
        <v>1</v>
      </c>
      <c r="H15" s="32">
        <f>_xlfn.MAXIFS(INDIRECT("Evo[Max "&amp;$H$3&amp;"]"),INDIRECT("Evo[Max "&amp;$H$3&amp;"]"),"&lt;"&amp;$H$10,INDIRECT("Evo[Max "&amp;$H$3&amp;"]"),"&gt;0")</f>
        <v/>
      </c>
      <c r="I15" s="33">
        <f t="array" ref="I15">IFERROR(INDEX(Evo[Evolution_Name],_xlfn.AGGREGATE(15,6,(ROW(Evo[Evolution_Name])-MIN(ROW(Evo[Evolution_Name]))+1)/((INDIRECT("Evo[Max "&amp;$H$3&amp;"]")=$H15)*(INDIRECT("Evo[Max "&amp;$H$3&amp;"]")&gt;0)),$G15)),"")</f>
        <v/>
      </c>
      <c r="J15" s="32">
        <f t="array" ref="J15">IFERROR(INDEX(INDIRECT("Evo[+ "&amp;$H$3&amp;"]"),_xlfn.AGGREGATE(15,6,(ROW(Evo[Evolution_Name])-MIN(ROW(Evo[Evolution_Name]))+1)/((INDIRECT("Evo[Max "&amp;$H$3&amp;"]")=$H15)*(INDIRECT("Evo[Max "&amp;$H$3&amp;"]")&gt;0)),$G15)),"")</f>
        <v/>
      </c>
      <c r="K15" s="32">
        <f t="array" ref="K15">IFERROR(INDEX(INDIRECT("Evo[+ OVR]"),_xlfn.AGGREGATE(15,6,(ROW(Evo[Evolution_Name])-MIN(ROW(Evo[Evolution_Name]))+1)/((INDIRECT("Evo[Max "&amp;$H$3&amp;"]")=$H15)*(INDIRECT("Evo[Max "&amp;$H$3&amp;"]")&gt;0)),$G15)),"")</f>
        <v/>
      </c>
      <c r="L15" s="32">
        <f t="array" ref="L15">IFERROR(INDEX(INDIRECT("Evo[Max OVR]"),_xlfn.AGGREGATE(15,6,(ROW(Evo[Evolution_Name])-MIN(ROW(Evo[Evolution_Name]))+1)/((INDIRECT("Evo[Max "&amp;$H$3&amp;"]")=$H15)*(INDIRECT("Evo[Max "&amp;$H$3&amp;"]")&gt;0)),$G15)),"")</f>
        <v/>
      </c>
      <c r="M15" s="32">
        <f t="array" ref="M15">IFERROR(INDEX(INDIRECT("Evo[Req_Position]"),_xlfn.AGGREGATE(15,6,(ROW(Evo[Evolution_Name])-MIN(ROW(Evo[Evolution_Name]))+1)/((INDIRECT("Evo[Max "&amp;$H$3&amp;"]")=$H15)*(INDIRECT("Evo[Max "&amp;$H$3&amp;"]")&gt;0)),$G15)),"")</f>
        <v/>
      </c>
      <c r="N15" s="32">
        <f t="array" ref="N15">IFERROR(INDEX(INDIRECT("Evo[Req_OVR_Max]"),_xlfn.AGGREGATE(15,6,(ROW(Evo[Evolution_Name])-MIN(ROW(Evo[Evolution_Name]))+1)/((INDIRECT("Evo[Max "&amp;$H$3&amp;"]")=$H15)*(INDIRECT("Evo[Max "&amp;$H$3&amp;"]")&gt;0)),$G15)),"")</f>
        <v/>
      </c>
      <c r="O15" s="34">
        <f t="array" ref="O15">IFERROR(INDEX(INDIRECT("Evo[Req_Other]"),_xlfn.AGGREGATE(15,6,(ROW(Evo[Evolution_Name])-MIN(ROW(Evo[Evolution_Name]))+1)/((INDIRECT("Evo[Max "&amp;$H$3&amp;"]")=$H15)*(INDIRECT("Evo[Max "&amp;$H$3&amp;"]")&gt;0)),$G15)),"")</f>
        <v/>
      </c>
    </row>
    <row r="16" ht="68.25" customHeight="1">
      <c r="F16" s="40" t="n"/>
      <c r="G16" s="31" t="n">
        <v>2</v>
      </c>
      <c r="H16" s="32">
        <f>_xlfn.MAXIFS(INDIRECT("Evo[Max "&amp;$H$3&amp;"]"),INDIRECT("Evo[Max "&amp;$H$3&amp;"]"),"&lt;"&amp;$H$10,INDIRECT("Evo[Max "&amp;$H$3&amp;"]"),"&gt;0")</f>
        <v/>
      </c>
      <c r="I16" s="33">
        <f t="array" ref="I16">IFERROR(INDEX(Evo[Evolution_Name],_xlfn.AGGREGATE(15,6,(ROW(Evo[Evolution_Name])-MIN(ROW(Evo[Evolution_Name]))+1)/((INDIRECT("Evo[Max "&amp;$H$3&amp;"]")=$H16)*(INDIRECT("Evo[Max "&amp;$H$3&amp;"]")&gt;0)),$G16)),"")</f>
        <v/>
      </c>
      <c r="J16" s="32">
        <f t="array" ref="J16">IFERROR(INDEX(INDIRECT("Evo[+ "&amp;$H$3&amp;"]"),_xlfn.AGGREGATE(15,6,(ROW(Evo[Evolution_Name])-MIN(ROW(Evo[Evolution_Name]))+1)/((INDIRECT("Evo[Max "&amp;$H$3&amp;"]")=$H16)*(INDIRECT("Evo[Max "&amp;$H$3&amp;"]")&gt;0)),$G16)),"")</f>
        <v/>
      </c>
      <c r="K16" s="32">
        <f t="array" ref="K16">IFERROR(INDEX(INDIRECT("Evo[+ OVR]"),_xlfn.AGGREGATE(15,6,(ROW(Evo[Evolution_Name])-MIN(ROW(Evo[Evolution_Name]))+1)/((INDIRECT("Evo[Max "&amp;$H$3&amp;"]")=$H16)*(INDIRECT("Evo[Max "&amp;$H$3&amp;"]")&gt;0)),$G16)),"")</f>
        <v/>
      </c>
      <c r="L16" s="32">
        <f t="array" ref="L16">IFERROR(INDEX(INDIRECT("Evo[Max OVR]"),_xlfn.AGGREGATE(15,6,(ROW(Evo[Evolution_Name])-MIN(ROW(Evo[Evolution_Name]))+1)/((INDIRECT("Evo[Max "&amp;$H$3&amp;"]")=$H16)*(INDIRECT("Evo[Max "&amp;$H$3&amp;"]")&gt;0)),$G16)),"")</f>
        <v/>
      </c>
      <c r="M16" s="32">
        <f t="array" ref="M16">IFERROR(INDEX(INDIRECT("Evo[Req_Position]"),_xlfn.AGGREGATE(15,6,(ROW(Evo[Evolution_Name])-MIN(ROW(Evo[Evolution_Name]))+1)/((INDIRECT("Evo[Max "&amp;$H$3&amp;"]")=$H16)*(INDIRECT("Evo[Max "&amp;$H$3&amp;"]")&gt;0)),$G16)),"")</f>
        <v/>
      </c>
      <c r="N16" s="32">
        <f t="array" ref="N16">IFERROR(INDEX(INDIRECT("Evo[Req_OVR_Max]"),_xlfn.AGGREGATE(15,6,(ROW(Evo[Evolution_Name])-MIN(ROW(Evo[Evolution_Name]))+1)/((INDIRECT("Evo[Max "&amp;$H$3&amp;"]")=$H16)*(INDIRECT("Evo[Max "&amp;$H$3&amp;"]")&gt;0)),$G16)),"")</f>
        <v/>
      </c>
      <c r="O16" s="34">
        <f t="array" ref="O16">IFERROR(INDEX(INDIRECT("Evo[Req_Other]"),_xlfn.AGGREGATE(15,6,(ROW(Evo[Evolution_Name])-MIN(ROW(Evo[Evolution_Name]))+1)/((INDIRECT("Evo[Max "&amp;$H$3&amp;"]")=$H16)*(INDIRECT("Evo[Max "&amp;$H$3&amp;"]")&gt;0)),$G16)),"")</f>
        <v/>
      </c>
    </row>
    <row r="17" ht="68.25" customHeight="1">
      <c r="F17" s="40" t="n"/>
      <c r="G17" s="31" t="n">
        <v>3</v>
      </c>
      <c r="H17" s="32">
        <f>_xlfn.MAXIFS(INDIRECT("Evo[Max "&amp;$H$3&amp;"]"),INDIRECT("Evo[Max "&amp;$H$3&amp;"]"),"&lt;"&amp;$H$10,INDIRECT("Evo[Max "&amp;$H$3&amp;"]"),"&gt;0")</f>
        <v/>
      </c>
      <c r="I17" s="33">
        <f t="array" ref="I17">IFERROR(INDEX(Evo[Evolution_Name],_xlfn.AGGREGATE(15,6,(ROW(Evo[Evolution_Name])-MIN(ROW(Evo[Evolution_Name]))+1)/((INDIRECT("Evo[Max "&amp;$H$3&amp;"]")=$H17)*(INDIRECT("Evo[Max "&amp;$H$3&amp;"]")&gt;0)),$G17)),"")</f>
        <v/>
      </c>
      <c r="J17" s="32">
        <f t="array" ref="J17">IFERROR(INDEX(INDIRECT("Evo[+ "&amp;$H$3&amp;"]"),_xlfn.AGGREGATE(15,6,(ROW(Evo[Evolution_Name])-MIN(ROW(Evo[Evolution_Name]))+1)/((INDIRECT("Evo[Max "&amp;$H$3&amp;"]")=$H17)*(INDIRECT("Evo[Max "&amp;$H$3&amp;"]")&gt;0)),$G17)),"")</f>
        <v/>
      </c>
      <c r="K17" s="32">
        <f t="array" ref="K17">IFERROR(INDEX(INDIRECT("Evo[+ OVR]"),_xlfn.AGGREGATE(15,6,(ROW(Evo[Evolution_Name])-MIN(ROW(Evo[Evolution_Name]))+1)/((INDIRECT("Evo[Max "&amp;$H$3&amp;"]")=$H17)*(INDIRECT("Evo[Max "&amp;$H$3&amp;"]")&gt;0)),$G17)),"")</f>
        <v/>
      </c>
      <c r="L17" s="32">
        <f t="array" ref="L17">IFERROR(INDEX(INDIRECT("Evo[Max OVR]"),_xlfn.AGGREGATE(15,6,(ROW(Evo[Evolution_Name])-MIN(ROW(Evo[Evolution_Name]))+1)/((INDIRECT("Evo[Max "&amp;$H$3&amp;"]")=$H17)*(INDIRECT("Evo[Max "&amp;$H$3&amp;"]")&gt;0)),$G17)),"")</f>
        <v/>
      </c>
      <c r="M17" s="32">
        <f t="array" ref="M17">IFERROR(INDEX(INDIRECT("Evo[Req_Position]"),_xlfn.AGGREGATE(15,6,(ROW(Evo[Evolution_Name])-MIN(ROW(Evo[Evolution_Name]))+1)/((INDIRECT("Evo[Max "&amp;$H$3&amp;"]")=$H17)*(INDIRECT("Evo[Max "&amp;$H$3&amp;"]")&gt;0)),$G17)),"")</f>
        <v/>
      </c>
      <c r="N17" s="32">
        <f t="array" ref="N17">IFERROR(INDEX(INDIRECT("Evo[Req_OVR_Max]"),_xlfn.AGGREGATE(15,6,(ROW(Evo[Evolution_Name])-MIN(ROW(Evo[Evolution_Name]))+1)/((INDIRECT("Evo[Max "&amp;$H$3&amp;"]")=$H17)*(INDIRECT("Evo[Max "&amp;$H$3&amp;"]")&gt;0)),$G17)),"")</f>
        <v/>
      </c>
      <c r="O17" s="34">
        <f t="array" ref="O17">IFERROR(INDEX(INDIRECT("Evo[Req_Other]"),_xlfn.AGGREGATE(15,6,(ROW(Evo[Evolution_Name])-MIN(ROW(Evo[Evolution_Name]))+1)/((INDIRECT("Evo[Max "&amp;$H$3&amp;"]")=$H17)*(INDIRECT("Evo[Max "&amp;$H$3&amp;"]")&gt;0)),$G17)),"")</f>
        <v/>
      </c>
    </row>
    <row r="18" ht="68.25" customHeight="1">
      <c r="F18" s="40" t="n"/>
      <c r="G18" s="31" t="n">
        <v>4</v>
      </c>
      <c r="H18" s="32">
        <f>_xlfn.MAXIFS(INDIRECT("Evo[Max "&amp;$H$3&amp;"]"),INDIRECT("Evo[Max "&amp;$H$3&amp;"]"),"&lt;"&amp;$H$10,INDIRECT("Evo[Max "&amp;$H$3&amp;"]"),"&gt;0")</f>
        <v/>
      </c>
      <c r="I18" s="33">
        <f t="array" ref="I18">IFERROR(INDEX(Evo[Evolution_Name],_xlfn.AGGREGATE(15,6,(ROW(Evo[Evolution_Name])-MIN(ROW(Evo[Evolution_Name]))+1)/((INDIRECT("Evo[Max "&amp;$H$3&amp;"]")=$H18)*(INDIRECT("Evo[Max "&amp;$H$3&amp;"]")&gt;0)),$G18)),"")</f>
        <v/>
      </c>
      <c r="J18" s="32">
        <f t="array" ref="J18">IFERROR(INDEX(INDIRECT("Evo[+ "&amp;$H$3&amp;"]"),_xlfn.AGGREGATE(15,6,(ROW(Evo[Evolution_Name])-MIN(ROW(Evo[Evolution_Name]))+1)/((INDIRECT("Evo[Max "&amp;$H$3&amp;"]")=$H18)*(INDIRECT("Evo[Max "&amp;$H$3&amp;"]")&gt;0)),$G18)),"")</f>
        <v/>
      </c>
      <c r="K18" s="32">
        <f t="array" ref="K18">IFERROR(INDEX(INDIRECT("Evo[+ OVR]"),_xlfn.AGGREGATE(15,6,(ROW(Evo[Evolution_Name])-MIN(ROW(Evo[Evolution_Name]))+1)/((INDIRECT("Evo[Max "&amp;$H$3&amp;"]")=$H18)*(INDIRECT("Evo[Max "&amp;$H$3&amp;"]")&gt;0)),$G18)),"")</f>
        <v/>
      </c>
      <c r="L18" s="32">
        <f t="array" ref="L18">IFERROR(INDEX(INDIRECT("Evo[Max OVR]"),_xlfn.AGGREGATE(15,6,(ROW(Evo[Evolution_Name])-MIN(ROW(Evo[Evolution_Name]))+1)/((INDIRECT("Evo[Max "&amp;$H$3&amp;"]")=$H18)*(INDIRECT("Evo[Max "&amp;$H$3&amp;"]")&gt;0)),$G18)),"")</f>
        <v/>
      </c>
      <c r="M18" s="32">
        <f t="array" ref="M18">IFERROR(INDEX(INDIRECT("Evo[Req_Position]"),_xlfn.AGGREGATE(15,6,(ROW(Evo[Evolution_Name])-MIN(ROW(Evo[Evolution_Name]))+1)/((INDIRECT("Evo[Max "&amp;$H$3&amp;"]")=$H18)*(INDIRECT("Evo[Max "&amp;$H$3&amp;"]")&gt;0)),$G18)),"")</f>
        <v/>
      </c>
      <c r="N18" s="32">
        <f t="array" ref="N18">IFERROR(INDEX(INDIRECT("Evo[Req_OVR_Max]"),_xlfn.AGGREGATE(15,6,(ROW(Evo[Evolution_Name])-MIN(ROW(Evo[Evolution_Name]))+1)/((INDIRECT("Evo[Max "&amp;$H$3&amp;"]")=$H18)*(INDIRECT("Evo[Max "&amp;$H$3&amp;"]")&gt;0)),$G18)),"")</f>
        <v/>
      </c>
      <c r="O18" s="34">
        <f t="array" ref="O18">IFERROR(INDEX(INDIRECT("Evo[Req_Other]"),_xlfn.AGGREGATE(15,6,(ROW(Evo[Evolution_Name])-MIN(ROW(Evo[Evolution_Name]))+1)/((INDIRECT("Evo[Max "&amp;$H$3&amp;"]")=$H18)*(INDIRECT("Evo[Max "&amp;$H$3&amp;"]")&gt;0)),$G18)),"")</f>
        <v/>
      </c>
    </row>
    <row r="19" ht="68.25" customHeight="1">
      <c r="F19" s="38" t="n"/>
      <c r="G19" s="31" t="n">
        <v>5</v>
      </c>
      <c r="H19" s="32">
        <f>_xlfn.MAXIFS(INDIRECT("Evo[Max "&amp;$H$3&amp;"]"),INDIRECT("Evo[Max "&amp;$H$3&amp;"]"),"&lt;"&amp;$H$10,INDIRECT("Evo[Max "&amp;$H$3&amp;"]"),"&gt;0")</f>
        <v/>
      </c>
      <c r="I19" s="33">
        <f t="array" ref="I19">IFERROR(INDEX(Evo[Evolution_Name],_xlfn.AGGREGATE(15,6,(ROW(Evo[Evolution_Name])-MIN(ROW(Evo[Evolution_Name]))+1)/((INDIRECT("Evo[Max "&amp;$H$3&amp;"]")=$H19)*(INDIRECT("Evo[Max "&amp;$H$3&amp;"]")&gt;0)),$G19)),"")</f>
        <v/>
      </c>
      <c r="J19" s="32">
        <f t="array" ref="J19">IFERROR(INDEX(INDIRECT("Evo[+ "&amp;$H$3&amp;"]"),_xlfn.AGGREGATE(15,6,(ROW(Evo[Evolution_Name])-MIN(ROW(Evo[Evolution_Name]))+1)/((INDIRECT("Evo[Max "&amp;$H$3&amp;"]")=$H19)*(INDIRECT("Evo[Max "&amp;$H$3&amp;"]")&gt;0)),$G19)),"")</f>
        <v/>
      </c>
      <c r="K19" s="32">
        <f t="array" ref="K19">IFERROR(INDEX(INDIRECT("Evo[+ OVR]"),_xlfn.AGGREGATE(15,6,(ROW(Evo[Evolution_Name])-MIN(ROW(Evo[Evolution_Name]))+1)/((INDIRECT("Evo[Max "&amp;$H$3&amp;"]")=$H19)*(INDIRECT("Evo[Max "&amp;$H$3&amp;"]")&gt;0)),$G19)),"")</f>
        <v/>
      </c>
      <c r="L19" s="32">
        <f t="array" ref="L19">IFERROR(INDEX(INDIRECT("Evo[Max OVR]"),_xlfn.AGGREGATE(15,6,(ROW(Evo[Evolution_Name])-MIN(ROW(Evo[Evolution_Name]))+1)/((INDIRECT("Evo[Max "&amp;$H$3&amp;"]")=$H19)*(INDIRECT("Evo[Max "&amp;$H$3&amp;"]")&gt;0)),$G19)),"")</f>
        <v/>
      </c>
      <c r="M19" s="32">
        <f t="array" ref="M19">IFERROR(INDEX(INDIRECT("Evo[Req_Position]"),_xlfn.AGGREGATE(15,6,(ROW(Evo[Evolution_Name])-MIN(ROW(Evo[Evolution_Name]))+1)/((INDIRECT("Evo[Max "&amp;$H$3&amp;"]")=$H19)*(INDIRECT("Evo[Max "&amp;$H$3&amp;"]")&gt;0)),$G19)),"")</f>
        <v/>
      </c>
      <c r="N19" s="32">
        <f t="array" ref="N19">IFERROR(INDEX(INDIRECT("Evo[Req_OVR_Max]"),_xlfn.AGGREGATE(15,6,(ROW(Evo[Evolution_Name])-MIN(ROW(Evo[Evolution_Name]))+1)/((INDIRECT("Evo[Max "&amp;$H$3&amp;"]")=$H19)*(INDIRECT("Evo[Max "&amp;$H$3&amp;"]")&gt;0)),$G19)),"")</f>
        <v/>
      </c>
      <c r="O19" s="34">
        <f t="array" ref="O19">IFERROR(INDEX(INDIRECT("Evo[Req_Other]"),_xlfn.AGGREGATE(15,6,(ROW(Evo[Evolution_Name])-MIN(ROW(Evo[Evolution_Name]))+1)/((INDIRECT("Evo[Max "&amp;$H$3&amp;"]")=$H19)*(INDIRECT("Evo[Max "&amp;$H$3&amp;"]")&gt;0)),$G19)),"")</f>
        <v/>
      </c>
    </row>
    <row r="20" ht="68.25" customHeight="1">
      <c r="F20" s="31" t="inlineStr">
        <is>
          <t>4위</t>
        </is>
      </c>
      <c r="G20" s="31" t="n">
        <v>1</v>
      </c>
      <c r="H20" s="32">
        <f>_xlfn.MAXIFS(INDIRECT("Evo[Max "&amp;$H$3&amp;"]"),INDIRECT("Evo[Max "&amp;$H$3&amp;"]"),"&lt;"&amp;$H$15,INDIRECT("Evo[Max "&amp;$H$3&amp;"]"),"&gt;0")</f>
        <v/>
      </c>
      <c r="I20" s="33">
        <f t="array" ref="I20">IFERROR(INDEX(Evo[Evolution_Name],_xlfn.AGGREGATE(15,6,(ROW(Evo[Evolution_Name])-MIN(ROW(Evo[Evolution_Name]))+1)/((INDIRECT("Evo[Max "&amp;$H$3&amp;"]")=$H20)*(INDIRECT("Evo[Max "&amp;$H$3&amp;"]")&gt;0)),$G20)),"")</f>
        <v/>
      </c>
      <c r="J20" s="32">
        <f t="array" ref="J20">IFERROR(INDEX(INDIRECT("Evo[+ "&amp;$H$3&amp;"]"),_xlfn.AGGREGATE(15,6,(ROW(Evo[Evolution_Name])-MIN(ROW(Evo[Evolution_Name]))+1)/((INDIRECT("Evo[Max "&amp;$H$3&amp;"]")=$H20)*(INDIRECT("Evo[Max "&amp;$H$3&amp;"]")&gt;0)),$G20)),"")</f>
        <v/>
      </c>
      <c r="K20" s="32">
        <f t="array" ref="K20">IFERROR(INDEX(INDIRECT("Evo[+ OVR]"),_xlfn.AGGREGATE(15,6,(ROW(Evo[Evolution_Name])-MIN(ROW(Evo[Evolution_Name]))+1)/((INDIRECT("Evo[Max "&amp;$H$3&amp;"]")=$H20)*(INDIRECT("Evo[Max "&amp;$H$3&amp;"]")&gt;0)),$G20)),"")</f>
        <v/>
      </c>
      <c r="L20" s="32">
        <f t="array" ref="L20">IFERROR(INDEX(INDIRECT("Evo[Max OVR]"),_xlfn.AGGREGATE(15,6,(ROW(Evo[Evolution_Name])-MIN(ROW(Evo[Evolution_Name]))+1)/((INDIRECT("Evo[Max "&amp;$H$3&amp;"]")=$H20)*(INDIRECT("Evo[Max "&amp;$H$3&amp;"]")&gt;0)),$G20)),"")</f>
        <v/>
      </c>
      <c r="M20" s="32">
        <f t="array" ref="M20">IFERROR(INDEX(INDIRECT("Evo[Req_Position]"),_xlfn.AGGREGATE(15,6,(ROW(Evo[Evolution_Name])-MIN(ROW(Evo[Evolution_Name]))+1)/((INDIRECT("Evo[Max "&amp;$H$3&amp;"]")=$H20)*(INDIRECT("Evo[Max "&amp;$H$3&amp;"]")&gt;0)),$G20)),"")</f>
        <v/>
      </c>
      <c r="N20" s="32">
        <f t="array" ref="N20">IFERROR(INDEX(INDIRECT("Evo[Req_OVR_Max]"),_xlfn.AGGREGATE(15,6,(ROW(Evo[Evolution_Name])-MIN(ROW(Evo[Evolution_Name]))+1)/((INDIRECT("Evo[Max "&amp;$H$3&amp;"]")=$H20)*(INDIRECT("Evo[Max "&amp;$H$3&amp;"]")&gt;0)),$G20)),"")</f>
        <v/>
      </c>
      <c r="O20" s="34">
        <f t="array" ref="O20">IFERROR(INDEX(INDIRECT("Evo[Req_Other]"),_xlfn.AGGREGATE(15,6,(ROW(Evo[Evolution_Name])-MIN(ROW(Evo[Evolution_Name]))+1)/((INDIRECT("Evo[Max "&amp;$H$3&amp;"]")=$H20)*(INDIRECT("Evo[Max "&amp;$H$3&amp;"]")&gt;0)),$G20)),"")</f>
        <v/>
      </c>
    </row>
    <row r="21" ht="68.25" customHeight="1">
      <c r="F21" s="40" t="n"/>
      <c r="G21" s="31" t="n">
        <v>2</v>
      </c>
      <c r="H21" s="32">
        <f>_xlfn.MAXIFS(INDIRECT("Evo[Max "&amp;$H$3&amp;"]"),INDIRECT("Evo[Max "&amp;$H$3&amp;"]"),"&lt;"&amp;$H$15,INDIRECT("Evo[Max "&amp;$H$3&amp;"]"),"&gt;0")</f>
        <v/>
      </c>
      <c r="I21" s="33">
        <f t="array" ref="I21">IFERROR(INDEX(Evo[Evolution_Name],_xlfn.AGGREGATE(15,6,(ROW(Evo[Evolution_Name])-MIN(ROW(Evo[Evolution_Name]))+1)/((INDIRECT("Evo[Max "&amp;$H$3&amp;"]")=$H21)*(INDIRECT("Evo[Max "&amp;$H$3&amp;"]")&gt;0)),$G21)),"")</f>
        <v/>
      </c>
      <c r="J21" s="32">
        <f t="array" ref="J21">IFERROR(INDEX(INDIRECT("Evo[+ "&amp;$H$3&amp;"]"),_xlfn.AGGREGATE(15,6,(ROW(Evo[Evolution_Name])-MIN(ROW(Evo[Evolution_Name]))+1)/((INDIRECT("Evo[Max "&amp;$H$3&amp;"]")=$H21)*(INDIRECT("Evo[Max "&amp;$H$3&amp;"]")&gt;0)),$G21)),"")</f>
        <v/>
      </c>
      <c r="K21" s="32">
        <f t="array" ref="K21">IFERROR(INDEX(INDIRECT("Evo[+ OVR]"),_xlfn.AGGREGATE(15,6,(ROW(Evo[Evolution_Name])-MIN(ROW(Evo[Evolution_Name]))+1)/((INDIRECT("Evo[Max "&amp;$H$3&amp;"]")=$H21)*(INDIRECT("Evo[Max "&amp;$H$3&amp;"]")&gt;0)),$G21)),"")</f>
        <v/>
      </c>
      <c r="L21" s="32">
        <f t="array" ref="L21">IFERROR(INDEX(INDIRECT("Evo[Max OVR]"),_xlfn.AGGREGATE(15,6,(ROW(Evo[Evolution_Name])-MIN(ROW(Evo[Evolution_Name]))+1)/((INDIRECT("Evo[Max "&amp;$H$3&amp;"]")=$H21)*(INDIRECT("Evo[Max "&amp;$H$3&amp;"]")&gt;0)),$G21)),"")</f>
        <v/>
      </c>
      <c r="M21" s="32">
        <f t="array" ref="M21">IFERROR(INDEX(INDIRECT("Evo[Req_Position]"),_xlfn.AGGREGATE(15,6,(ROW(Evo[Evolution_Name])-MIN(ROW(Evo[Evolution_Name]))+1)/((INDIRECT("Evo[Max "&amp;$H$3&amp;"]")=$H21)*(INDIRECT("Evo[Max "&amp;$H$3&amp;"]")&gt;0)),$G21)),"")</f>
        <v/>
      </c>
      <c r="N21" s="32">
        <f t="array" ref="N21">IFERROR(INDEX(INDIRECT("Evo[Req_OVR_Max]"),_xlfn.AGGREGATE(15,6,(ROW(Evo[Evolution_Name])-MIN(ROW(Evo[Evolution_Name]))+1)/((INDIRECT("Evo[Max "&amp;$H$3&amp;"]")=$H21)*(INDIRECT("Evo[Max "&amp;$H$3&amp;"]")&gt;0)),$G21)),"")</f>
        <v/>
      </c>
      <c r="O21" s="34">
        <f t="array" ref="O21">IFERROR(INDEX(INDIRECT("Evo[Req_Other]"),_xlfn.AGGREGATE(15,6,(ROW(Evo[Evolution_Name])-MIN(ROW(Evo[Evolution_Name]))+1)/((INDIRECT("Evo[Max "&amp;$H$3&amp;"]")=$H21)*(INDIRECT("Evo[Max "&amp;$H$3&amp;"]")&gt;0)),$G21)),"")</f>
        <v/>
      </c>
    </row>
    <row r="22" ht="68.25" customHeight="1">
      <c r="F22" s="40" t="n"/>
      <c r="G22" s="31" t="n">
        <v>3</v>
      </c>
      <c r="H22" s="32">
        <f>_xlfn.MAXIFS(INDIRECT("Evo[Max "&amp;$H$3&amp;"]"),INDIRECT("Evo[Max "&amp;$H$3&amp;"]"),"&lt;"&amp;$H$15,INDIRECT("Evo[Max "&amp;$H$3&amp;"]"),"&gt;0")</f>
        <v/>
      </c>
      <c r="I22" s="33">
        <f t="array" ref="I22">IFERROR(INDEX(Evo[Evolution_Name],_xlfn.AGGREGATE(15,6,(ROW(Evo[Evolution_Name])-MIN(ROW(Evo[Evolution_Name]))+1)/((INDIRECT("Evo[Max "&amp;$H$3&amp;"]")=$H22)*(INDIRECT("Evo[Max "&amp;$H$3&amp;"]")&gt;0)),$G22)),"")</f>
        <v/>
      </c>
      <c r="J22" s="32">
        <f t="array" ref="J22">IFERROR(INDEX(INDIRECT("Evo[+ "&amp;$H$3&amp;"]"),_xlfn.AGGREGATE(15,6,(ROW(Evo[Evolution_Name])-MIN(ROW(Evo[Evolution_Name]))+1)/((INDIRECT("Evo[Max "&amp;$H$3&amp;"]")=$H22)*(INDIRECT("Evo[Max "&amp;$H$3&amp;"]")&gt;0)),$G22)),"")</f>
        <v/>
      </c>
      <c r="K22" s="32">
        <f t="array" ref="K22">IFERROR(INDEX(INDIRECT("Evo[+ OVR]"),_xlfn.AGGREGATE(15,6,(ROW(Evo[Evolution_Name])-MIN(ROW(Evo[Evolution_Name]))+1)/((INDIRECT("Evo[Max "&amp;$H$3&amp;"]")=$H22)*(INDIRECT("Evo[Max "&amp;$H$3&amp;"]")&gt;0)),$G22)),"")</f>
        <v/>
      </c>
      <c r="L22" s="32">
        <f t="array" ref="L22">IFERROR(INDEX(INDIRECT("Evo[Max OVR]"),_xlfn.AGGREGATE(15,6,(ROW(Evo[Evolution_Name])-MIN(ROW(Evo[Evolution_Name]))+1)/((INDIRECT("Evo[Max "&amp;$H$3&amp;"]")=$H22)*(INDIRECT("Evo[Max "&amp;$H$3&amp;"]")&gt;0)),$G22)),"")</f>
        <v/>
      </c>
      <c r="M22" s="32">
        <f t="array" ref="M22">IFERROR(INDEX(INDIRECT("Evo[Req_Position]"),_xlfn.AGGREGATE(15,6,(ROW(Evo[Evolution_Name])-MIN(ROW(Evo[Evolution_Name]))+1)/((INDIRECT("Evo[Max "&amp;$H$3&amp;"]")=$H22)*(INDIRECT("Evo[Max "&amp;$H$3&amp;"]")&gt;0)),$G22)),"")</f>
        <v/>
      </c>
      <c r="N22" s="32">
        <f t="array" ref="N22">IFERROR(INDEX(INDIRECT("Evo[Req_OVR_Max]"),_xlfn.AGGREGATE(15,6,(ROW(Evo[Evolution_Name])-MIN(ROW(Evo[Evolution_Name]))+1)/((INDIRECT("Evo[Max "&amp;$H$3&amp;"]")=$H22)*(INDIRECT("Evo[Max "&amp;$H$3&amp;"]")&gt;0)),$G22)),"")</f>
        <v/>
      </c>
      <c r="O22" s="34">
        <f t="array" ref="O22">IFERROR(INDEX(INDIRECT("Evo[Req_Other]"),_xlfn.AGGREGATE(15,6,(ROW(Evo[Evolution_Name])-MIN(ROW(Evo[Evolution_Name]))+1)/((INDIRECT("Evo[Max "&amp;$H$3&amp;"]")=$H22)*(INDIRECT("Evo[Max "&amp;$H$3&amp;"]")&gt;0)),$G22)),"")</f>
        <v/>
      </c>
    </row>
    <row r="23" ht="68.25" customHeight="1">
      <c r="F23" s="40" t="n"/>
      <c r="G23" s="31" t="n">
        <v>4</v>
      </c>
      <c r="H23" s="32">
        <f>_xlfn.MAXIFS(INDIRECT("Evo[Max "&amp;$H$3&amp;"]"),INDIRECT("Evo[Max "&amp;$H$3&amp;"]"),"&lt;"&amp;$H$15,INDIRECT("Evo[Max "&amp;$H$3&amp;"]"),"&gt;0")</f>
        <v/>
      </c>
      <c r="I23" s="33">
        <f t="array" ref="I23">IFERROR(INDEX(Evo[Evolution_Name],_xlfn.AGGREGATE(15,6,(ROW(Evo[Evolution_Name])-MIN(ROW(Evo[Evolution_Name]))+1)/((INDIRECT("Evo[Max "&amp;$H$3&amp;"]")=$H23)*(INDIRECT("Evo[Max "&amp;$H$3&amp;"]")&gt;0)),$G23)),"")</f>
        <v/>
      </c>
      <c r="J23" s="32">
        <f t="array" ref="J23">IFERROR(INDEX(INDIRECT("Evo[+ "&amp;$H$3&amp;"]"),_xlfn.AGGREGATE(15,6,(ROW(Evo[Evolution_Name])-MIN(ROW(Evo[Evolution_Name]))+1)/((INDIRECT("Evo[Max "&amp;$H$3&amp;"]")=$H23)*(INDIRECT("Evo[Max "&amp;$H$3&amp;"]")&gt;0)),$G23)),"")</f>
        <v/>
      </c>
      <c r="K23" s="32">
        <f t="array" ref="K23">IFERROR(INDEX(INDIRECT("Evo[+ OVR]"),_xlfn.AGGREGATE(15,6,(ROW(Evo[Evolution_Name])-MIN(ROW(Evo[Evolution_Name]))+1)/((INDIRECT("Evo[Max "&amp;$H$3&amp;"]")=$H23)*(INDIRECT("Evo[Max "&amp;$H$3&amp;"]")&gt;0)),$G23)),"")</f>
        <v/>
      </c>
      <c r="L23" s="32">
        <f t="array" ref="L23">IFERROR(INDEX(INDIRECT("Evo[Max OVR]"),_xlfn.AGGREGATE(15,6,(ROW(Evo[Evolution_Name])-MIN(ROW(Evo[Evolution_Name]))+1)/((INDIRECT("Evo[Max "&amp;$H$3&amp;"]")=$H23)*(INDIRECT("Evo[Max "&amp;$H$3&amp;"]")&gt;0)),$G23)),"")</f>
        <v/>
      </c>
      <c r="M23" s="32">
        <f t="array" ref="M23">IFERROR(INDEX(INDIRECT("Evo[Req_Position]"),_xlfn.AGGREGATE(15,6,(ROW(Evo[Evolution_Name])-MIN(ROW(Evo[Evolution_Name]))+1)/((INDIRECT("Evo[Max "&amp;$H$3&amp;"]")=$H23)*(INDIRECT("Evo[Max "&amp;$H$3&amp;"]")&gt;0)),$G23)),"")</f>
        <v/>
      </c>
      <c r="N23" s="32">
        <f t="array" ref="N23">IFERROR(INDEX(INDIRECT("Evo[Req_OVR_Max]"),_xlfn.AGGREGATE(15,6,(ROW(Evo[Evolution_Name])-MIN(ROW(Evo[Evolution_Name]))+1)/((INDIRECT("Evo[Max "&amp;$H$3&amp;"]")=$H23)*(INDIRECT("Evo[Max "&amp;$H$3&amp;"]")&gt;0)),$G23)),"")</f>
        <v/>
      </c>
      <c r="O23" s="34">
        <f t="array" ref="O23">IFERROR(INDEX(INDIRECT("Evo[Req_Other]"),_xlfn.AGGREGATE(15,6,(ROW(Evo[Evolution_Name])-MIN(ROW(Evo[Evolution_Name]))+1)/((INDIRECT("Evo[Max "&amp;$H$3&amp;"]")=$H23)*(INDIRECT("Evo[Max "&amp;$H$3&amp;"]")&gt;0)),$G23)),"")</f>
        <v/>
      </c>
    </row>
    <row r="24" ht="68.25" customHeight="1">
      <c r="F24" s="38" t="n"/>
      <c r="G24" s="31" t="n">
        <v>5</v>
      </c>
      <c r="H24" s="32">
        <f>_xlfn.MAXIFS(INDIRECT("Evo[Max "&amp;$H$3&amp;"]"),INDIRECT("Evo[Max "&amp;$H$3&amp;"]"),"&lt;"&amp;$H$15,INDIRECT("Evo[Max "&amp;$H$3&amp;"]"),"&gt;0")</f>
        <v/>
      </c>
      <c r="I24" s="33">
        <f t="array" ref="I24">IFERROR(INDEX(Evo[Evolution_Name],_xlfn.AGGREGATE(15,6,(ROW(Evo[Evolution_Name])-MIN(ROW(Evo[Evolution_Name]))+1)/((INDIRECT("Evo[Max "&amp;$H$3&amp;"]")=$H24)*(INDIRECT("Evo[Max "&amp;$H$3&amp;"]")&gt;0)),$G24)),"")</f>
        <v/>
      </c>
      <c r="J24" s="32">
        <f t="array" ref="J24">IFERROR(INDEX(INDIRECT("Evo[+ "&amp;$H$3&amp;"]"),_xlfn.AGGREGATE(15,6,(ROW(Evo[Evolution_Name])-MIN(ROW(Evo[Evolution_Name]))+1)/((INDIRECT("Evo[Max "&amp;$H$3&amp;"]")=$H24)*(INDIRECT("Evo[Max "&amp;$H$3&amp;"]")&gt;0)),$G24)),"")</f>
        <v/>
      </c>
      <c r="K24" s="32">
        <f t="array" ref="K24">IFERROR(INDEX(INDIRECT("Evo[+ OVR]"),_xlfn.AGGREGATE(15,6,(ROW(Evo[Evolution_Name])-MIN(ROW(Evo[Evolution_Name]))+1)/((INDIRECT("Evo[Max "&amp;$H$3&amp;"]")=$H24)*(INDIRECT("Evo[Max "&amp;$H$3&amp;"]")&gt;0)),$G24)),"")</f>
        <v/>
      </c>
      <c r="L24" s="32">
        <f t="array" ref="L24">IFERROR(INDEX(INDIRECT("Evo[Max OVR]"),_xlfn.AGGREGATE(15,6,(ROW(Evo[Evolution_Name])-MIN(ROW(Evo[Evolution_Name]))+1)/((INDIRECT("Evo[Max "&amp;$H$3&amp;"]")=$H24)*(INDIRECT("Evo[Max "&amp;$H$3&amp;"]")&gt;0)),$G24)),"")</f>
        <v/>
      </c>
      <c r="M24" s="32">
        <f t="array" ref="M24">IFERROR(INDEX(INDIRECT("Evo[Req_Position]"),_xlfn.AGGREGATE(15,6,(ROW(Evo[Evolution_Name])-MIN(ROW(Evo[Evolution_Name]))+1)/((INDIRECT("Evo[Max "&amp;$H$3&amp;"]")=$H24)*(INDIRECT("Evo[Max "&amp;$H$3&amp;"]")&gt;0)),$G24)),"")</f>
        <v/>
      </c>
      <c r="N24" s="32">
        <f t="array" ref="N24">IFERROR(INDEX(INDIRECT("Evo[Req_OVR_Max]"),_xlfn.AGGREGATE(15,6,(ROW(Evo[Evolution_Name])-MIN(ROW(Evo[Evolution_Name]))+1)/((INDIRECT("Evo[Max "&amp;$H$3&amp;"]")=$H24)*(INDIRECT("Evo[Max "&amp;$H$3&amp;"]")&gt;0)),$G24)),"")</f>
        <v/>
      </c>
      <c r="O24" s="34">
        <f t="array" ref="O24">IFERROR(INDEX(INDIRECT("Evo[Req_Other]"),_xlfn.AGGREGATE(15,6,(ROW(Evo[Evolution_Name])-MIN(ROW(Evo[Evolution_Name]))+1)/((INDIRECT("Evo[Max "&amp;$H$3&amp;"]")=$H24)*(INDIRECT("Evo[Max "&amp;$H$3&amp;"]")&gt;0)),$G24)),"")</f>
        <v/>
      </c>
    </row>
    <row r="25" ht="68.25" customHeight="1">
      <c r="F25" s="31" t="inlineStr">
        <is>
          <t>5위</t>
        </is>
      </c>
      <c r="G25" s="31" t="n">
        <v>1</v>
      </c>
      <c r="H25" s="32">
        <f>_xlfn.MAXIFS(INDIRECT("Evo[Max "&amp;$H$3&amp;"]"),INDIRECT("Evo[Max "&amp;$H$3&amp;"]"),"&lt;"&amp;$H$20,INDIRECT("Evo[Max "&amp;$H$3&amp;"]"),"&gt;0")</f>
        <v/>
      </c>
      <c r="I25" s="33">
        <f t="array" ref="I25">IFERROR(INDEX(Evo[Evolution_Name],_xlfn.AGGREGATE(15,6,(ROW(Evo[Evolution_Name])-MIN(ROW(Evo[Evolution_Name]))+1)/((INDIRECT("Evo[Max "&amp;$H$3&amp;"]")=$H25)*(INDIRECT("Evo[Max "&amp;$H$3&amp;"]")&gt;0)),$G25)),"")</f>
        <v/>
      </c>
      <c r="J25" s="32">
        <f t="array" ref="J25">IFERROR(INDEX(INDIRECT("Evo[+ "&amp;$H$3&amp;"]"),_xlfn.AGGREGATE(15,6,(ROW(Evo[Evolution_Name])-MIN(ROW(Evo[Evolution_Name]))+1)/((INDIRECT("Evo[Max "&amp;$H$3&amp;"]")=$H25)*(INDIRECT("Evo[Max "&amp;$H$3&amp;"]")&gt;0)),$G25)),"")</f>
        <v/>
      </c>
      <c r="K25" s="32">
        <f t="array" ref="K25">IFERROR(INDEX(INDIRECT("Evo[+ OVR]"),_xlfn.AGGREGATE(15,6,(ROW(Evo[Evolution_Name])-MIN(ROW(Evo[Evolution_Name]))+1)/((INDIRECT("Evo[Max "&amp;$H$3&amp;"]")=$H25)*(INDIRECT("Evo[Max "&amp;$H$3&amp;"]")&gt;0)),$G25)),"")</f>
        <v/>
      </c>
      <c r="L25" s="32">
        <f t="array" ref="L25">IFERROR(INDEX(INDIRECT("Evo[Max OVR]"),_xlfn.AGGREGATE(15,6,(ROW(Evo[Evolution_Name])-MIN(ROW(Evo[Evolution_Name]))+1)/((INDIRECT("Evo[Max "&amp;$H$3&amp;"]")=$H25)*(INDIRECT("Evo[Max "&amp;$H$3&amp;"]")&gt;0)),$G25)),"")</f>
        <v/>
      </c>
      <c r="M25" s="32">
        <f t="array" ref="M25">IFERROR(INDEX(INDIRECT("Evo[Req_Position]"),_xlfn.AGGREGATE(15,6,(ROW(Evo[Evolution_Name])-MIN(ROW(Evo[Evolution_Name]))+1)/((INDIRECT("Evo[Max "&amp;$H$3&amp;"]")=$H25)*(INDIRECT("Evo[Max "&amp;$H$3&amp;"]")&gt;0)),$G25)),"")</f>
        <v/>
      </c>
      <c r="N25" s="32">
        <f t="array" ref="N25">IFERROR(INDEX(INDIRECT("Evo[Req_OVR_Max]"),_xlfn.AGGREGATE(15,6,(ROW(Evo[Evolution_Name])-MIN(ROW(Evo[Evolution_Name]))+1)/((INDIRECT("Evo[Max "&amp;$H$3&amp;"]")=$H25)*(INDIRECT("Evo[Max "&amp;$H$3&amp;"]")&gt;0)),$G25)),"")</f>
        <v/>
      </c>
      <c r="O25" s="34">
        <f t="array" ref="O25">IFERROR(INDEX(INDIRECT("Evo[Req_Other]"),_xlfn.AGGREGATE(15,6,(ROW(Evo[Evolution_Name])-MIN(ROW(Evo[Evolution_Name]))+1)/((INDIRECT("Evo[Max "&amp;$H$3&amp;"]")=$H25)*(INDIRECT("Evo[Max "&amp;$H$3&amp;"]")&gt;0)),$G25)),"")</f>
        <v/>
      </c>
    </row>
    <row r="26" ht="68.25" customHeight="1">
      <c r="F26" s="40" t="n"/>
      <c r="G26" s="31" t="n">
        <v>2</v>
      </c>
      <c r="H26" s="32">
        <f>_xlfn.MAXIFS(INDIRECT("Evo[Max "&amp;$H$3&amp;"]"),INDIRECT("Evo[Max "&amp;$H$3&amp;"]"),"&lt;"&amp;$H$20,INDIRECT("Evo[Max "&amp;$H$3&amp;"]"),"&gt;0")</f>
        <v/>
      </c>
      <c r="I26" s="33">
        <f t="array" ref="I26">IFERROR(INDEX(Evo[Evolution_Name],_xlfn.AGGREGATE(15,6,(ROW(Evo[Evolution_Name])-MIN(ROW(Evo[Evolution_Name]))+1)/((INDIRECT("Evo[Max "&amp;$H$3&amp;"]")=$H26)*(INDIRECT("Evo[Max "&amp;$H$3&amp;"]")&gt;0)),$G26)),"")</f>
        <v/>
      </c>
      <c r="J26" s="32">
        <f t="array" ref="J26">IFERROR(INDEX(INDIRECT("Evo[+ "&amp;$H$3&amp;"]"),_xlfn.AGGREGATE(15,6,(ROW(Evo[Evolution_Name])-MIN(ROW(Evo[Evolution_Name]))+1)/((INDIRECT("Evo[Max "&amp;$H$3&amp;"]")=$H26)*(INDIRECT("Evo[Max "&amp;$H$3&amp;"]")&gt;0)),$G26)),"")</f>
        <v/>
      </c>
      <c r="K26" s="32">
        <f t="array" ref="K26">IFERROR(INDEX(INDIRECT("Evo[+ OVR]"),_xlfn.AGGREGATE(15,6,(ROW(Evo[Evolution_Name])-MIN(ROW(Evo[Evolution_Name]))+1)/((INDIRECT("Evo[Max "&amp;$H$3&amp;"]")=$H26)*(INDIRECT("Evo[Max "&amp;$H$3&amp;"]")&gt;0)),$G26)),"")</f>
        <v/>
      </c>
      <c r="L26" s="32">
        <f t="array" ref="L26">IFERROR(INDEX(INDIRECT("Evo[Max OVR]"),_xlfn.AGGREGATE(15,6,(ROW(Evo[Evolution_Name])-MIN(ROW(Evo[Evolution_Name]))+1)/((INDIRECT("Evo[Max "&amp;$H$3&amp;"]")=$H26)*(INDIRECT("Evo[Max "&amp;$H$3&amp;"]")&gt;0)),$G26)),"")</f>
        <v/>
      </c>
      <c r="M26" s="32">
        <f t="array" ref="M26">IFERROR(INDEX(INDIRECT("Evo[Req_Position]"),_xlfn.AGGREGATE(15,6,(ROW(Evo[Evolution_Name])-MIN(ROW(Evo[Evolution_Name]))+1)/((INDIRECT("Evo[Max "&amp;$H$3&amp;"]")=$H26)*(INDIRECT("Evo[Max "&amp;$H$3&amp;"]")&gt;0)),$G26)),"")</f>
        <v/>
      </c>
      <c r="N26" s="32">
        <f t="array" ref="N26">IFERROR(INDEX(INDIRECT("Evo[Req_OVR_Max]"),_xlfn.AGGREGATE(15,6,(ROW(Evo[Evolution_Name])-MIN(ROW(Evo[Evolution_Name]))+1)/((INDIRECT("Evo[Max "&amp;$H$3&amp;"]")=$H26)*(INDIRECT("Evo[Max "&amp;$H$3&amp;"]")&gt;0)),$G26)),"")</f>
        <v/>
      </c>
      <c r="O26" s="34">
        <f t="array" ref="O26">IFERROR(INDEX(INDIRECT("Evo[Req_Other]"),_xlfn.AGGREGATE(15,6,(ROW(Evo[Evolution_Name])-MIN(ROW(Evo[Evolution_Name]))+1)/((INDIRECT("Evo[Max "&amp;$H$3&amp;"]")=$H26)*(INDIRECT("Evo[Max "&amp;$H$3&amp;"]")&gt;0)),$G26)),"")</f>
        <v/>
      </c>
    </row>
    <row r="27" ht="68.25" customHeight="1">
      <c r="F27" s="40" t="n"/>
      <c r="G27" s="31" t="n">
        <v>3</v>
      </c>
      <c r="H27" s="32">
        <f>_xlfn.MAXIFS(INDIRECT("Evo[Max "&amp;$H$3&amp;"]"),INDIRECT("Evo[Max "&amp;$H$3&amp;"]"),"&lt;"&amp;$H$20,INDIRECT("Evo[Max "&amp;$H$3&amp;"]"),"&gt;0")</f>
        <v/>
      </c>
      <c r="I27" s="33">
        <f t="array" ref="I27">IFERROR(INDEX(Evo[Evolution_Name],_xlfn.AGGREGATE(15,6,(ROW(Evo[Evolution_Name])-MIN(ROW(Evo[Evolution_Name]))+1)/((INDIRECT("Evo[Max "&amp;$H$3&amp;"]")=$H27)*(INDIRECT("Evo[Max "&amp;$H$3&amp;"]")&gt;0)),$G27)),"")</f>
        <v/>
      </c>
      <c r="J27" s="32">
        <f t="array" ref="J27">IFERROR(INDEX(INDIRECT("Evo[+ "&amp;$H$3&amp;"]"),_xlfn.AGGREGATE(15,6,(ROW(Evo[Evolution_Name])-MIN(ROW(Evo[Evolution_Name]))+1)/((INDIRECT("Evo[Max "&amp;$H$3&amp;"]")=$H27)*(INDIRECT("Evo[Max "&amp;$H$3&amp;"]")&gt;0)),$G27)),"")</f>
        <v/>
      </c>
      <c r="K27" s="32">
        <f t="array" ref="K27">IFERROR(INDEX(INDIRECT("Evo[+ OVR]"),_xlfn.AGGREGATE(15,6,(ROW(Evo[Evolution_Name])-MIN(ROW(Evo[Evolution_Name]))+1)/((INDIRECT("Evo[Max "&amp;$H$3&amp;"]")=$H27)*(INDIRECT("Evo[Max "&amp;$H$3&amp;"]")&gt;0)),$G27)),"")</f>
        <v/>
      </c>
      <c r="L27" s="32">
        <f t="array" ref="L27">IFERROR(INDEX(INDIRECT("Evo[Max OVR]"),_xlfn.AGGREGATE(15,6,(ROW(Evo[Evolution_Name])-MIN(ROW(Evo[Evolution_Name]))+1)/((INDIRECT("Evo[Max "&amp;$H$3&amp;"]")=$H27)*(INDIRECT("Evo[Max "&amp;$H$3&amp;"]")&gt;0)),$G27)),"")</f>
        <v/>
      </c>
      <c r="M27" s="32">
        <f t="array" ref="M27">IFERROR(INDEX(INDIRECT("Evo[Req_Position]"),_xlfn.AGGREGATE(15,6,(ROW(Evo[Evolution_Name])-MIN(ROW(Evo[Evolution_Name]))+1)/((INDIRECT("Evo[Max "&amp;$H$3&amp;"]")=$H27)*(INDIRECT("Evo[Max "&amp;$H$3&amp;"]")&gt;0)),$G27)),"")</f>
        <v/>
      </c>
      <c r="N27" s="32">
        <f t="array" ref="N27">IFERROR(INDEX(INDIRECT("Evo[Req_OVR_Max]"),_xlfn.AGGREGATE(15,6,(ROW(Evo[Evolution_Name])-MIN(ROW(Evo[Evolution_Name]))+1)/((INDIRECT("Evo[Max "&amp;$H$3&amp;"]")=$H27)*(INDIRECT("Evo[Max "&amp;$H$3&amp;"]")&gt;0)),$G27)),"")</f>
        <v/>
      </c>
      <c r="O27" s="34">
        <f t="array" ref="O27">IFERROR(INDEX(INDIRECT("Evo[Req_Other]"),_xlfn.AGGREGATE(15,6,(ROW(Evo[Evolution_Name])-MIN(ROW(Evo[Evolution_Name]))+1)/((INDIRECT("Evo[Max "&amp;$H$3&amp;"]")=$H27)*(INDIRECT("Evo[Max "&amp;$H$3&amp;"]")&gt;0)),$G27)),"")</f>
        <v/>
      </c>
    </row>
    <row r="28" ht="68.25" customHeight="1">
      <c r="F28" s="40" t="n"/>
      <c r="G28" s="31" t="n">
        <v>4</v>
      </c>
      <c r="H28" s="32">
        <f>_xlfn.MAXIFS(INDIRECT("Evo[Max "&amp;$H$3&amp;"]"),INDIRECT("Evo[Max "&amp;$H$3&amp;"]"),"&lt;"&amp;$H$20,INDIRECT("Evo[Max "&amp;$H$3&amp;"]"),"&gt;0")</f>
        <v/>
      </c>
      <c r="I28" s="33">
        <f t="array" ref="I28">IFERROR(INDEX(Evo[Evolution_Name],_xlfn.AGGREGATE(15,6,(ROW(Evo[Evolution_Name])-MIN(ROW(Evo[Evolution_Name]))+1)/((INDIRECT("Evo[Max "&amp;$H$3&amp;"]")=$H28)*(INDIRECT("Evo[Max "&amp;$H$3&amp;"]")&gt;0)),$G28)),"")</f>
        <v/>
      </c>
      <c r="J28" s="32">
        <f t="array" ref="J28">IFERROR(INDEX(INDIRECT("Evo[+ "&amp;$H$3&amp;"]"),_xlfn.AGGREGATE(15,6,(ROW(Evo[Evolution_Name])-MIN(ROW(Evo[Evolution_Name]))+1)/((INDIRECT("Evo[Max "&amp;$H$3&amp;"]")=$H28)*(INDIRECT("Evo[Max "&amp;$H$3&amp;"]")&gt;0)),$G28)),"")</f>
        <v/>
      </c>
      <c r="K28" s="32">
        <f t="array" ref="K28">IFERROR(INDEX(INDIRECT("Evo[+ OVR]"),_xlfn.AGGREGATE(15,6,(ROW(Evo[Evolution_Name])-MIN(ROW(Evo[Evolution_Name]))+1)/((INDIRECT("Evo[Max "&amp;$H$3&amp;"]")=$H28)*(INDIRECT("Evo[Max "&amp;$H$3&amp;"]")&gt;0)),$G28)),"")</f>
        <v/>
      </c>
      <c r="L28" s="32">
        <f t="array" ref="L28">IFERROR(INDEX(INDIRECT("Evo[Max OVR]"),_xlfn.AGGREGATE(15,6,(ROW(Evo[Evolution_Name])-MIN(ROW(Evo[Evolution_Name]))+1)/((INDIRECT("Evo[Max "&amp;$H$3&amp;"]")=$H28)*(INDIRECT("Evo[Max "&amp;$H$3&amp;"]")&gt;0)),$G28)),"")</f>
        <v/>
      </c>
      <c r="M28" s="32">
        <f t="array" ref="M28">IFERROR(INDEX(INDIRECT("Evo[Req_Position]"),_xlfn.AGGREGATE(15,6,(ROW(Evo[Evolution_Name])-MIN(ROW(Evo[Evolution_Name]))+1)/((INDIRECT("Evo[Max "&amp;$H$3&amp;"]")=$H28)*(INDIRECT("Evo[Max "&amp;$H$3&amp;"]")&gt;0)),$G28)),"")</f>
        <v/>
      </c>
      <c r="N28" s="32">
        <f t="array" ref="N28">IFERROR(INDEX(INDIRECT("Evo[Req_OVR_Max]"),_xlfn.AGGREGATE(15,6,(ROW(Evo[Evolution_Name])-MIN(ROW(Evo[Evolution_Name]))+1)/((INDIRECT("Evo[Max "&amp;$H$3&amp;"]")=$H28)*(INDIRECT("Evo[Max "&amp;$H$3&amp;"]")&gt;0)),$G28)),"")</f>
        <v/>
      </c>
      <c r="O28" s="34">
        <f t="array" ref="O28">IFERROR(INDEX(INDIRECT("Evo[Req_Other]"),_xlfn.AGGREGATE(15,6,(ROW(Evo[Evolution_Name])-MIN(ROW(Evo[Evolution_Name]))+1)/((INDIRECT("Evo[Max "&amp;$H$3&amp;"]")=$H28)*(INDIRECT("Evo[Max "&amp;$H$3&amp;"]")&gt;0)),$G28)),"")</f>
        <v/>
      </c>
    </row>
    <row r="29" ht="68.25" customHeight="1">
      <c r="F29" s="38" t="n"/>
      <c r="G29" s="31" t="n">
        <v>5</v>
      </c>
      <c r="H29" s="32">
        <f>_xlfn.MAXIFS(INDIRECT("Evo[Max "&amp;$H$3&amp;"]"),INDIRECT("Evo[Max "&amp;$H$3&amp;"]"),"&lt;"&amp;$H$20,INDIRECT("Evo[Max "&amp;$H$3&amp;"]"),"&gt;0")</f>
        <v/>
      </c>
      <c r="I29" s="33">
        <f t="array" ref="I29">IFERROR(INDEX(Evo[Evolution_Name],_xlfn.AGGREGATE(15,6,(ROW(Evo[Evolution_Name])-MIN(ROW(Evo[Evolution_Name]))+1)/((INDIRECT("Evo[Max "&amp;$H$3&amp;"]")=$H29)*(INDIRECT("Evo[Max "&amp;$H$3&amp;"]")&gt;0)),$G29)),"")</f>
        <v/>
      </c>
      <c r="J29" s="32">
        <f t="array" ref="J29">IFERROR(INDEX(INDIRECT("Evo[+ "&amp;$H$3&amp;"]"),_xlfn.AGGREGATE(15,6,(ROW(Evo[Evolution_Name])-MIN(ROW(Evo[Evolution_Name]))+1)/((INDIRECT("Evo[Max "&amp;$H$3&amp;"]")=$H29)*(INDIRECT("Evo[Max "&amp;$H$3&amp;"]")&gt;0)),$G29)),"")</f>
        <v/>
      </c>
      <c r="K29" s="32">
        <f t="array" ref="K29">IFERROR(INDEX(INDIRECT("Evo[+ OVR]"),_xlfn.AGGREGATE(15,6,(ROW(Evo[Evolution_Name])-MIN(ROW(Evo[Evolution_Name]))+1)/((INDIRECT("Evo[Max "&amp;$H$3&amp;"]")=$H29)*(INDIRECT("Evo[Max "&amp;$H$3&amp;"]")&gt;0)),$G29)),"")</f>
        <v/>
      </c>
      <c r="L29" s="32">
        <f t="array" ref="L29">IFERROR(INDEX(INDIRECT("Evo[Max OVR]"),_xlfn.AGGREGATE(15,6,(ROW(Evo[Evolution_Name])-MIN(ROW(Evo[Evolution_Name]))+1)/((INDIRECT("Evo[Max "&amp;$H$3&amp;"]")=$H29)*(INDIRECT("Evo[Max "&amp;$H$3&amp;"]")&gt;0)),$G29)),"")</f>
        <v/>
      </c>
      <c r="M29" s="32">
        <f t="array" ref="M29">IFERROR(INDEX(INDIRECT("Evo[Req_Position]"),_xlfn.AGGREGATE(15,6,(ROW(Evo[Evolution_Name])-MIN(ROW(Evo[Evolution_Name]))+1)/((INDIRECT("Evo[Max "&amp;$H$3&amp;"]")=$H29)*(INDIRECT("Evo[Max "&amp;$H$3&amp;"]")&gt;0)),$G29)),"")</f>
        <v/>
      </c>
      <c r="N29" s="32">
        <f t="array" ref="N29">IFERROR(INDEX(INDIRECT("Evo[Req_OVR_Max]"),_xlfn.AGGREGATE(15,6,(ROW(Evo[Evolution_Name])-MIN(ROW(Evo[Evolution_Name]))+1)/((INDIRECT("Evo[Max "&amp;$H$3&amp;"]")=$H29)*(INDIRECT("Evo[Max "&amp;$H$3&amp;"]")&gt;0)),$G29)),"")</f>
        <v/>
      </c>
      <c r="O29" s="34">
        <f t="array" ref="O29">IFERROR(INDEX(INDIRECT("Evo[Req_Other]"),_xlfn.AGGREGATE(15,6,(ROW(Evo[Evolution_Name])-MIN(ROW(Evo[Evolution_Name]))+1)/((INDIRECT("Evo[Max "&amp;$H$3&amp;"]")=$H29)*(INDIRECT("Evo[Max "&amp;$H$3&amp;"]")&gt;0)),$G29)),"")</f>
        <v/>
      </c>
    </row>
    <row r="30" ht="68.25" customHeight="1"/>
    <row r="31" ht="68.25" customFormat="1" customHeight="1" s="1">
      <c r="H31" s="2" t="inlineStr">
        <is>
          <t>선택한 스탯의 Max값</t>
        </is>
      </c>
      <c r="I31" s="24" t="inlineStr">
        <is>
          <t>진화명</t>
        </is>
      </c>
      <c r="J31" s="2" t="inlineStr">
        <is>
          <t>Rank</t>
        </is>
      </c>
      <c r="K31" s="3" t="inlineStr">
        <is>
          <t>+OVR</t>
        </is>
      </c>
      <c r="L31" s="2" t="inlineStr">
        <is>
          <t>Max OVR</t>
        </is>
      </c>
      <c r="M31" s="2" t="inlineStr">
        <is>
          <t>포지션 제한</t>
        </is>
      </c>
      <c r="N31" s="2" t="inlineStr">
        <is>
          <t>OVR 제한</t>
        </is>
      </c>
      <c r="O31" s="26" t="inlineStr">
        <is>
          <t>기타 요구조건</t>
        </is>
      </c>
      <c r="Z31" t="inlineStr">
        <is>
          <t>상위 Max값</t>
        </is>
      </c>
    </row>
    <row r="32" ht="68.25" customHeight="1">
      <c r="H32" s="13">
        <f t="array" ref="H32">IFERROR(INDEX(Unified_Matrix!$A:$ZZ,ROW(A17),MATCH("Max "&amp;$H$3,Unified_Matrix!$1:$1,0)),"")</f>
        <v/>
      </c>
      <c r="I32" s="25">
        <f t="array" ref="I32">IFERROR(INDEX(Unified_Matrix!$A:$ZZ,ROW(A17),MATCH("Evolution_Name",Unified_Matrix!$1:$1,0)),"")</f>
        <v/>
      </c>
      <c r="J32" s="13">
        <f>IF(H32="","",IF(H32=0,"",IF(H32=$Z$32,1,IF(H32=$Z$33,2,IF(H32=$Z$34,3,"")))))</f>
        <v/>
      </c>
      <c r="K32" s="13">
        <f t="array" ref="K32">IFERROR(INDEX(Unified_Matrix!$A:$ZZ,ROW(A17),MATCH("+ OVR",Unified_Matrix!$1:$1,0)),"")</f>
        <v/>
      </c>
      <c r="L32" s="13">
        <f t="array" ref="L32">IFERROR(INDEX(Unified_Matrix!$A:$ZZ,ROW(A17),MATCH("Max OVR",Unified_Matrix!$1:$1,0)),"")</f>
        <v/>
      </c>
      <c r="M32" s="13">
        <f t="array" ref="M32">IFERROR(INDEX(Unified_Matrix!$A:$ZZ,ROW(A17),MATCH("Req_Position",Unified_Matrix!$1:$1,0)),"")</f>
        <v/>
      </c>
      <c r="N32" s="13">
        <f t="array" ref="N32">IFERROR(INDEX(Unified_Matrix!$A:$ZZ,ROW(A17),MATCH("Req_OVR_Max",Unified_Matrix!$1:$1,0)),"")</f>
        <v/>
      </c>
      <c r="O32" s="25">
        <f t="array" ref="O32">IFERROR(INDEX(Unified_Matrix!$A:$ZZ,ROW(A17),MATCH("Req_Other",Unified_Matrix!$1:$1,0)),"")</f>
        <v/>
      </c>
      <c r="Z32">
        <f>MAX($H$32:$H$326)</f>
        <v/>
      </c>
    </row>
    <row r="33" ht="68.25" customHeight="1">
      <c r="H33" s="13">
        <f t="array" ref="H33">IFERROR(INDEX(Unified_Matrix!$A:$ZZ,ROW(A19),MATCH("Max "&amp;$H$3,Unified_Matrix!$1:$1,0)),"")</f>
        <v/>
      </c>
      <c r="I33" s="25">
        <f t="array" ref="I33">IFERROR(INDEX(Unified_Matrix!$A:$ZZ,ROW(A19),MATCH("Evolution_Name",Unified_Matrix!$1:$1,0)),"")</f>
        <v/>
      </c>
      <c r="J33" s="13">
        <f>IF(H33="","",IF(H33=0,"",IF(H33=$Z$32,1,IF(H33=$Z$33,2,IF(H33=$Z$34,3,"")))))</f>
        <v/>
      </c>
      <c r="K33" s="13">
        <f t="array" ref="K33">IFERROR(INDEX(Unified_Matrix!$A:$ZZ,ROW(A19),MATCH("+ OVR",Unified_Matrix!$1:$1,0)),"")</f>
        <v/>
      </c>
      <c r="L33" s="13">
        <f t="array" ref="L33">IFERROR(INDEX(Unified_Matrix!$A:$ZZ,ROW(A19),MATCH("Max OVR",Unified_Matrix!$1:$1,0)),"")</f>
        <v/>
      </c>
      <c r="M33" s="13">
        <f t="array" ref="M33">IFERROR(INDEX(Unified_Matrix!$A:$ZZ,ROW(A19),MATCH("Req_Position",Unified_Matrix!$1:$1,0)),"")</f>
        <v/>
      </c>
      <c r="N33" s="13">
        <f t="array" ref="N33">IFERROR(INDEX(Unified_Matrix!$A:$ZZ,ROW(A19),MATCH("Req_OVR_Max",Unified_Matrix!$1:$1,0)),"")</f>
        <v/>
      </c>
      <c r="O33" s="25">
        <f t="array" ref="O33">IFERROR(INDEX(Unified_Matrix!$A:$ZZ,ROW(A19),MATCH("Req_Other",Unified_Matrix!$1:$1,0)),"")</f>
        <v/>
      </c>
      <c r="Z33">
        <f>_xlfn.MAXIFS($H$32:$H$326,$H$32:$H$326,"&lt;"&amp;Z32)</f>
        <v/>
      </c>
    </row>
    <row r="34" ht="68.25" customHeight="1">
      <c r="H34" s="13">
        <f t="array" ref="H34">IFERROR(INDEX(Unified_Matrix!$A:$ZZ,ROW(A31),MATCH("Max "&amp;$H$3,Unified_Matrix!$1:$1,0)),"")</f>
        <v/>
      </c>
      <c r="I34" s="25">
        <f t="array" ref="I34">IFERROR(INDEX(Unified_Matrix!$A:$ZZ,ROW(A31),MATCH("Evolution_Name",Unified_Matrix!$1:$1,0)),"")</f>
        <v/>
      </c>
      <c r="J34" s="13">
        <f>IF(H34="","",IF(H34=0,"",IF(H34=$Z$32,1,IF(H34=$Z$33,2,IF(H34=$Z$34,3,"")))))</f>
        <v/>
      </c>
      <c r="K34" s="13">
        <f t="array" ref="K34">IFERROR(INDEX(Unified_Matrix!$A:$ZZ,ROW(A31),MATCH("+ OVR",Unified_Matrix!$1:$1,0)),"")</f>
        <v/>
      </c>
      <c r="L34" s="13">
        <f t="array" ref="L34">IFERROR(INDEX(Unified_Matrix!$A:$ZZ,ROW(A31),MATCH("Max OVR",Unified_Matrix!$1:$1,0)),"")</f>
        <v/>
      </c>
      <c r="M34" s="13">
        <f t="array" ref="M34">IFERROR(INDEX(Unified_Matrix!$A:$ZZ,ROW(A31),MATCH("Req_Position",Unified_Matrix!$1:$1,0)),"")</f>
        <v/>
      </c>
      <c r="N34" s="13">
        <f t="array" ref="N34">IFERROR(INDEX(Unified_Matrix!$A:$ZZ,ROW(A31),MATCH("Req_OVR_Max",Unified_Matrix!$1:$1,0)),"")</f>
        <v/>
      </c>
      <c r="O34" s="25">
        <f t="array" ref="O34">IFERROR(INDEX(Unified_Matrix!$A:$ZZ,ROW(A31),MATCH("Req_Other",Unified_Matrix!$1:$1,0)),"")</f>
        <v/>
      </c>
      <c r="Z34">
        <f>_xlfn.MAXIFS($H$32:$H$326,$H$32:$H$326,"&lt;"&amp;Z33)</f>
        <v/>
      </c>
    </row>
    <row r="35" ht="68.25" customHeight="1">
      <c r="H35" s="13">
        <f t="array" ref="H35">IFERROR(INDEX(Unified_Matrix!$A:$ZZ,ROW(A32),MATCH("Max "&amp;$H$3,Unified_Matrix!$1:$1,0)),"")</f>
        <v/>
      </c>
      <c r="I35" s="25">
        <f t="array" ref="I35">IFERROR(INDEX(Unified_Matrix!$A:$ZZ,ROW(A32),MATCH("Evolution_Name",Unified_Matrix!$1:$1,0)),"")</f>
        <v/>
      </c>
      <c r="J35" s="13">
        <f>IF(H35="","",IF(H35=0,"",IF(H35=$Z$32,1,IF(H35=$Z$33,2,IF(H35=$Z$34,3,"")))))</f>
        <v/>
      </c>
      <c r="K35" s="13">
        <f t="array" ref="K35">IFERROR(INDEX(Unified_Matrix!$A:$ZZ,ROW(A32),MATCH("+ OVR",Unified_Matrix!$1:$1,0)),"")</f>
        <v/>
      </c>
      <c r="L35" s="13">
        <f t="array" ref="L35">IFERROR(INDEX(Unified_Matrix!$A:$ZZ,ROW(A32),MATCH("Max OVR",Unified_Matrix!$1:$1,0)),"")</f>
        <v/>
      </c>
      <c r="M35" s="13">
        <f t="array" ref="M35">IFERROR(INDEX(Unified_Matrix!$A:$ZZ,ROW(A32),MATCH("Req_Position",Unified_Matrix!$1:$1,0)),"")</f>
        <v/>
      </c>
      <c r="N35" s="13">
        <f t="array" ref="N35">IFERROR(INDEX(Unified_Matrix!$A:$ZZ,ROW(A32),MATCH("Req_OVR_Max",Unified_Matrix!$1:$1,0)),"")</f>
        <v/>
      </c>
      <c r="O35" s="25">
        <f t="array" ref="O35">IFERROR(INDEX(Unified_Matrix!$A:$ZZ,ROW(A32),MATCH("Req_Other",Unified_Matrix!$1:$1,0)),"")</f>
        <v/>
      </c>
    </row>
    <row r="36" ht="68.25" customHeight="1">
      <c r="H36" s="13">
        <f t="array" ref="H36">IFERROR(INDEX(Unified_Matrix!$A:$ZZ,ROW(A33),MATCH("Max "&amp;$H$3,Unified_Matrix!$1:$1,0)),"")</f>
        <v/>
      </c>
      <c r="I36" s="25">
        <f t="array" ref="I36">IFERROR(INDEX(Unified_Matrix!$A:$ZZ,ROW(A33),MATCH("Evolution_Name",Unified_Matrix!$1:$1,0)),"")</f>
        <v/>
      </c>
      <c r="J36" s="13">
        <f>IF(H36="","",IF(H36=0,"",IF(H36=$Z$32,1,IF(H36=$Z$33,2,IF(H36=$Z$34,3,"")))))</f>
        <v/>
      </c>
      <c r="K36" s="13">
        <f t="array" ref="K36">IFERROR(INDEX(Unified_Matrix!$A:$ZZ,ROW(A33),MATCH("+ OVR",Unified_Matrix!$1:$1,0)),"")</f>
        <v/>
      </c>
      <c r="L36" s="13">
        <f t="array" ref="L36">IFERROR(INDEX(Unified_Matrix!$A:$ZZ,ROW(A33),MATCH("Max OVR",Unified_Matrix!$1:$1,0)),"")</f>
        <v/>
      </c>
      <c r="M36" s="13">
        <f t="array" ref="M36">IFERROR(INDEX(Unified_Matrix!$A:$ZZ,ROW(A33),MATCH("Req_Position",Unified_Matrix!$1:$1,0)),"")</f>
        <v/>
      </c>
      <c r="N36" s="13">
        <f t="array" ref="N36">IFERROR(INDEX(Unified_Matrix!$A:$ZZ,ROW(A33),MATCH("Req_OVR_Max",Unified_Matrix!$1:$1,0)),"")</f>
        <v/>
      </c>
      <c r="O36" s="25">
        <f t="array" ref="O36">IFERROR(INDEX(Unified_Matrix!$A:$ZZ,ROW(A33),MATCH("Req_Other",Unified_Matrix!$1:$1,0)),"")</f>
        <v/>
      </c>
    </row>
    <row r="37" ht="68.25" customHeight="1">
      <c r="H37" s="13">
        <f t="array" ref="H37">IFERROR(INDEX(Unified_Matrix!$A:$ZZ,ROW(A34),MATCH("Max "&amp;$H$3,Unified_Matrix!$1:$1,0)),"")</f>
        <v/>
      </c>
      <c r="I37" s="25">
        <f t="array" ref="I37">IFERROR(INDEX(Unified_Matrix!$A:$ZZ,ROW(A34),MATCH("Evolution_Name",Unified_Matrix!$1:$1,0)),"")</f>
        <v/>
      </c>
      <c r="J37" s="13">
        <f>IF(H37="","",IF(H37=0,"",IF(H37=$Z$32,1,IF(H37=$Z$33,2,IF(H37=$Z$34,3,"")))))</f>
        <v/>
      </c>
      <c r="K37" s="13">
        <f t="array" ref="K37">IFERROR(INDEX(Unified_Matrix!$A:$ZZ,ROW(A34),MATCH("+ OVR",Unified_Matrix!$1:$1,0)),"")</f>
        <v/>
      </c>
      <c r="L37" s="13">
        <f t="array" ref="L37">IFERROR(INDEX(Unified_Matrix!$A:$ZZ,ROW(A34),MATCH("Max OVR",Unified_Matrix!$1:$1,0)),"")</f>
        <v/>
      </c>
      <c r="M37" s="13">
        <f t="array" ref="M37">IFERROR(INDEX(Unified_Matrix!$A:$ZZ,ROW(A34),MATCH("Req_Position",Unified_Matrix!$1:$1,0)),"")</f>
        <v/>
      </c>
      <c r="N37" s="13">
        <f t="array" ref="N37">IFERROR(INDEX(Unified_Matrix!$A:$ZZ,ROW(A34),MATCH("Req_OVR_Max",Unified_Matrix!$1:$1,0)),"")</f>
        <v/>
      </c>
      <c r="O37" s="25">
        <f t="array" ref="O37">IFERROR(INDEX(Unified_Matrix!$A:$ZZ,ROW(A34),MATCH("Req_Other",Unified_Matrix!$1:$1,0)),"")</f>
        <v/>
      </c>
    </row>
    <row r="38" ht="68.25" customHeight="1">
      <c r="H38" s="13">
        <f t="array" ref="H38">IFERROR(INDEX(Unified_Matrix!$A:$ZZ,ROW(A35),MATCH("Max "&amp;$H$3,Unified_Matrix!$1:$1,0)),"")</f>
        <v/>
      </c>
      <c r="I38" s="25">
        <f t="array" ref="I38">IFERROR(INDEX(Unified_Matrix!$A:$ZZ,ROW(A35),MATCH("Evolution_Name",Unified_Matrix!$1:$1,0)),"")</f>
        <v/>
      </c>
      <c r="J38" s="13">
        <f>IF(H38="","",IF(H38=0,"",IF(H38=$Z$32,1,IF(H38=$Z$33,2,IF(H38=$Z$34,3,"")))))</f>
        <v/>
      </c>
      <c r="K38" s="13">
        <f t="array" ref="K38">IFERROR(INDEX(Unified_Matrix!$A:$ZZ,ROW(A35),MATCH("+ OVR",Unified_Matrix!$1:$1,0)),"")</f>
        <v/>
      </c>
      <c r="L38" s="13">
        <f t="array" ref="L38">IFERROR(INDEX(Unified_Matrix!$A:$ZZ,ROW(A35),MATCH("Max OVR",Unified_Matrix!$1:$1,0)),"")</f>
        <v/>
      </c>
      <c r="M38" s="13">
        <f t="array" ref="M38">IFERROR(INDEX(Unified_Matrix!$A:$ZZ,ROW(A35),MATCH("Req_Position",Unified_Matrix!$1:$1,0)),"")</f>
        <v/>
      </c>
      <c r="N38" s="13">
        <f t="array" ref="N38">IFERROR(INDEX(Unified_Matrix!$A:$ZZ,ROW(A35),MATCH("Req_OVR_Max",Unified_Matrix!$1:$1,0)),"")</f>
        <v/>
      </c>
      <c r="O38" s="25">
        <f t="array" ref="O38">IFERROR(INDEX(Unified_Matrix!$A:$ZZ,ROW(A35),MATCH("Req_Other",Unified_Matrix!$1:$1,0)),"")</f>
        <v/>
      </c>
    </row>
    <row r="39" ht="68.25" customHeight="1">
      <c r="H39" s="13">
        <f t="array" ref="H39">IFERROR(INDEX(Unified_Matrix!$A:$ZZ,ROW(A36),MATCH("Max "&amp;$H$3,Unified_Matrix!$1:$1,0)),"")</f>
        <v/>
      </c>
      <c r="I39" s="25">
        <f t="array" ref="I39">IFERROR(INDEX(Unified_Matrix!$A:$ZZ,ROW(A36),MATCH("Evolution_Name",Unified_Matrix!$1:$1,0)),"")</f>
        <v/>
      </c>
      <c r="J39" s="13">
        <f>IF(H39="","",IF(H39=0,"",IF(H39=$Z$32,1,IF(H39=$Z$33,2,IF(H39=$Z$34,3,"")))))</f>
        <v/>
      </c>
      <c r="K39" s="13">
        <f t="array" ref="K39">IFERROR(INDEX(Unified_Matrix!$A:$ZZ,ROW(A36),MATCH("+ OVR",Unified_Matrix!$1:$1,0)),"")</f>
        <v/>
      </c>
      <c r="L39" s="13">
        <f t="array" ref="L39">IFERROR(INDEX(Unified_Matrix!$A:$ZZ,ROW(A36),MATCH("Max OVR",Unified_Matrix!$1:$1,0)),"")</f>
        <v/>
      </c>
      <c r="M39" s="13">
        <f t="array" ref="M39">IFERROR(INDEX(Unified_Matrix!$A:$ZZ,ROW(A36),MATCH("Req_Position",Unified_Matrix!$1:$1,0)),"")</f>
        <v/>
      </c>
      <c r="N39" s="13">
        <f t="array" ref="N39">IFERROR(INDEX(Unified_Matrix!$A:$ZZ,ROW(A36),MATCH("Req_OVR_Max",Unified_Matrix!$1:$1,0)),"")</f>
        <v/>
      </c>
      <c r="O39" s="25">
        <f t="array" ref="O39">IFERROR(INDEX(Unified_Matrix!$A:$ZZ,ROW(A36),MATCH("Req_Other",Unified_Matrix!$1:$1,0)),"")</f>
        <v/>
      </c>
    </row>
    <row r="40" ht="68.25" customHeight="1">
      <c r="H40" s="13">
        <f t="array" ref="H40">IFERROR(INDEX(Unified_Matrix!$A:$ZZ,ROW(A37),MATCH("Max "&amp;$H$3,Unified_Matrix!$1:$1,0)),"")</f>
        <v/>
      </c>
      <c r="I40" s="25">
        <f t="array" ref="I40">IFERROR(INDEX(Unified_Matrix!$A:$ZZ,ROW(A37),MATCH("Evolution_Name",Unified_Matrix!$1:$1,0)),"")</f>
        <v/>
      </c>
      <c r="J40" s="13">
        <f>IF(H40="","",IF(H40=0,"",IF(H40=$Z$32,1,IF(H40=$Z$33,2,IF(H40=$Z$34,3,"")))))</f>
        <v/>
      </c>
      <c r="K40" s="13">
        <f t="array" ref="K40">IFERROR(INDEX(Unified_Matrix!$A:$ZZ,ROW(A37),MATCH("+ OVR",Unified_Matrix!$1:$1,0)),"")</f>
        <v/>
      </c>
      <c r="L40" s="13">
        <f t="array" ref="L40">IFERROR(INDEX(Unified_Matrix!$A:$ZZ,ROW(A37),MATCH("Max OVR",Unified_Matrix!$1:$1,0)),"")</f>
        <v/>
      </c>
      <c r="M40" s="13">
        <f t="array" ref="M40">IFERROR(INDEX(Unified_Matrix!$A:$ZZ,ROW(A37),MATCH("Req_Position",Unified_Matrix!$1:$1,0)),"")</f>
        <v/>
      </c>
      <c r="N40" s="13">
        <f t="array" ref="N40">IFERROR(INDEX(Unified_Matrix!$A:$ZZ,ROW(A37),MATCH("Req_OVR_Max",Unified_Matrix!$1:$1,0)),"")</f>
        <v/>
      </c>
      <c r="O40" s="25">
        <f t="array" ref="O40">IFERROR(INDEX(Unified_Matrix!$A:$ZZ,ROW(A37),MATCH("Req_Other",Unified_Matrix!$1:$1,0)),"")</f>
        <v/>
      </c>
    </row>
    <row r="41" ht="68.25" customHeight="1">
      <c r="H41" s="13">
        <f t="array" ref="H41">IFERROR(INDEX(Unified_Matrix!$A:$ZZ,ROW(A38),MATCH("Max "&amp;$H$3,Unified_Matrix!$1:$1,0)),"")</f>
        <v/>
      </c>
      <c r="I41" s="25">
        <f t="array" ref="I41">IFERROR(INDEX(Unified_Matrix!$A:$ZZ,ROW(A38),MATCH("Evolution_Name",Unified_Matrix!$1:$1,0)),"")</f>
        <v/>
      </c>
      <c r="J41" s="13">
        <f>IF(H41="","",IF(H41=0,"",IF(H41=$Z$32,1,IF(H41=$Z$33,2,IF(H41=$Z$34,3,"")))))</f>
        <v/>
      </c>
      <c r="K41" s="13">
        <f t="array" ref="K41">IFERROR(INDEX(Unified_Matrix!$A:$ZZ,ROW(A38),MATCH("+ OVR",Unified_Matrix!$1:$1,0)),"")</f>
        <v/>
      </c>
      <c r="L41" s="13">
        <f t="array" ref="L41">IFERROR(INDEX(Unified_Matrix!$A:$ZZ,ROW(A38),MATCH("Max OVR",Unified_Matrix!$1:$1,0)),"")</f>
        <v/>
      </c>
      <c r="M41" s="13">
        <f t="array" ref="M41">IFERROR(INDEX(Unified_Matrix!$A:$ZZ,ROW(A38),MATCH("Req_Position",Unified_Matrix!$1:$1,0)),"")</f>
        <v/>
      </c>
      <c r="N41" s="13">
        <f t="array" ref="N41">IFERROR(INDEX(Unified_Matrix!$A:$ZZ,ROW(A38),MATCH("Req_OVR_Max",Unified_Matrix!$1:$1,0)),"")</f>
        <v/>
      </c>
      <c r="O41" s="25">
        <f t="array" ref="O41">IFERROR(INDEX(Unified_Matrix!$A:$ZZ,ROW(A38),MATCH("Req_Other",Unified_Matrix!$1:$1,0)),"")</f>
        <v/>
      </c>
    </row>
    <row r="42" ht="68.25" customHeight="1">
      <c r="H42" s="13">
        <f t="array" ref="H42">IFERROR(INDEX(Unified_Matrix!$A:$ZZ,ROW(A39),MATCH("Max "&amp;$H$3,Unified_Matrix!$1:$1,0)),"")</f>
        <v/>
      </c>
      <c r="I42" s="25">
        <f t="array" ref="I42">IFERROR(INDEX(Unified_Matrix!$A:$ZZ,ROW(A39),MATCH("Evolution_Name",Unified_Matrix!$1:$1,0)),"")</f>
        <v/>
      </c>
      <c r="J42" s="13">
        <f>IF(H42="","",IF(H42=0,"",IF(H42=$Z$32,1,IF(H42=$Z$33,2,IF(H42=$Z$34,3,"")))))</f>
        <v/>
      </c>
      <c r="K42" s="13">
        <f t="array" ref="K42">IFERROR(INDEX(Unified_Matrix!$A:$ZZ,ROW(A39),MATCH("+ OVR",Unified_Matrix!$1:$1,0)),"")</f>
        <v/>
      </c>
      <c r="L42" s="13">
        <f t="array" ref="L42">IFERROR(INDEX(Unified_Matrix!$A:$ZZ,ROW(A39),MATCH("Max OVR",Unified_Matrix!$1:$1,0)),"")</f>
        <v/>
      </c>
      <c r="M42" s="13">
        <f t="array" ref="M42">IFERROR(INDEX(Unified_Matrix!$A:$ZZ,ROW(A39),MATCH("Req_Position",Unified_Matrix!$1:$1,0)),"")</f>
        <v/>
      </c>
      <c r="N42" s="13">
        <f t="array" ref="N42">IFERROR(INDEX(Unified_Matrix!$A:$ZZ,ROW(A39),MATCH("Req_OVR_Max",Unified_Matrix!$1:$1,0)),"")</f>
        <v/>
      </c>
      <c r="O42" s="25">
        <f t="array" ref="O42">IFERROR(INDEX(Unified_Matrix!$A:$ZZ,ROW(A39),MATCH("Req_Other",Unified_Matrix!$1:$1,0)),"")</f>
        <v/>
      </c>
    </row>
    <row r="43" ht="68.25" customHeight="1">
      <c r="H43" s="13">
        <f t="array" ref="H43">IFERROR(INDEX(Unified_Matrix!$A:$ZZ,ROW(A40),MATCH("Max "&amp;$H$3,Unified_Matrix!$1:$1,0)),"")</f>
        <v/>
      </c>
      <c r="I43" s="25">
        <f t="array" ref="I43">IFERROR(INDEX(Unified_Matrix!$A:$ZZ,ROW(A40),MATCH("Evolution_Name",Unified_Matrix!$1:$1,0)),"")</f>
        <v/>
      </c>
      <c r="J43" s="13">
        <f>IF(H43="","",IF(H43=0,"",IF(H43=$Z$32,1,IF(H43=$Z$33,2,IF(H43=$Z$34,3,"")))))</f>
        <v/>
      </c>
      <c r="K43" s="13">
        <f t="array" ref="K43">IFERROR(INDEX(Unified_Matrix!$A:$ZZ,ROW(A40),MATCH("+ OVR",Unified_Matrix!$1:$1,0)),"")</f>
        <v/>
      </c>
      <c r="L43" s="13">
        <f t="array" ref="L43">IFERROR(INDEX(Unified_Matrix!$A:$ZZ,ROW(A40),MATCH("Max OVR",Unified_Matrix!$1:$1,0)),"")</f>
        <v/>
      </c>
      <c r="M43" s="13">
        <f t="array" ref="M43">IFERROR(INDEX(Unified_Matrix!$A:$ZZ,ROW(A40),MATCH("Req_Position",Unified_Matrix!$1:$1,0)),"")</f>
        <v/>
      </c>
      <c r="N43" s="13">
        <f t="array" ref="N43">IFERROR(INDEX(Unified_Matrix!$A:$ZZ,ROW(A40),MATCH("Req_OVR_Max",Unified_Matrix!$1:$1,0)),"")</f>
        <v/>
      </c>
      <c r="O43" s="25">
        <f t="array" ref="O43">IFERROR(INDEX(Unified_Matrix!$A:$ZZ,ROW(A40),MATCH("Req_Other",Unified_Matrix!$1:$1,0)),"")</f>
        <v/>
      </c>
    </row>
    <row r="44" ht="68.25" customHeight="1">
      <c r="H44" s="13">
        <f t="array" ref="H44">IFERROR(INDEX(Unified_Matrix!$A:$ZZ,ROW(A41),MATCH("Max "&amp;$H$3,Unified_Matrix!$1:$1,0)),"")</f>
        <v/>
      </c>
      <c r="I44" s="25">
        <f t="array" ref="I44">IFERROR(INDEX(Unified_Matrix!$A:$ZZ,ROW(A41),MATCH("Evolution_Name",Unified_Matrix!$1:$1,0)),"")</f>
        <v/>
      </c>
      <c r="J44" s="13">
        <f>IF(H44="","",IF(H44=0,"",IF(H44=$Z$32,1,IF(H44=$Z$33,2,IF(H44=$Z$34,3,"")))))</f>
        <v/>
      </c>
      <c r="K44" s="13">
        <f t="array" ref="K44">IFERROR(INDEX(Unified_Matrix!$A:$ZZ,ROW(A41),MATCH("+ OVR",Unified_Matrix!$1:$1,0)),"")</f>
        <v/>
      </c>
      <c r="L44" s="13">
        <f t="array" ref="L44">IFERROR(INDEX(Unified_Matrix!$A:$ZZ,ROW(A41),MATCH("Max OVR",Unified_Matrix!$1:$1,0)),"")</f>
        <v/>
      </c>
      <c r="M44" s="13">
        <f t="array" ref="M44">IFERROR(INDEX(Unified_Matrix!$A:$ZZ,ROW(A41),MATCH("Req_Position",Unified_Matrix!$1:$1,0)),"")</f>
        <v/>
      </c>
      <c r="N44" s="13">
        <f t="array" ref="N44">IFERROR(INDEX(Unified_Matrix!$A:$ZZ,ROW(A41),MATCH("Req_OVR_Max",Unified_Matrix!$1:$1,0)),"")</f>
        <v/>
      </c>
      <c r="O44" s="25">
        <f t="array" ref="O44">IFERROR(INDEX(Unified_Matrix!$A:$ZZ,ROW(A41),MATCH("Req_Other",Unified_Matrix!$1:$1,0)),"")</f>
        <v/>
      </c>
    </row>
    <row r="45" ht="68.25" customHeight="1">
      <c r="H45" s="13">
        <f t="array" ref="H45">IFERROR(INDEX(Unified_Matrix!$A:$ZZ,ROW(A42),MATCH("Max "&amp;$H$3,Unified_Matrix!$1:$1,0)),"")</f>
        <v/>
      </c>
      <c r="I45" s="25">
        <f t="array" ref="I45">IFERROR(INDEX(Unified_Matrix!$A:$ZZ,ROW(A42),MATCH("Evolution_Name",Unified_Matrix!$1:$1,0)),"")</f>
        <v/>
      </c>
      <c r="J45" s="13">
        <f>IF(H45="","",IF(H45=0,"",IF(H45=$Z$32,1,IF(H45=$Z$33,2,IF(H45=$Z$34,3,"")))))</f>
        <v/>
      </c>
      <c r="K45" s="13">
        <f t="array" ref="K45">IFERROR(INDEX(Unified_Matrix!$A:$ZZ,ROW(A42),MATCH("+ OVR",Unified_Matrix!$1:$1,0)),"")</f>
        <v/>
      </c>
      <c r="L45" s="13">
        <f t="array" ref="L45">IFERROR(INDEX(Unified_Matrix!$A:$ZZ,ROW(A42),MATCH("Max OVR",Unified_Matrix!$1:$1,0)),"")</f>
        <v/>
      </c>
      <c r="M45" s="13">
        <f t="array" ref="M45">IFERROR(INDEX(Unified_Matrix!$A:$ZZ,ROW(A42),MATCH("Req_Position",Unified_Matrix!$1:$1,0)),"")</f>
        <v/>
      </c>
      <c r="N45" s="13">
        <f t="array" ref="N45">IFERROR(INDEX(Unified_Matrix!$A:$ZZ,ROW(A42),MATCH("Req_OVR_Max",Unified_Matrix!$1:$1,0)),"")</f>
        <v/>
      </c>
      <c r="O45" s="25">
        <f t="array" ref="O45">IFERROR(INDEX(Unified_Matrix!$A:$ZZ,ROW(A42),MATCH("Req_Other",Unified_Matrix!$1:$1,0)),"")</f>
        <v/>
      </c>
    </row>
    <row r="46" ht="68.25" customHeight="1">
      <c r="H46" s="13">
        <f t="array" ref="H46">IFERROR(INDEX(Unified_Matrix!$A:$ZZ,ROW(A43),MATCH("Max "&amp;$H$3,Unified_Matrix!$1:$1,0)),"")</f>
        <v/>
      </c>
      <c r="I46" s="25">
        <f t="array" ref="I46">IFERROR(INDEX(Unified_Matrix!$A:$ZZ,ROW(A43),MATCH("Evolution_Name",Unified_Matrix!$1:$1,0)),"")</f>
        <v/>
      </c>
      <c r="J46" s="13">
        <f>IF(H46="","",IF(H46=0,"",IF(H46=$Z$32,1,IF(H46=$Z$33,2,IF(H46=$Z$34,3,"")))))</f>
        <v/>
      </c>
      <c r="K46" s="13">
        <f t="array" ref="K46">IFERROR(INDEX(Unified_Matrix!$A:$ZZ,ROW(A43),MATCH("+ OVR",Unified_Matrix!$1:$1,0)),"")</f>
        <v/>
      </c>
      <c r="L46" s="13">
        <f t="array" ref="L46">IFERROR(INDEX(Unified_Matrix!$A:$ZZ,ROW(A43),MATCH("Max OVR",Unified_Matrix!$1:$1,0)),"")</f>
        <v/>
      </c>
      <c r="M46" s="13">
        <f t="array" ref="M46">IFERROR(INDEX(Unified_Matrix!$A:$ZZ,ROW(A43),MATCH("Req_Position",Unified_Matrix!$1:$1,0)),"")</f>
        <v/>
      </c>
      <c r="N46" s="13">
        <f t="array" ref="N46">IFERROR(INDEX(Unified_Matrix!$A:$ZZ,ROW(A43),MATCH("Req_OVR_Max",Unified_Matrix!$1:$1,0)),"")</f>
        <v/>
      </c>
      <c r="O46" s="25">
        <f t="array" ref="O46">IFERROR(INDEX(Unified_Matrix!$A:$ZZ,ROW(A43),MATCH("Req_Other",Unified_Matrix!$1:$1,0)),"")</f>
        <v/>
      </c>
    </row>
    <row r="47" ht="68.25" customHeight="1">
      <c r="H47" s="13">
        <f t="array" ref="H47">IFERROR(INDEX(Unified_Matrix!$A:$ZZ,ROW(A44),MATCH("Max "&amp;$H$3,Unified_Matrix!$1:$1,0)),"")</f>
        <v/>
      </c>
      <c r="I47" s="25">
        <f t="array" ref="I47">IFERROR(INDEX(Unified_Matrix!$A:$ZZ,ROW(A44),MATCH("Evolution_Name",Unified_Matrix!$1:$1,0)),"")</f>
        <v/>
      </c>
      <c r="J47" s="13">
        <f>IF(H47="","",IF(H47=0,"",IF(H47=$Z$32,1,IF(H47=$Z$33,2,IF(H47=$Z$34,3,"")))))</f>
        <v/>
      </c>
      <c r="K47" s="13">
        <f t="array" ref="K47">IFERROR(INDEX(Unified_Matrix!$A:$ZZ,ROW(A44),MATCH("+ OVR",Unified_Matrix!$1:$1,0)),"")</f>
        <v/>
      </c>
      <c r="L47" s="13">
        <f t="array" ref="L47">IFERROR(INDEX(Unified_Matrix!$A:$ZZ,ROW(A44),MATCH("Max OVR",Unified_Matrix!$1:$1,0)),"")</f>
        <v/>
      </c>
      <c r="M47" s="13">
        <f t="array" ref="M47">IFERROR(INDEX(Unified_Matrix!$A:$ZZ,ROW(A44),MATCH("Req_Position",Unified_Matrix!$1:$1,0)),"")</f>
        <v/>
      </c>
      <c r="N47" s="13">
        <f t="array" ref="N47">IFERROR(INDEX(Unified_Matrix!$A:$ZZ,ROW(A44),MATCH("Req_OVR_Max",Unified_Matrix!$1:$1,0)),"")</f>
        <v/>
      </c>
      <c r="O47" s="25">
        <f t="array" ref="O47">IFERROR(INDEX(Unified_Matrix!$A:$ZZ,ROW(A44),MATCH("Req_Other",Unified_Matrix!$1:$1,0)),"")</f>
        <v/>
      </c>
    </row>
    <row r="48" ht="68.25" customHeight="1">
      <c r="H48" s="13">
        <f t="array" ref="H48">IFERROR(INDEX(Unified_Matrix!$A:$ZZ,ROW(A45),MATCH("Max "&amp;$H$3,Unified_Matrix!$1:$1,0)),"")</f>
        <v/>
      </c>
      <c r="I48" s="25">
        <f t="array" ref="I48">IFERROR(INDEX(Unified_Matrix!$A:$ZZ,ROW(A45),MATCH("Evolution_Name",Unified_Matrix!$1:$1,0)),"")</f>
        <v/>
      </c>
      <c r="J48" s="13">
        <f>IF(H48="","",IF(H48=0,"",IF(H48=$Z$32,1,IF(H48=$Z$33,2,IF(H48=$Z$34,3,"")))))</f>
        <v/>
      </c>
      <c r="K48" s="13">
        <f t="array" ref="K48">IFERROR(INDEX(Unified_Matrix!$A:$ZZ,ROW(A45),MATCH("+ OVR",Unified_Matrix!$1:$1,0)),"")</f>
        <v/>
      </c>
      <c r="L48" s="13">
        <f t="array" ref="L48">IFERROR(INDEX(Unified_Matrix!$A:$ZZ,ROW(A45),MATCH("Max OVR",Unified_Matrix!$1:$1,0)),"")</f>
        <v/>
      </c>
      <c r="M48" s="13">
        <f t="array" ref="M48">IFERROR(INDEX(Unified_Matrix!$A:$ZZ,ROW(A45),MATCH("Req_Position",Unified_Matrix!$1:$1,0)),"")</f>
        <v/>
      </c>
      <c r="N48" s="13">
        <f t="array" ref="N48">IFERROR(INDEX(Unified_Matrix!$A:$ZZ,ROW(A45),MATCH("Req_OVR_Max",Unified_Matrix!$1:$1,0)),"")</f>
        <v/>
      </c>
      <c r="O48" s="25">
        <f t="array" ref="O48">IFERROR(INDEX(Unified_Matrix!$A:$ZZ,ROW(A45),MATCH("Req_Other",Unified_Matrix!$1:$1,0)),"")</f>
        <v/>
      </c>
    </row>
    <row r="49" ht="68.25" customHeight="1">
      <c r="H49" s="13">
        <f t="array" ref="H49">IFERROR(INDEX(Unified_Matrix!$A:$ZZ,ROW(A46),MATCH("Max "&amp;$H$3,Unified_Matrix!$1:$1,0)),"")</f>
        <v/>
      </c>
      <c r="I49" s="25">
        <f t="array" ref="I49">IFERROR(INDEX(Unified_Matrix!$A:$ZZ,ROW(A46),MATCH("Evolution_Name",Unified_Matrix!$1:$1,0)),"")</f>
        <v/>
      </c>
      <c r="J49" s="13">
        <f>IF(H49="","",IF(H49=0,"",IF(H49=$Z$32,1,IF(H49=$Z$33,2,IF(H49=$Z$34,3,"")))))</f>
        <v/>
      </c>
      <c r="K49" s="13">
        <f t="array" ref="K49">IFERROR(INDEX(Unified_Matrix!$A:$ZZ,ROW(A46),MATCH("+ OVR",Unified_Matrix!$1:$1,0)),"")</f>
        <v/>
      </c>
      <c r="L49" s="13">
        <f t="array" ref="L49">IFERROR(INDEX(Unified_Matrix!$A:$ZZ,ROW(A46),MATCH("Max OVR",Unified_Matrix!$1:$1,0)),"")</f>
        <v/>
      </c>
      <c r="M49" s="13">
        <f t="array" ref="M49">IFERROR(INDEX(Unified_Matrix!$A:$ZZ,ROW(A46),MATCH("Req_Position",Unified_Matrix!$1:$1,0)),"")</f>
        <v/>
      </c>
      <c r="N49" s="13">
        <f t="array" ref="N49">IFERROR(INDEX(Unified_Matrix!$A:$ZZ,ROW(A46),MATCH("Req_OVR_Max",Unified_Matrix!$1:$1,0)),"")</f>
        <v/>
      </c>
      <c r="O49" s="25">
        <f t="array" ref="O49">IFERROR(INDEX(Unified_Matrix!$A:$ZZ,ROW(A46),MATCH("Req_Other",Unified_Matrix!$1:$1,0)),"")</f>
        <v/>
      </c>
    </row>
    <row r="50" ht="68.25" customHeight="1">
      <c r="H50" s="13">
        <f t="array" ref="H50">IFERROR(INDEX(Unified_Matrix!$A:$ZZ,ROW(A47),MATCH("Max "&amp;$H$3,Unified_Matrix!$1:$1,0)),"")</f>
        <v/>
      </c>
      <c r="I50" s="25">
        <f t="array" ref="I50">IFERROR(INDEX(Unified_Matrix!$A:$ZZ,ROW(A47),MATCH("Evolution_Name",Unified_Matrix!$1:$1,0)),"")</f>
        <v/>
      </c>
      <c r="J50" s="13">
        <f>IF(H50="","",IF(H50=0,"",IF(H50=$Z$32,1,IF(H50=$Z$33,2,IF(H50=$Z$34,3,"")))))</f>
        <v/>
      </c>
      <c r="K50" s="13">
        <f t="array" ref="K50">IFERROR(INDEX(Unified_Matrix!$A:$ZZ,ROW(A47),MATCH("+ OVR",Unified_Matrix!$1:$1,0)),"")</f>
        <v/>
      </c>
      <c r="L50" s="13">
        <f t="array" ref="L50">IFERROR(INDEX(Unified_Matrix!$A:$ZZ,ROW(A47),MATCH("Max OVR",Unified_Matrix!$1:$1,0)),"")</f>
        <v/>
      </c>
      <c r="M50" s="13">
        <f t="array" ref="M50">IFERROR(INDEX(Unified_Matrix!$A:$ZZ,ROW(A47),MATCH("Req_Position",Unified_Matrix!$1:$1,0)),"")</f>
        <v/>
      </c>
      <c r="N50" s="13">
        <f t="array" ref="N50">IFERROR(INDEX(Unified_Matrix!$A:$ZZ,ROW(A47),MATCH("Req_OVR_Max",Unified_Matrix!$1:$1,0)),"")</f>
        <v/>
      </c>
      <c r="O50" s="25">
        <f t="array" ref="O50">IFERROR(INDEX(Unified_Matrix!$A:$ZZ,ROW(A47),MATCH("Req_Other",Unified_Matrix!$1:$1,0)),"")</f>
        <v/>
      </c>
    </row>
    <row r="51" ht="68.25" customHeight="1">
      <c r="H51" s="13">
        <f t="array" ref="H51">IFERROR(INDEX(Unified_Matrix!$A:$ZZ,ROW(A48),MATCH("Max "&amp;$H$3,Unified_Matrix!$1:$1,0)),"")</f>
        <v/>
      </c>
      <c r="I51" s="25">
        <f t="array" ref="I51">IFERROR(INDEX(Unified_Matrix!$A:$ZZ,ROW(A48),MATCH("Evolution_Name",Unified_Matrix!$1:$1,0)),"")</f>
        <v/>
      </c>
      <c r="J51" s="13">
        <f>IF(H51="","",IF(H51=0,"",IF(H51=$Z$32,1,IF(H51=$Z$33,2,IF(H51=$Z$34,3,"")))))</f>
        <v/>
      </c>
      <c r="K51" s="13">
        <f t="array" ref="K51">IFERROR(INDEX(Unified_Matrix!$A:$ZZ,ROW(A48),MATCH("+ OVR",Unified_Matrix!$1:$1,0)),"")</f>
        <v/>
      </c>
      <c r="L51" s="13">
        <f t="array" ref="L51">IFERROR(INDEX(Unified_Matrix!$A:$ZZ,ROW(A48),MATCH("Max OVR",Unified_Matrix!$1:$1,0)),"")</f>
        <v/>
      </c>
      <c r="M51" s="13">
        <f t="array" ref="M51">IFERROR(INDEX(Unified_Matrix!$A:$ZZ,ROW(A48),MATCH("Req_Position",Unified_Matrix!$1:$1,0)),"")</f>
        <v/>
      </c>
      <c r="N51" s="13">
        <f t="array" ref="N51">IFERROR(INDEX(Unified_Matrix!$A:$ZZ,ROW(A48),MATCH("Req_OVR_Max",Unified_Matrix!$1:$1,0)),"")</f>
        <v/>
      </c>
      <c r="O51" s="25">
        <f t="array" ref="O51">IFERROR(INDEX(Unified_Matrix!$A:$ZZ,ROW(A48),MATCH("Req_Other",Unified_Matrix!$1:$1,0)),"")</f>
        <v/>
      </c>
    </row>
    <row r="52" ht="68.25" customHeight="1">
      <c r="H52" s="13">
        <f t="array" ref="H52">IFERROR(INDEX(Unified_Matrix!$A:$ZZ,ROW(A49),MATCH("Max "&amp;$H$3,Unified_Matrix!$1:$1,0)),"")</f>
        <v/>
      </c>
      <c r="I52" s="25">
        <f t="array" ref="I52">IFERROR(INDEX(Unified_Matrix!$A:$ZZ,ROW(A49),MATCH("Evolution_Name",Unified_Matrix!$1:$1,0)),"")</f>
        <v/>
      </c>
      <c r="J52" s="13">
        <f>IF(H52="","",IF(H52=0,"",IF(H52=$Z$32,1,IF(H52=$Z$33,2,IF(H52=$Z$34,3,"")))))</f>
        <v/>
      </c>
      <c r="K52" s="13">
        <f t="array" ref="K52">IFERROR(INDEX(Unified_Matrix!$A:$ZZ,ROW(A49),MATCH("+ OVR",Unified_Matrix!$1:$1,0)),"")</f>
        <v/>
      </c>
      <c r="L52" s="13">
        <f t="array" ref="L52">IFERROR(INDEX(Unified_Matrix!$A:$ZZ,ROW(A49),MATCH("Max OVR",Unified_Matrix!$1:$1,0)),"")</f>
        <v/>
      </c>
      <c r="M52" s="13">
        <f t="array" ref="M52">IFERROR(INDEX(Unified_Matrix!$A:$ZZ,ROW(A49),MATCH("Req_Position",Unified_Matrix!$1:$1,0)),"")</f>
        <v/>
      </c>
      <c r="N52" s="13">
        <f t="array" ref="N52">IFERROR(INDEX(Unified_Matrix!$A:$ZZ,ROW(A49),MATCH("Req_OVR_Max",Unified_Matrix!$1:$1,0)),"")</f>
        <v/>
      </c>
      <c r="O52" s="25">
        <f t="array" ref="O52">IFERROR(INDEX(Unified_Matrix!$A:$ZZ,ROW(A49),MATCH("Req_Other",Unified_Matrix!$1:$1,0)),"")</f>
        <v/>
      </c>
    </row>
    <row r="53" ht="68.25" customHeight="1">
      <c r="H53" s="13">
        <f t="array" ref="H53">IFERROR(INDEX(Unified_Matrix!$A:$ZZ,ROW(A50),MATCH("Max "&amp;$H$3,Unified_Matrix!$1:$1,0)),"")</f>
        <v/>
      </c>
      <c r="I53" s="25">
        <f t="array" ref="I53">IFERROR(INDEX(Unified_Matrix!$A:$ZZ,ROW(A50),MATCH("Evolution_Name",Unified_Matrix!$1:$1,0)),"")</f>
        <v/>
      </c>
      <c r="J53" s="13">
        <f>IF(H53="","",IF(H53=0,"",IF(H53=$Z$32,1,IF(H53=$Z$33,2,IF(H53=$Z$34,3,"")))))</f>
        <v/>
      </c>
      <c r="K53" s="13">
        <f t="array" ref="K53">IFERROR(INDEX(Unified_Matrix!$A:$ZZ,ROW(A50),MATCH("+ OVR",Unified_Matrix!$1:$1,0)),"")</f>
        <v/>
      </c>
      <c r="L53" s="13">
        <f t="array" ref="L53">IFERROR(INDEX(Unified_Matrix!$A:$ZZ,ROW(A50),MATCH("Max OVR",Unified_Matrix!$1:$1,0)),"")</f>
        <v/>
      </c>
      <c r="M53" s="13">
        <f t="array" ref="M53">IFERROR(INDEX(Unified_Matrix!$A:$ZZ,ROW(A50),MATCH("Req_Position",Unified_Matrix!$1:$1,0)),"")</f>
        <v/>
      </c>
      <c r="N53" s="13">
        <f t="array" ref="N53">IFERROR(INDEX(Unified_Matrix!$A:$ZZ,ROW(A50),MATCH("Req_OVR_Max",Unified_Matrix!$1:$1,0)),"")</f>
        <v/>
      </c>
      <c r="O53" s="25">
        <f t="array" ref="O53">IFERROR(INDEX(Unified_Matrix!$A:$ZZ,ROW(A50),MATCH("Req_Other",Unified_Matrix!$1:$1,0)),"")</f>
        <v/>
      </c>
    </row>
    <row r="54" ht="68.25" customHeight="1">
      <c r="H54" s="13">
        <f t="array" ref="H54">IFERROR(INDEX(Unified_Matrix!$A:$ZZ,ROW(A51),MATCH("Max "&amp;$H$3,Unified_Matrix!$1:$1,0)),"")</f>
        <v/>
      </c>
      <c r="I54" s="25">
        <f t="array" ref="I54">IFERROR(INDEX(Unified_Matrix!$A:$ZZ,ROW(A51),MATCH("Evolution_Name",Unified_Matrix!$1:$1,0)),"")</f>
        <v/>
      </c>
      <c r="J54" s="13">
        <f>IF(H54="","",IF(H54=0,"",IF(H54=$Z$32,1,IF(H54=$Z$33,2,IF(H54=$Z$34,3,"")))))</f>
        <v/>
      </c>
      <c r="K54" s="13">
        <f t="array" ref="K54">IFERROR(INDEX(Unified_Matrix!$A:$ZZ,ROW(A51),MATCH("+ OVR",Unified_Matrix!$1:$1,0)),"")</f>
        <v/>
      </c>
      <c r="L54" s="13">
        <f t="array" ref="L54">IFERROR(INDEX(Unified_Matrix!$A:$ZZ,ROW(A51),MATCH("Max OVR",Unified_Matrix!$1:$1,0)),"")</f>
        <v/>
      </c>
      <c r="M54" s="13">
        <f t="array" ref="M54">IFERROR(INDEX(Unified_Matrix!$A:$ZZ,ROW(A51),MATCH("Req_Position",Unified_Matrix!$1:$1,0)),"")</f>
        <v/>
      </c>
      <c r="N54" s="13">
        <f t="array" ref="N54">IFERROR(INDEX(Unified_Matrix!$A:$ZZ,ROW(A51),MATCH("Req_OVR_Max",Unified_Matrix!$1:$1,0)),"")</f>
        <v/>
      </c>
      <c r="O54" s="25">
        <f t="array" ref="O54">IFERROR(INDEX(Unified_Matrix!$A:$ZZ,ROW(A51),MATCH("Req_Other",Unified_Matrix!$1:$1,0)),"")</f>
        <v/>
      </c>
    </row>
    <row r="55" ht="68.25" customHeight="1">
      <c r="H55" s="13">
        <f t="array" ref="H55">IFERROR(INDEX(Unified_Matrix!$A:$ZZ,ROW(A52),MATCH("Max "&amp;$H$3,Unified_Matrix!$1:$1,0)),"")</f>
        <v/>
      </c>
      <c r="I55" s="25">
        <f t="array" ref="I55">IFERROR(INDEX(Unified_Matrix!$A:$ZZ,ROW(A52),MATCH("Evolution_Name",Unified_Matrix!$1:$1,0)),"")</f>
        <v/>
      </c>
      <c r="J55" s="13">
        <f>IF(H55="","",IF(H55=0,"",IF(H55=$Z$32,1,IF(H55=$Z$33,2,IF(H55=$Z$34,3,"")))))</f>
        <v/>
      </c>
      <c r="K55" s="13">
        <f t="array" ref="K55">IFERROR(INDEX(Unified_Matrix!$A:$ZZ,ROW(A52),MATCH("+ OVR",Unified_Matrix!$1:$1,0)),"")</f>
        <v/>
      </c>
      <c r="L55" s="13">
        <f t="array" ref="L55">IFERROR(INDEX(Unified_Matrix!$A:$ZZ,ROW(A52),MATCH("Max OVR",Unified_Matrix!$1:$1,0)),"")</f>
        <v/>
      </c>
      <c r="M55" s="13">
        <f t="array" ref="M55">IFERROR(INDEX(Unified_Matrix!$A:$ZZ,ROW(A52),MATCH("Req_Position",Unified_Matrix!$1:$1,0)),"")</f>
        <v/>
      </c>
      <c r="N55" s="13">
        <f t="array" ref="N55">IFERROR(INDEX(Unified_Matrix!$A:$ZZ,ROW(A52),MATCH("Req_OVR_Max",Unified_Matrix!$1:$1,0)),"")</f>
        <v/>
      </c>
      <c r="O55" s="25">
        <f t="array" ref="O55">IFERROR(INDEX(Unified_Matrix!$A:$ZZ,ROW(A52),MATCH("Req_Other",Unified_Matrix!$1:$1,0)),"")</f>
        <v/>
      </c>
    </row>
    <row r="56" ht="68.25" customHeight="1">
      <c r="H56" s="13">
        <f t="array" ref="H56">IFERROR(INDEX(Unified_Matrix!$A:$ZZ,ROW(A53),MATCH("Max "&amp;$H$3,Unified_Matrix!$1:$1,0)),"")</f>
        <v/>
      </c>
      <c r="I56" s="25">
        <f t="array" ref="I56">IFERROR(INDEX(Unified_Matrix!$A:$ZZ,ROW(A53),MATCH("Evolution_Name",Unified_Matrix!$1:$1,0)),"")</f>
        <v/>
      </c>
      <c r="J56" s="13">
        <f>IF(H56="","",IF(H56=0,"",IF(H56=$Z$32,1,IF(H56=$Z$33,2,IF(H56=$Z$34,3,"")))))</f>
        <v/>
      </c>
      <c r="K56" s="13">
        <f t="array" ref="K56">IFERROR(INDEX(Unified_Matrix!$A:$ZZ,ROW(A53),MATCH("+ OVR",Unified_Matrix!$1:$1,0)),"")</f>
        <v/>
      </c>
      <c r="L56" s="13">
        <f t="array" ref="L56">IFERROR(INDEX(Unified_Matrix!$A:$ZZ,ROW(A53),MATCH("Max OVR",Unified_Matrix!$1:$1,0)),"")</f>
        <v/>
      </c>
      <c r="M56" s="13">
        <f t="array" ref="M56">IFERROR(INDEX(Unified_Matrix!$A:$ZZ,ROW(A53),MATCH("Req_Position",Unified_Matrix!$1:$1,0)),"")</f>
        <v/>
      </c>
      <c r="N56" s="13">
        <f t="array" ref="N56">IFERROR(INDEX(Unified_Matrix!$A:$ZZ,ROW(A53),MATCH("Req_OVR_Max",Unified_Matrix!$1:$1,0)),"")</f>
        <v/>
      </c>
      <c r="O56" s="25">
        <f t="array" ref="O56">IFERROR(INDEX(Unified_Matrix!$A:$ZZ,ROW(A53),MATCH("Req_Other",Unified_Matrix!$1:$1,0)),"")</f>
        <v/>
      </c>
    </row>
    <row r="57" ht="68.25" customHeight="1">
      <c r="H57" s="13">
        <f t="array" ref="H57">IFERROR(INDEX(Unified_Matrix!$A:$ZZ,ROW(A54),MATCH("Max "&amp;$H$3,Unified_Matrix!$1:$1,0)),"")</f>
        <v/>
      </c>
      <c r="I57" s="25">
        <f t="array" ref="I57">IFERROR(INDEX(Unified_Matrix!$A:$ZZ,ROW(A54),MATCH("Evolution_Name",Unified_Matrix!$1:$1,0)),"")</f>
        <v/>
      </c>
      <c r="J57" s="13">
        <f>IF(H57="","",IF(H57=0,"",IF(H57=$Z$32,1,IF(H57=$Z$33,2,IF(H57=$Z$34,3,"")))))</f>
        <v/>
      </c>
      <c r="K57" s="13">
        <f t="array" ref="K57">IFERROR(INDEX(Unified_Matrix!$A:$ZZ,ROW(A54),MATCH("+ OVR",Unified_Matrix!$1:$1,0)),"")</f>
        <v/>
      </c>
      <c r="L57" s="13">
        <f t="array" ref="L57">IFERROR(INDEX(Unified_Matrix!$A:$ZZ,ROW(A54),MATCH("Max OVR",Unified_Matrix!$1:$1,0)),"")</f>
        <v/>
      </c>
      <c r="M57" s="13">
        <f t="array" ref="M57">IFERROR(INDEX(Unified_Matrix!$A:$ZZ,ROW(A54),MATCH("Req_Position",Unified_Matrix!$1:$1,0)),"")</f>
        <v/>
      </c>
      <c r="N57" s="13">
        <f t="array" ref="N57">IFERROR(INDEX(Unified_Matrix!$A:$ZZ,ROW(A54),MATCH("Req_OVR_Max",Unified_Matrix!$1:$1,0)),"")</f>
        <v/>
      </c>
      <c r="O57" s="25">
        <f t="array" ref="O57">IFERROR(INDEX(Unified_Matrix!$A:$ZZ,ROW(A54),MATCH("Req_Other",Unified_Matrix!$1:$1,0)),"")</f>
        <v/>
      </c>
    </row>
    <row r="58" ht="68.25" customHeight="1">
      <c r="H58" s="13">
        <f t="array" ref="H58">IFERROR(INDEX(Unified_Matrix!$A:$ZZ,ROW(A55),MATCH("Max "&amp;$H$3,Unified_Matrix!$1:$1,0)),"")</f>
        <v/>
      </c>
      <c r="I58" s="25">
        <f t="array" ref="I58">IFERROR(INDEX(Unified_Matrix!$A:$ZZ,ROW(A55),MATCH("Evolution_Name",Unified_Matrix!$1:$1,0)),"")</f>
        <v/>
      </c>
      <c r="J58" s="13">
        <f>IF(H58="","",IF(H58=0,"",IF(H58=$Z$32,1,IF(H58=$Z$33,2,IF(H58=$Z$34,3,"")))))</f>
        <v/>
      </c>
      <c r="K58" s="13">
        <f t="array" ref="K58">IFERROR(INDEX(Unified_Matrix!$A:$ZZ,ROW(A55),MATCH("+ OVR",Unified_Matrix!$1:$1,0)),"")</f>
        <v/>
      </c>
      <c r="L58" s="13">
        <f t="array" ref="L58">IFERROR(INDEX(Unified_Matrix!$A:$ZZ,ROW(A55),MATCH("Max OVR",Unified_Matrix!$1:$1,0)),"")</f>
        <v/>
      </c>
      <c r="M58" s="13">
        <f t="array" ref="M58">IFERROR(INDEX(Unified_Matrix!$A:$ZZ,ROW(A55),MATCH("Req_Position",Unified_Matrix!$1:$1,0)),"")</f>
        <v/>
      </c>
      <c r="N58" s="13">
        <f t="array" ref="N58">IFERROR(INDEX(Unified_Matrix!$A:$ZZ,ROW(A55),MATCH("Req_OVR_Max",Unified_Matrix!$1:$1,0)),"")</f>
        <v/>
      </c>
      <c r="O58" s="25">
        <f t="array" ref="O58">IFERROR(INDEX(Unified_Matrix!$A:$ZZ,ROW(A55),MATCH("Req_Other",Unified_Matrix!$1:$1,0)),"")</f>
        <v/>
      </c>
    </row>
    <row r="59" ht="68.25" customHeight="1">
      <c r="H59" s="13">
        <f t="array" ref="H59">IFERROR(INDEX(Unified_Matrix!$A:$ZZ,ROW(A56),MATCH("Max "&amp;$H$3,Unified_Matrix!$1:$1,0)),"")</f>
        <v/>
      </c>
      <c r="I59" s="25">
        <f t="array" ref="I59">IFERROR(INDEX(Unified_Matrix!$A:$ZZ,ROW(A56),MATCH("Evolution_Name",Unified_Matrix!$1:$1,0)),"")</f>
        <v/>
      </c>
      <c r="J59" s="13">
        <f>IF(H59="","",IF(H59=0,"",IF(H59=$Z$32,1,IF(H59=$Z$33,2,IF(H59=$Z$34,3,"")))))</f>
        <v/>
      </c>
      <c r="K59" s="13">
        <f t="array" ref="K59">IFERROR(INDEX(Unified_Matrix!$A:$ZZ,ROW(A56),MATCH("+ OVR",Unified_Matrix!$1:$1,0)),"")</f>
        <v/>
      </c>
      <c r="L59" s="13">
        <f t="array" ref="L59">IFERROR(INDEX(Unified_Matrix!$A:$ZZ,ROW(A56),MATCH("Max OVR",Unified_Matrix!$1:$1,0)),"")</f>
        <v/>
      </c>
      <c r="M59" s="13">
        <f t="array" ref="M59">IFERROR(INDEX(Unified_Matrix!$A:$ZZ,ROW(A56),MATCH("Req_Position",Unified_Matrix!$1:$1,0)),"")</f>
        <v/>
      </c>
      <c r="N59" s="13">
        <f t="array" ref="N59">IFERROR(INDEX(Unified_Matrix!$A:$ZZ,ROW(A56),MATCH("Req_OVR_Max",Unified_Matrix!$1:$1,0)),"")</f>
        <v/>
      </c>
      <c r="O59" s="25">
        <f t="array" ref="O59">IFERROR(INDEX(Unified_Matrix!$A:$ZZ,ROW(A56),MATCH("Req_Other",Unified_Matrix!$1:$1,0)),"")</f>
        <v/>
      </c>
    </row>
    <row r="60" ht="68.25" customHeight="1">
      <c r="H60" s="13">
        <f t="array" ref="H60">IFERROR(INDEX(Unified_Matrix!$A:$ZZ,ROW(A57),MATCH("Max "&amp;$H$3,Unified_Matrix!$1:$1,0)),"")</f>
        <v/>
      </c>
      <c r="I60" s="25">
        <f t="array" ref="I60">IFERROR(INDEX(Unified_Matrix!$A:$ZZ,ROW(A57),MATCH("Evolution_Name",Unified_Matrix!$1:$1,0)),"")</f>
        <v/>
      </c>
      <c r="J60" s="13">
        <f>IF(H60="","",IF(H60=0,"",IF(H60=$Z$32,1,IF(H60=$Z$33,2,IF(H60=$Z$34,3,"")))))</f>
        <v/>
      </c>
      <c r="K60" s="13">
        <f t="array" ref="K60">IFERROR(INDEX(Unified_Matrix!$A:$ZZ,ROW(A57),MATCH("+ OVR",Unified_Matrix!$1:$1,0)),"")</f>
        <v/>
      </c>
      <c r="L60" s="13">
        <f t="array" ref="L60">IFERROR(INDEX(Unified_Matrix!$A:$ZZ,ROW(A57),MATCH("Max OVR",Unified_Matrix!$1:$1,0)),"")</f>
        <v/>
      </c>
      <c r="M60" s="13">
        <f t="array" ref="M60">IFERROR(INDEX(Unified_Matrix!$A:$ZZ,ROW(A57),MATCH("Req_Position",Unified_Matrix!$1:$1,0)),"")</f>
        <v/>
      </c>
      <c r="N60" s="13">
        <f t="array" ref="N60">IFERROR(INDEX(Unified_Matrix!$A:$ZZ,ROW(A57),MATCH("Req_OVR_Max",Unified_Matrix!$1:$1,0)),"")</f>
        <v/>
      </c>
      <c r="O60" s="25">
        <f t="array" ref="O60">IFERROR(INDEX(Unified_Matrix!$A:$ZZ,ROW(A57),MATCH("Req_Other",Unified_Matrix!$1:$1,0)),"")</f>
        <v/>
      </c>
    </row>
    <row r="61" ht="68.25" customHeight="1">
      <c r="H61" s="13">
        <f t="array" ref="H61">IFERROR(INDEX(Unified_Matrix!$A:$ZZ,ROW(A58),MATCH("Max "&amp;$H$3,Unified_Matrix!$1:$1,0)),"")</f>
        <v/>
      </c>
      <c r="I61" s="25">
        <f t="array" ref="I61">IFERROR(INDEX(Unified_Matrix!$A:$ZZ,ROW(A58),MATCH("Evolution_Name",Unified_Matrix!$1:$1,0)),"")</f>
        <v/>
      </c>
      <c r="J61" s="13">
        <f>IF(H61="","",IF(H61=0,"",IF(H61=$Z$32,1,IF(H61=$Z$33,2,IF(H61=$Z$34,3,"")))))</f>
        <v/>
      </c>
      <c r="K61" s="13">
        <f t="array" ref="K61">IFERROR(INDEX(Unified_Matrix!$A:$ZZ,ROW(A58),MATCH("+ OVR",Unified_Matrix!$1:$1,0)),"")</f>
        <v/>
      </c>
      <c r="L61" s="13">
        <f t="array" ref="L61">IFERROR(INDEX(Unified_Matrix!$A:$ZZ,ROW(A58),MATCH("Max OVR",Unified_Matrix!$1:$1,0)),"")</f>
        <v/>
      </c>
      <c r="M61" s="13">
        <f t="array" ref="M61">IFERROR(INDEX(Unified_Matrix!$A:$ZZ,ROW(A58),MATCH("Req_Position",Unified_Matrix!$1:$1,0)),"")</f>
        <v/>
      </c>
      <c r="N61" s="13">
        <f t="array" ref="N61">IFERROR(INDEX(Unified_Matrix!$A:$ZZ,ROW(A58),MATCH("Req_OVR_Max",Unified_Matrix!$1:$1,0)),"")</f>
        <v/>
      </c>
      <c r="O61" s="25">
        <f t="array" ref="O61">IFERROR(INDEX(Unified_Matrix!$A:$ZZ,ROW(A58),MATCH("Req_Other",Unified_Matrix!$1:$1,0)),"")</f>
        <v/>
      </c>
    </row>
    <row r="62" ht="68.25" customHeight="1">
      <c r="H62" s="13">
        <f t="array" ref="H62">IFERROR(INDEX(Unified_Matrix!$A:$ZZ,ROW(A59),MATCH("Max "&amp;$H$3,Unified_Matrix!$1:$1,0)),"")</f>
        <v/>
      </c>
      <c r="I62" s="25">
        <f t="array" ref="I62">IFERROR(INDEX(Unified_Matrix!$A:$ZZ,ROW(A59),MATCH("Evolution_Name",Unified_Matrix!$1:$1,0)),"")</f>
        <v/>
      </c>
      <c r="J62" s="13">
        <f>IF(H62="","",IF(H62=0,"",IF(H62=$Z$32,1,IF(H62=$Z$33,2,IF(H62=$Z$34,3,"")))))</f>
        <v/>
      </c>
      <c r="K62" s="13">
        <f t="array" ref="K62">IFERROR(INDEX(Unified_Matrix!$A:$ZZ,ROW(A59),MATCH("+ OVR",Unified_Matrix!$1:$1,0)),"")</f>
        <v/>
      </c>
      <c r="L62" s="13">
        <f t="array" ref="L62">IFERROR(INDEX(Unified_Matrix!$A:$ZZ,ROW(A59),MATCH("Max OVR",Unified_Matrix!$1:$1,0)),"")</f>
        <v/>
      </c>
      <c r="M62" s="13">
        <f t="array" ref="M62">IFERROR(INDEX(Unified_Matrix!$A:$ZZ,ROW(A59),MATCH("Req_Position",Unified_Matrix!$1:$1,0)),"")</f>
        <v/>
      </c>
      <c r="N62" s="13">
        <f t="array" ref="N62">IFERROR(INDEX(Unified_Matrix!$A:$ZZ,ROW(A59),MATCH("Req_OVR_Max",Unified_Matrix!$1:$1,0)),"")</f>
        <v/>
      </c>
      <c r="O62" s="25">
        <f t="array" ref="O62">IFERROR(INDEX(Unified_Matrix!$A:$ZZ,ROW(A59),MATCH("Req_Other",Unified_Matrix!$1:$1,0)),"")</f>
        <v/>
      </c>
    </row>
    <row r="63" ht="68.25" customHeight="1">
      <c r="H63" s="13">
        <f t="array" ref="H63">IFERROR(INDEX(Unified_Matrix!$A:$ZZ,ROW(A60),MATCH("Max "&amp;$H$3,Unified_Matrix!$1:$1,0)),"")</f>
        <v/>
      </c>
      <c r="I63" s="25">
        <f t="array" ref="I63">IFERROR(INDEX(Unified_Matrix!$A:$ZZ,ROW(A60),MATCH("Evolution_Name",Unified_Matrix!$1:$1,0)),"")</f>
        <v/>
      </c>
      <c r="J63" s="13">
        <f>IF(H63="","",IF(H63=0,"",IF(H63=$Z$32,1,IF(H63=$Z$33,2,IF(H63=$Z$34,3,"")))))</f>
        <v/>
      </c>
      <c r="K63" s="13">
        <f t="array" ref="K63">IFERROR(INDEX(Unified_Matrix!$A:$ZZ,ROW(A60),MATCH("+ OVR",Unified_Matrix!$1:$1,0)),"")</f>
        <v/>
      </c>
      <c r="L63" s="13">
        <f t="array" ref="L63">IFERROR(INDEX(Unified_Matrix!$A:$ZZ,ROW(A60),MATCH("Max OVR",Unified_Matrix!$1:$1,0)),"")</f>
        <v/>
      </c>
      <c r="M63" s="13">
        <f t="array" ref="M63">IFERROR(INDEX(Unified_Matrix!$A:$ZZ,ROW(A60),MATCH("Req_Position",Unified_Matrix!$1:$1,0)),"")</f>
        <v/>
      </c>
      <c r="N63" s="13">
        <f t="array" ref="N63">IFERROR(INDEX(Unified_Matrix!$A:$ZZ,ROW(A60),MATCH("Req_OVR_Max",Unified_Matrix!$1:$1,0)),"")</f>
        <v/>
      </c>
      <c r="O63" s="25">
        <f t="array" ref="O63">IFERROR(INDEX(Unified_Matrix!$A:$ZZ,ROW(A60),MATCH("Req_Other",Unified_Matrix!$1:$1,0)),"")</f>
        <v/>
      </c>
    </row>
    <row r="64" ht="68.25" customHeight="1">
      <c r="H64" s="13">
        <f t="array" ref="H64">IFERROR(INDEX(Unified_Matrix!$A:$ZZ,ROW(A61),MATCH("Max "&amp;$H$3,Unified_Matrix!$1:$1,0)),"")</f>
        <v/>
      </c>
      <c r="I64" s="25">
        <f t="array" ref="I64">IFERROR(INDEX(Unified_Matrix!$A:$ZZ,ROW(A61),MATCH("Evolution_Name",Unified_Matrix!$1:$1,0)),"")</f>
        <v/>
      </c>
      <c r="J64" s="13">
        <f>IF(H64="","",IF(H64=0,"",IF(H64=$Z$32,1,IF(H64=$Z$33,2,IF(H64=$Z$34,3,"")))))</f>
        <v/>
      </c>
      <c r="K64" s="13">
        <f t="array" ref="K64">IFERROR(INDEX(Unified_Matrix!$A:$ZZ,ROW(A61),MATCH("+ OVR",Unified_Matrix!$1:$1,0)),"")</f>
        <v/>
      </c>
      <c r="L64" s="13">
        <f t="array" ref="L64">IFERROR(INDEX(Unified_Matrix!$A:$ZZ,ROW(A61),MATCH("Max OVR",Unified_Matrix!$1:$1,0)),"")</f>
        <v/>
      </c>
      <c r="M64" s="13">
        <f t="array" ref="M64">IFERROR(INDEX(Unified_Matrix!$A:$ZZ,ROW(A61),MATCH("Req_Position",Unified_Matrix!$1:$1,0)),"")</f>
        <v/>
      </c>
      <c r="N64" s="13">
        <f t="array" ref="N64">IFERROR(INDEX(Unified_Matrix!$A:$ZZ,ROW(A61),MATCH("Req_OVR_Max",Unified_Matrix!$1:$1,0)),"")</f>
        <v/>
      </c>
      <c r="O64" s="25">
        <f t="array" ref="O64">IFERROR(INDEX(Unified_Matrix!$A:$ZZ,ROW(A61),MATCH("Req_Other",Unified_Matrix!$1:$1,0)),"")</f>
        <v/>
      </c>
    </row>
    <row r="65" ht="68.25" customHeight="1">
      <c r="H65" s="13">
        <f t="array" ref="H65">IFERROR(INDEX(Unified_Matrix!$A:$ZZ,ROW(A62),MATCH("Max "&amp;$H$3,Unified_Matrix!$1:$1,0)),"")</f>
        <v/>
      </c>
      <c r="I65" s="25">
        <f t="array" ref="I65">IFERROR(INDEX(Unified_Matrix!$A:$ZZ,ROW(A62),MATCH("Evolution_Name",Unified_Matrix!$1:$1,0)),"")</f>
        <v/>
      </c>
      <c r="J65" s="13">
        <f>IF(H65="","",IF(H65=0,"",IF(H65=$Z$32,1,IF(H65=$Z$33,2,IF(H65=$Z$34,3,"")))))</f>
        <v/>
      </c>
      <c r="K65" s="13">
        <f t="array" ref="K65">IFERROR(INDEX(Unified_Matrix!$A:$ZZ,ROW(A62),MATCH("+ OVR",Unified_Matrix!$1:$1,0)),"")</f>
        <v/>
      </c>
      <c r="L65" s="13">
        <f t="array" ref="L65">IFERROR(INDEX(Unified_Matrix!$A:$ZZ,ROW(A62),MATCH("Max OVR",Unified_Matrix!$1:$1,0)),"")</f>
        <v/>
      </c>
      <c r="M65" s="13">
        <f t="array" ref="M65">IFERROR(INDEX(Unified_Matrix!$A:$ZZ,ROW(A62),MATCH("Req_Position",Unified_Matrix!$1:$1,0)),"")</f>
        <v/>
      </c>
      <c r="N65" s="13">
        <f t="array" ref="N65">IFERROR(INDEX(Unified_Matrix!$A:$ZZ,ROW(A62),MATCH("Req_OVR_Max",Unified_Matrix!$1:$1,0)),"")</f>
        <v/>
      </c>
      <c r="O65" s="25">
        <f t="array" ref="O65">IFERROR(INDEX(Unified_Matrix!$A:$ZZ,ROW(A62),MATCH("Req_Other",Unified_Matrix!$1:$1,0)),"")</f>
        <v/>
      </c>
    </row>
    <row r="66" ht="68.25" customHeight="1">
      <c r="H66" s="13">
        <f t="array" ref="H66">IFERROR(INDEX(Unified_Matrix!$A:$ZZ,ROW(A63),MATCH("Max "&amp;$H$3,Unified_Matrix!$1:$1,0)),"")</f>
        <v/>
      </c>
      <c r="I66" s="25">
        <f t="array" ref="I66">IFERROR(INDEX(Unified_Matrix!$A:$ZZ,ROW(A63),MATCH("Evolution_Name",Unified_Matrix!$1:$1,0)),"")</f>
        <v/>
      </c>
      <c r="J66" s="13">
        <f>IF(H66="","",IF(H66=0,"",IF(H66=$Z$32,1,IF(H66=$Z$33,2,IF(H66=$Z$34,3,"")))))</f>
        <v/>
      </c>
      <c r="K66" s="13">
        <f t="array" ref="K66">IFERROR(INDEX(Unified_Matrix!$A:$ZZ,ROW(A63),MATCH("+ OVR",Unified_Matrix!$1:$1,0)),"")</f>
        <v/>
      </c>
      <c r="L66" s="13">
        <f t="array" ref="L66">IFERROR(INDEX(Unified_Matrix!$A:$ZZ,ROW(A63),MATCH("Max OVR",Unified_Matrix!$1:$1,0)),"")</f>
        <v/>
      </c>
      <c r="M66" s="13">
        <f t="array" ref="M66">IFERROR(INDEX(Unified_Matrix!$A:$ZZ,ROW(A63),MATCH("Req_Position",Unified_Matrix!$1:$1,0)),"")</f>
        <v/>
      </c>
      <c r="N66" s="13">
        <f t="array" ref="N66">IFERROR(INDEX(Unified_Matrix!$A:$ZZ,ROW(A63),MATCH("Req_OVR_Max",Unified_Matrix!$1:$1,0)),"")</f>
        <v/>
      </c>
      <c r="O66" s="25">
        <f t="array" ref="O66">IFERROR(INDEX(Unified_Matrix!$A:$ZZ,ROW(A63),MATCH("Req_Other",Unified_Matrix!$1:$1,0)),"")</f>
        <v/>
      </c>
    </row>
    <row r="67" ht="68.25" customHeight="1">
      <c r="H67" s="13">
        <f t="array" ref="H67">IFERROR(INDEX(Unified_Matrix!$A:$ZZ,ROW(A64),MATCH("Max "&amp;$H$3,Unified_Matrix!$1:$1,0)),"")</f>
        <v/>
      </c>
      <c r="I67" s="25">
        <f t="array" ref="I67">IFERROR(INDEX(Unified_Matrix!$A:$ZZ,ROW(A64),MATCH("Evolution_Name",Unified_Matrix!$1:$1,0)),"")</f>
        <v/>
      </c>
      <c r="J67" s="13">
        <f>IF(H67="","",IF(H67=0,"",IF(H67=$Z$32,1,IF(H67=$Z$33,2,IF(H67=$Z$34,3,"")))))</f>
        <v/>
      </c>
      <c r="K67" s="13">
        <f t="array" ref="K67">IFERROR(INDEX(Unified_Matrix!$A:$ZZ,ROW(A64),MATCH("+ OVR",Unified_Matrix!$1:$1,0)),"")</f>
        <v/>
      </c>
      <c r="L67" s="13">
        <f t="array" ref="L67">IFERROR(INDEX(Unified_Matrix!$A:$ZZ,ROW(A64),MATCH("Max OVR",Unified_Matrix!$1:$1,0)),"")</f>
        <v/>
      </c>
      <c r="M67" s="13">
        <f t="array" ref="M67">IFERROR(INDEX(Unified_Matrix!$A:$ZZ,ROW(A64),MATCH("Req_Position",Unified_Matrix!$1:$1,0)),"")</f>
        <v/>
      </c>
      <c r="N67" s="13">
        <f t="array" ref="N67">IFERROR(INDEX(Unified_Matrix!$A:$ZZ,ROW(A64),MATCH("Req_OVR_Max",Unified_Matrix!$1:$1,0)),"")</f>
        <v/>
      </c>
      <c r="O67" s="25">
        <f t="array" ref="O67">IFERROR(INDEX(Unified_Matrix!$A:$ZZ,ROW(A64),MATCH("Req_Other",Unified_Matrix!$1:$1,0)),"")</f>
        <v/>
      </c>
    </row>
    <row r="68" ht="68.25" customHeight="1">
      <c r="H68" s="13">
        <f t="array" ref="H68">IFERROR(INDEX(Unified_Matrix!$A:$ZZ,ROW(A65),MATCH("Max "&amp;$H$3,Unified_Matrix!$1:$1,0)),"")</f>
        <v/>
      </c>
      <c r="I68" s="25">
        <f t="array" ref="I68">IFERROR(INDEX(Unified_Matrix!$A:$ZZ,ROW(A65),MATCH("Evolution_Name",Unified_Matrix!$1:$1,0)),"")</f>
        <v/>
      </c>
      <c r="J68" s="13">
        <f>IF(H68="","",IF(H68=0,"",IF(H68=$Z$32,1,IF(H68=$Z$33,2,IF(H68=$Z$34,3,"")))))</f>
        <v/>
      </c>
      <c r="K68" s="13">
        <f t="array" ref="K68">IFERROR(INDEX(Unified_Matrix!$A:$ZZ,ROW(A65),MATCH("+ OVR",Unified_Matrix!$1:$1,0)),"")</f>
        <v/>
      </c>
      <c r="L68" s="13">
        <f t="array" ref="L68">IFERROR(INDEX(Unified_Matrix!$A:$ZZ,ROW(A65),MATCH("Max OVR",Unified_Matrix!$1:$1,0)),"")</f>
        <v/>
      </c>
      <c r="M68" s="13">
        <f t="array" ref="M68">IFERROR(INDEX(Unified_Matrix!$A:$ZZ,ROW(A65),MATCH("Req_Position",Unified_Matrix!$1:$1,0)),"")</f>
        <v/>
      </c>
      <c r="N68" s="13">
        <f t="array" ref="N68">IFERROR(INDEX(Unified_Matrix!$A:$ZZ,ROW(A65),MATCH("Req_OVR_Max",Unified_Matrix!$1:$1,0)),"")</f>
        <v/>
      </c>
      <c r="O68" s="25">
        <f t="array" ref="O68">IFERROR(INDEX(Unified_Matrix!$A:$ZZ,ROW(A65),MATCH("Req_Other",Unified_Matrix!$1:$1,0)),"")</f>
        <v/>
      </c>
    </row>
    <row r="69" ht="68.25" customHeight="1">
      <c r="H69" s="13">
        <f t="array" ref="H69">IFERROR(INDEX(Unified_Matrix!$A:$ZZ,ROW(A66),MATCH("Max "&amp;$H$3,Unified_Matrix!$1:$1,0)),"")</f>
        <v/>
      </c>
      <c r="I69" s="25">
        <f t="array" ref="I69">IFERROR(INDEX(Unified_Matrix!$A:$ZZ,ROW(A66),MATCH("Evolution_Name",Unified_Matrix!$1:$1,0)),"")</f>
        <v/>
      </c>
      <c r="J69" s="13">
        <f>IF(H69="","",IF(H69=0,"",IF(H69=$Z$32,1,IF(H69=$Z$33,2,IF(H69=$Z$34,3,"")))))</f>
        <v/>
      </c>
      <c r="K69" s="13">
        <f t="array" ref="K69">IFERROR(INDEX(Unified_Matrix!$A:$ZZ,ROW(A66),MATCH("+ OVR",Unified_Matrix!$1:$1,0)),"")</f>
        <v/>
      </c>
      <c r="L69" s="13">
        <f t="array" ref="L69">IFERROR(INDEX(Unified_Matrix!$A:$ZZ,ROW(A66),MATCH("Max OVR",Unified_Matrix!$1:$1,0)),"")</f>
        <v/>
      </c>
      <c r="M69" s="13">
        <f t="array" ref="M69">IFERROR(INDEX(Unified_Matrix!$A:$ZZ,ROW(A66),MATCH("Req_Position",Unified_Matrix!$1:$1,0)),"")</f>
        <v/>
      </c>
      <c r="N69" s="13">
        <f t="array" ref="N69">IFERROR(INDEX(Unified_Matrix!$A:$ZZ,ROW(A66),MATCH("Req_OVR_Max",Unified_Matrix!$1:$1,0)),"")</f>
        <v/>
      </c>
      <c r="O69" s="25">
        <f t="array" ref="O69">IFERROR(INDEX(Unified_Matrix!$A:$ZZ,ROW(A66),MATCH("Req_Other",Unified_Matrix!$1:$1,0)),"")</f>
        <v/>
      </c>
    </row>
    <row r="70" ht="68.25" customHeight="1">
      <c r="H70" s="13">
        <f t="array" ref="H70">IFERROR(INDEX(Unified_Matrix!$A:$ZZ,ROW(A67),MATCH("Max "&amp;$H$3,Unified_Matrix!$1:$1,0)),"")</f>
        <v/>
      </c>
      <c r="I70" s="25">
        <f t="array" ref="I70">IFERROR(INDEX(Unified_Matrix!$A:$ZZ,ROW(A67),MATCH("Evolution_Name",Unified_Matrix!$1:$1,0)),"")</f>
        <v/>
      </c>
      <c r="J70" s="13">
        <f>IF(H70="","",IF(H70=0,"",IF(H70=$Z$32,1,IF(H70=$Z$33,2,IF(H70=$Z$34,3,"")))))</f>
        <v/>
      </c>
      <c r="K70" s="13">
        <f t="array" ref="K70">IFERROR(INDEX(Unified_Matrix!$A:$ZZ,ROW(A67),MATCH("+ OVR",Unified_Matrix!$1:$1,0)),"")</f>
        <v/>
      </c>
      <c r="L70" s="13">
        <f t="array" ref="L70">IFERROR(INDEX(Unified_Matrix!$A:$ZZ,ROW(A67),MATCH("Max OVR",Unified_Matrix!$1:$1,0)),"")</f>
        <v/>
      </c>
      <c r="M70" s="13">
        <f t="array" ref="M70">IFERROR(INDEX(Unified_Matrix!$A:$ZZ,ROW(A67),MATCH("Req_Position",Unified_Matrix!$1:$1,0)),"")</f>
        <v/>
      </c>
      <c r="N70" s="13">
        <f t="array" ref="N70">IFERROR(INDEX(Unified_Matrix!$A:$ZZ,ROW(A67),MATCH("Req_OVR_Max",Unified_Matrix!$1:$1,0)),"")</f>
        <v/>
      </c>
      <c r="O70" s="25">
        <f t="array" ref="O70">IFERROR(INDEX(Unified_Matrix!$A:$ZZ,ROW(A67),MATCH("Req_Other",Unified_Matrix!$1:$1,0)),"")</f>
        <v/>
      </c>
    </row>
    <row r="71" ht="68.25" customHeight="1">
      <c r="H71" s="13">
        <f t="array" ref="H71">IFERROR(INDEX(Unified_Matrix!$A:$ZZ,ROW(A68),MATCH("Max "&amp;$H$3,Unified_Matrix!$1:$1,0)),"")</f>
        <v/>
      </c>
      <c r="I71" s="25">
        <f t="array" ref="I71">IFERROR(INDEX(Unified_Matrix!$A:$ZZ,ROW(A68),MATCH("Evolution_Name",Unified_Matrix!$1:$1,0)),"")</f>
        <v/>
      </c>
      <c r="J71" s="13">
        <f>IF(H71="","",IF(H71=0,"",IF(H71=$Z$32,1,IF(H71=$Z$33,2,IF(H71=$Z$34,3,"")))))</f>
        <v/>
      </c>
      <c r="K71" s="13">
        <f t="array" ref="K71">IFERROR(INDEX(Unified_Matrix!$A:$ZZ,ROW(A68),MATCH("+ OVR",Unified_Matrix!$1:$1,0)),"")</f>
        <v/>
      </c>
      <c r="L71" s="13">
        <f t="array" ref="L71">IFERROR(INDEX(Unified_Matrix!$A:$ZZ,ROW(A68),MATCH("Max OVR",Unified_Matrix!$1:$1,0)),"")</f>
        <v/>
      </c>
      <c r="M71" s="13">
        <f t="array" ref="M71">IFERROR(INDEX(Unified_Matrix!$A:$ZZ,ROW(A68),MATCH("Req_Position",Unified_Matrix!$1:$1,0)),"")</f>
        <v/>
      </c>
      <c r="N71" s="13">
        <f t="array" ref="N71">IFERROR(INDEX(Unified_Matrix!$A:$ZZ,ROW(A68),MATCH("Req_OVR_Max",Unified_Matrix!$1:$1,0)),"")</f>
        <v/>
      </c>
      <c r="O71" s="25">
        <f t="array" ref="O71">IFERROR(INDEX(Unified_Matrix!$A:$ZZ,ROW(A68),MATCH("Req_Other",Unified_Matrix!$1:$1,0)),"")</f>
        <v/>
      </c>
    </row>
    <row r="72" ht="68.25" customHeight="1">
      <c r="H72" s="13">
        <f t="array" ref="H72">IFERROR(INDEX(Unified_Matrix!$A:$ZZ,ROW(A69),MATCH("Max "&amp;$H$3,Unified_Matrix!$1:$1,0)),"")</f>
        <v/>
      </c>
      <c r="I72" s="25">
        <f t="array" ref="I72">IFERROR(INDEX(Unified_Matrix!$A:$ZZ,ROW(A69),MATCH("Evolution_Name",Unified_Matrix!$1:$1,0)),"")</f>
        <v/>
      </c>
      <c r="J72" s="13">
        <f>IF(H72="","",IF(H72=0,"",IF(H72=$Z$32,1,IF(H72=$Z$33,2,IF(H72=$Z$34,3,"")))))</f>
        <v/>
      </c>
      <c r="K72" s="13">
        <f t="array" ref="K72">IFERROR(INDEX(Unified_Matrix!$A:$ZZ,ROW(A69),MATCH("+ OVR",Unified_Matrix!$1:$1,0)),"")</f>
        <v/>
      </c>
      <c r="L72" s="13">
        <f t="array" ref="L72">IFERROR(INDEX(Unified_Matrix!$A:$ZZ,ROW(A69),MATCH("Max OVR",Unified_Matrix!$1:$1,0)),"")</f>
        <v/>
      </c>
      <c r="M72" s="13">
        <f t="array" ref="M72">IFERROR(INDEX(Unified_Matrix!$A:$ZZ,ROW(A69),MATCH("Req_Position",Unified_Matrix!$1:$1,0)),"")</f>
        <v/>
      </c>
      <c r="N72" s="13">
        <f t="array" ref="N72">IFERROR(INDEX(Unified_Matrix!$A:$ZZ,ROW(A69),MATCH("Req_OVR_Max",Unified_Matrix!$1:$1,0)),"")</f>
        <v/>
      </c>
      <c r="O72" s="25">
        <f t="array" ref="O72">IFERROR(INDEX(Unified_Matrix!$A:$ZZ,ROW(A69),MATCH("Req_Other",Unified_Matrix!$1:$1,0)),"")</f>
        <v/>
      </c>
    </row>
    <row r="73" ht="68.25" customHeight="1">
      <c r="H73" s="13">
        <f t="array" ref="H73">IFERROR(INDEX(Unified_Matrix!$A:$ZZ,ROW(A70),MATCH("Max "&amp;$H$3,Unified_Matrix!$1:$1,0)),"")</f>
        <v/>
      </c>
      <c r="I73" s="25">
        <f t="array" ref="I73">IFERROR(INDEX(Unified_Matrix!$A:$ZZ,ROW(A70),MATCH("Evolution_Name",Unified_Matrix!$1:$1,0)),"")</f>
        <v/>
      </c>
      <c r="J73" s="13">
        <f>IF(H73="","",IF(H73=0,"",IF(H73=$Z$32,1,IF(H73=$Z$33,2,IF(H73=$Z$34,3,"")))))</f>
        <v/>
      </c>
      <c r="K73" s="13">
        <f t="array" ref="K73">IFERROR(INDEX(Unified_Matrix!$A:$ZZ,ROW(A70),MATCH("+ OVR",Unified_Matrix!$1:$1,0)),"")</f>
        <v/>
      </c>
      <c r="L73" s="13">
        <f t="array" ref="L73">IFERROR(INDEX(Unified_Matrix!$A:$ZZ,ROW(A70),MATCH("Max OVR",Unified_Matrix!$1:$1,0)),"")</f>
        <v/>
      </c>
      <c r="M73" s="13">
        <f t="array" ref="M73">IFERROR(INDEX(Unified_Matrix!$A:$ZZ,ROW(A70),MATCH("Req_Position",Unified_Matrix!$1:$1,0)),"")</f>
        <v/>
      </c>
      <c r="N73" s="13">
        <f t="array" ref="N73">IFERROR(INDEX(Unified_Matrix!$A:$ZZ,ROW(A70),MATCH("Req_OVR_Max",Unified_Matrix!$1:$1,0)),"")</f>
        <v/>
      </c>
      <c r="O73" s="25">
        <f t="array" ref="O73">IFERROR(INDEX(Unified_Matrix!$A:$ZZ,ROW(A70),MATCH("Req_Other",Unified_Matrix!$1:$1,0)),"")</f>
        <v/>
      </c>
    </row>
    <row r="74" ht="68.25" customHeight="1">
      <c r="H74" s="13">
        <f t="array" ref="H74">IFERROR(INDEX(Unified_Matrix!$A:$ZZ,ROW(A71),MATCH("Max "&amp;$H$3,Unified_Matrix!$1:$1,0)),"")</f>
        <v/>
      </c>
      <c r="I74" s="25">
        <f t="array" ref="I74">IFERROR(INDEX(Unified_Matrix!$A:$ZZ,ROW(A71),MATCH("Evolution_Name",Unified_Matrix!$1:$1,0)),"")</f>
        <v/>
      </c>
      <c r="J74" s="13">
        <f>IF(H74="","",IF(H74=0,"",IF(H74=$Z$32,1,IF(H74=$Z$33,2,IF(H74=$Z$34,3,"")))))</f>
        <v/>
      </c>
      <c r="K74" s="13">
        <f t="array" ref="K74">IFERROR(INDEX(Unified_Matrix!$A:$ZZ,ROW(A71),MATCH("+ OVR",Unified_Matrix!$1:$1,0)),"")</f>
        <v/>
      </c>
      <c r="L74" s="13">
        <f t="array" ref="L74">IFERROR(INDEX(Unified_Matrix!$A:$ZZ,ROW(A71),MATCH("Max OVR",Unified_Matrix!$1:$1,0)),"")</f>
        <v/>
      </c>
      <c r="M74" s="13">
        <f t="array" ref="M74">IFERROR(INDEX(Unified_Matrix!$A:$ZZ,ROW(A71),MATCH("Req_Position",Unified_Matrix!$1:$1,0)),"")</f>
        <v/>
      </c>
      <c r="N74" s="13">
        <f t="array" ref="N74">IFERROR(INDEX(Unified_Matrix!$A:$ZZ,ROW(A71),MATCH("Req_OVR_Max",Unified_Matrix!$1:$1,0)),"")</f>
        <v/>
      </c>
      <c r="O74" s="25">
        <f t="array" ref="O74">IFERROR(INDEX(Unified_Matrix!$A:$ZZ,ROW(A71),MATCH("Req_Other",Unified_Matrix!$1:$1,0)),"")</f>
        <v/>
      </c>
    </row>
    <row r="75" ht="68.25" customHeight="1">
      <c r="H75" s="13">
        <f t="array" ref="H75">IFERROR(INDEX(Unified_Matrix!$A:$ZZ,ROW(A72),MATCH("Max "&amp;$H$3,Unified_Matrix!$1:$1,0)),"")</f>
        <v/>
      </c>
      <c r="I75" s="25">
        <f t="array" ref="I75">IFERROR(INDEX(Unified_Matrix!$A:$ZZ,ROW(A72),MATCH("Evolution_Name",Unified_Matrix!$1:$1,0)),"")</f>
        <v/>
      </c>
      <c r="J75" s="13">
        <f>IF(H75="","",IF(H75=0,"",IF(H75=$Z$32,1,IF(H75=$Z$33,2,IF(H75=$Z$34,3,"")))))</f>
        <v/>
      </c>
      <c r="K75" s="13">
        <f t="array" ref="K75">IFERROR(INDEX(Unified_Matrix!$A:$ZZ,ROW(A72),MATCH("+ OVR",Unified_Matrix!$1:$1,0)),"")</f>
        <v/>
      </c>
      <c r="L75" s="13">
        <f t="array" ref="L75">IFERROR(INDEX(Unified_Matrix!$A:$ZZ,ROW(A72),MATCH("Max OVR",Unified_Matrix!$1:$1,0)),"")</f>
        <v/>
      </c>
      <c r="M75" s="13">
        <f t="array" ref="M75">IFERROR(INDEX(Unified_Matrix!$A:$ZZ,ROW(A72),MATCH("Req_Position",Unified_Matrix!$1:$1,0)),"")</f>
        <v/>
      </c>
      <c r="N75" s="13">
        <f t="array" ref="N75">IFERROR(INDEX(Unified_Matrix!$A:$ZZ,ROW(A72),MATCH("Req_OVR_Max",Unified_Matrix!$1:$1,0)),"")</f>
        <v/>
      </c>
      <c r="O75" s="25">
        <f t="array" ref="O75">IFERROR(INDEX(Unified_Matrix!$A:$ZZ,ROW(A72),MATCH("Req_Other",Unified_Matrix!$1:$1,0)),"")</f>
        <v/>
      </c>
    </row>
    <row r="76" ht="68.25" customHeight="1">
      <c r="H76" s="13">
        <f t="array" ref="H76">IFERROR(INDEX(Unified_Matrix!$A:$ZZ,ROW(A73),MATCH("Max "&amp;$H$3,Unified_Matrix!$1:$1,0)),"")</f>
        <v/>
      </c>
      <c r="I76" s="25">
        <f t="array" ref="I76">IFERROR(INDEX(Unified_Matrix!$A:$ZZ,ROW(A73),MATCH("Evolution_Name",Unified_Matrix!$1:$1,0)),"")</f>
        <v/>
      </c>
      <c r="J76" s="13">
        <f>IF(H76="","",IF(H76=0,"",IF(H76=$Z$32,1,IF(H76=$Z$33,2,IF(H76=$Z$34,3,"")))))</f>
        <v/>
      </c>
      <c r="K76" s="13">
        <f t="array" ref="K76">IFERROR(INDEX(Unified_Matrix!$A:$ZZ,ROW(A73),MATCH("+ OVR",Unified_Matrix!$1:$1,0)),"")</f>
        <v/>
      </c>
      <c r="L76" s="13">
        <f t="array" ref="L76">IFERROR(INDEX(Unified_Matrix!$A:$ZZ,ROW(A73),MATCH("Max OVR",Unified_Matrix!$1:$1,0)),"")</f>
        <v/>
      </c>
      <c r="M76" s="13">
        <f t="array" ref="M76">IFERROR(INDEX(Unified_Matrix!$A:$ZZ,ROW(A73),MATCH("Req_Position",Unified_Matrix!$1:$1,0)),"")</f>
        <v/>
      </c>
      <c r="N76" s="13">
        <f t="array" ref="N76">IFERROR(INDEX(Unified_Matrix!$A:$ZZ,ROW(A73),MATCH("Req_OVR_Max",Unified_Matrix!$1:$1,0)),"")</f>
        <v/>
      </c>
      <c r="O76" s="25">
        <f t="array" ref="O76">IFERROR(INDEX(Unified_Matrix!$A:$ZZ,ROW(A73),MATCH("Req_Other",Unified_Matrix!$1:$1,0)),"")</f>
        <v/>
      </c>
    </row>
    <row r="77" ht="68.25" customHeight="1">
      <c r="H77" s="13">
        <f t="array" ref="H77">IFERROR(INDEX(Unified_Matrix!$A:$ZZ,ROW(A74),MATCH("Max "&amp;$H$3,Unified_Matrix!$1:$1,0)),"")</f>
        <v/>
      </c>
      <c r="I77" s="25">
        <f t="array" ref="I77">IFERROR(INDEX(Unified_Matrix!$A:$ZZ,ROW(A74),MATCH("Evolution_Name",Unified_Matrix!$1:$1,0)),"")</f>
        <v/>
      </c>
      <c r="J77" s="13">
        <f>IF(H77="","",IF(H77=0,"",IF(H77=$Z$32,1,IF(H77=$Z$33,2,IF(H77=$Z$34,3,"")))))</f>
        <v/>
      </c>
      <c r="K77" s="13">
        <f t="array" ref="K77">IFERROR(INDEX(Unified_Matrix!$A:$ZZ,ROW(A74),MATCH("+ OVR",Unified_Matrix!$1:$1,0)),"")</f>
        <v/>
      </c>
      <c r="L77" s="13">
        <f t="array" ref="L77">IFERROR(INDEX(Unified_Matrix!$A:$ZZ,ROW(A74),MATCH("Max OVR",Unified_Matrix!$1:$1,0)),"")</f>
        <v/>
      </c>
      <c r="M77" s="13">
        <f t="array" ref="M77">IFERROR(INDEX(Unified_Matrix!$A:$ZZ,ROW(A74),MATCH("Req_Position",Unified_Matrix!$1:$1,0)),"")</f>
        <v/>
      </c>
      <c r="N77" s="13">
        <f t="array" ref="N77">IFERROR(INDEX(Unified_Matrix!$A:$ZZ,ROW(A74),MATCH("Req_OVR_Max",Unified_Matrix!$1:$1,0)),"")</f>
        <v/>
      </c>
      <c r="O77" s="25">
        <f t="array" ref="O77">IFERROR(INDEX(Unified_Matrix!$A:$ZZ,ROW(A74),MATCH("Req_Other",Unified_Matrix!$1:$1,0)),"")</f>
        <v/>
      </c>
    </row>
    <row r="78" ht="68.25" customHeight="1">
      <c r="H78" s="13">
        <f t="array" ref="H78">IFERROR(INDEX(Unified_Matrix!$A:$ZZ,ROW(A75),MATCH("Max "&amp;$H$3,Unified_Matrix!$1:$1,0)),"")</f>
        <v/>
      </c>
      <c r="I78" s="25">
        <f t="array" ref="I78">IFERROR(INDEX(Unified_Matrix!$A:$ZZ,ROW(A75),MATCH("Evolution_Name",Unified_Matrix!$1:$1,0)),"")</f>
        <v/>
      </c>
      <c r="J78" s="13">
        <f>IF(H78="","",IF(H78=0,"",IF(H78=$Z$32,1,IF(H78=$Z$33,2,IF(H78=$Z$34,3,"")))))</f>
        <v/>
      </c>
      <c r="K78" s="13">
        <f t="array" ref="K78">IFERROR(INDEX(Unified_Matrix!$A:$ZZ,ROW(A75),MATCH("+ OVR",Unified_Matrix!$1:$1,0)),"")</f>
        <v/>
      </c>
      <c r="L78" s="13">
        <f t="array" ref="L78">IFERROR(INDEX(Unified_Matrix!$A:$ZZ,ROW(A75),MATCH("Max OVR",Unified_Matrix!$1:$1,0)),"")</f>
        <v/>
      </c>
      <c r="M78" s="13">
        <f t="array" ref="M78">IFERROR(INDEX(Unified_Matrix!$A:$ZZ,ROW(A75),MATCH("Req_Position",Unified_Matrix!$1:$1,0)),"")</f>
        <v/>
      </c>
      <c r="N78" s="13">
        <f t="array" ref="N78">IFERROR(INDEX(Unified_Matrix!$A:$ZZ,ROW(A75),MATCH("Req_OVR_Max",Unified_Matrix!$1:$1,0)),"")</f>
        <v/>
      </c>
      <c r="O78" s="25">
        <f t="array" ref="O78">IFERROR(INDEX(Unified_Matrix!$A:$ZZ,ROW(A75),MATCH("Req_Other",Unified_Matrix!$1:$1,0)),"")</f>
        <v/>
      </c>
    </row>
    <row r="79" ht="68.25" customHeight="1">
      <c r="H79" s="13">
        <f t="array" ref="H79">IFERROR(INDEX(Unified_Matrix!$A:$ZZ,ROW(A76),MATCH("Max "&amp;$H$3,Unified_Matrix!$1:$1,0)),"")</f>
        <v/>
      </c>
      <c r="I79" s="25">
        <f t="array" ref="I79">IFERROR(INDEX(Unified_Matrix!$A:$ZZ,ROW(A76),MATCH("Evolution_Name",Unified_Matrix!$1:$1,0)),"")</f>
        <v/>
      </c>
      <c r="J79" s="13">
        <f>IF(H79="","",IF(H79=0,"",IF(H79=$Z$32,1,IF(H79=$Z$33,2,IF(H79=$Z$34,3,"")))))</f>
        <v/>
      </c>
      <c r="K79" s="13">
        <f t="array" ref="K79">IFERROR(INDEX(Unified_Matrix!$A:$ZZ,ROW(A76),MATCH("+ OVR",Unified_Matrix!$1:$1,0)),"")</f>
        <v/>
      </c>
      <c r="L79" s="13">
        <f t="array" ref="L79">IFERROR(INDEX(Unified_Matrix!$A:$ZZ,ROW(A76),MATCH("Max OVR",Unified_Matrix!$1:$1,0)),"")</f>
        <v/>
      </c>
      <c r="M79" s="13">
        <f t="array" ref="M79">IFERROR(INDEX(Unified_Matrix!$A:$ZZ,ROW(A76),MATCH("Req_Position",Unified_Matrix!$1:$1,0)),"")</f>
        <v/>
      </c>
      <c r="N79" s="13">
        <f t="array" ref="N79">IFERROR(INDEX(Unified_Matrix!$A:$ZZ,ROW(A76),MATCH("Req_OVR_Max",Unified_Matrix!$1:$1,0)),"")</f>
        <v/>
      </c>
      <c r="O79" s="25">
        <f t="array" ref="O79">IFERROR(INDEX(Unified_Matrix!$A:$ZZ,ROW(A76),MATCH("Req_Other",Unified_Matrix!$1:$1,0)),"")</f>
        <v/>
      </c>
    </row>
    <row r="80" ht="68.25" customHeight="1">
      <c r="H80" s="13">
        <f t="array" ref="H80">IFERROR(INDEX(Unified_Matrix!$A:$ZZ,ROW(A77),MATCH("Max "&amp;$H$3,Unified_Matrix!$1:$1,0)),"")</f>
        <v/>
      </c>
      <c r="I80" s="25">
        <f t="array" ref="I80">IFERROR(INDEX(Unified_Matrix!$A:$ZZ,ROW(A77),MATCH("Evolution_Name",Unified_Matrix!$1:$1,0)),"")</f>
        <v/>
      </c>
      <c r="J80" s="13">
        <f>IF(H80="","",IF(H80=0,"",IF(H80=$Z$32,1,IF(H80=$Z$33,2,IF(H80=$Z$34,3,"")))))</f>
        <v/>
      </c>
      <c r="K80" s="13">
        <f t="array" ref="K80">IFERROR(INDEX(Unified_Matrix!$A:$ZZ,ROW(A77),MATCH("+ OVR",Unified_Matrix!$1:$1,0)),"")</f>
        <v/>
      </c>
      <c r="L80" s="13">
        <f t="array" ref="L80">IFERROR(INDEX(Unified_Matrix!$A:$ZZ,ROW(A77),MATCH("Max OVR",Unified_Matrix!$1:$1,0)),"")</f>
        <v/>
      </c>
      <c r="M80" s="13">
        <f t="array" ref="M80">IFERROR(INDEX(Unified_Matrix!$A:$ZZ,ROW(A77),MATCH("Req_Position",Unified_Matrix!$1:$1,0)),"")</f>
        <v/>
      </c>
      <c r="N80" s="13">
        <f t="array" ref="N80">IFERROR(INDEX(Unified_Matrix!$A:$ZZ,ROW(A77),MATCH("Req_OVR_Max",Unified_Matrix!$1:$1,0)),"")</f>
        <v/>
      </c>
      <c r="O80" s="25">
        <f t="array" ref="O80">IFERROR(INDEX(Unified_Matrix!$A:$ZZ,ROW(A77),MATCH("Req_Other",Unified_Matrix!$1:$1,0)),"")</f>
        <v/>
      </c>
    </row>
    <row r="81" ht="68.25" customHeight="1">
      <c r="H81" s="13">
        <f t="array" ref="H81">IFERROR(INDEX(Unified_Matrix!$A:$ZZ,ROW(A78),MATCH("Max "&amp;$H$3,Unified_Matrix!$1:$1,0)),"")</f>
        <v/>
      </c>
      <c r="I81" s="25">
        <f t="array" ref="I81">IFERROR(INDEX(Unified_Matrix!$A:$ZZ,ROW(A78),MATCH("Evolution_Name",Unified_Matrix!$1:$1,0)),"")</f>
        <v/>
      </c>
      <c r="J81" s="13">
        <f>IF(H81="","",IF(H81=0,"",IF(H81=$Z$32,1,IF(H81=$Z$33,2,IF(H81=$Z$34,3,"")))))</f>
        <v/>
      </c>
      <c r="K81" s="13">
        <f t="array" ref="K81">IFERROR(INDEX(Unified_Matrix!$A:$ZZ,ROW(A78),MATCH("+ OVR",Unified_Matrix!$1:$1,0)),"")</f>
        <v/>
      </c>
      <c r="L81" s="13">
        <f t="array" ref="L81">IFERROR(INDEX(Unified_Matrix!$A:$ZZ,ROW(A78),MATCH("Max OVR",Unified_Matrix!$1:$1,0)),"")</f>
        <v/>
      </c>
      <c r="M81" s="13">
        <f t="array" ref="M81">IFERROR(INDEX(Unified_Matrix!$A:$ZZ,ROW(A78),MATCH("Req_Position",Unified_Matrix!$1:$1,0)),"")</f>
        <v/>
      </c>
      <c r="N81" s="13">
        <f t="array" ref="N81">IFERROR(INDEX(Unified_Matrix!$A:$ZZ,ROW(A78),MATCH("Req_OVR_Max",Unified_Matrix!$1:$1,0)),"")</f>
        <v/>
      </c>
      <c r="O81" s="25">
        <f t="array" ref="O81">IFERROR(INDEX(Unified_Matrix!$A:$ZZ,ROW(A78),MATCH("Req_Other",Unified_Matrix!$1:$1,0)),"")</f>
        <v/>
      </c>
    </row>
    <row r="82" ht="68.25" customHeight="1">
      <c r="H82" s="13">
        <f t="array" ref="H82">IFERROR(INDEX(Unified_Matrix!$A:$ZZ,ROW(A79),MATCH("Max "&amp;$H$3,Unified_Matrix!$1:$1,0)),"")</f>
        <v/>
      </c>
      <c r="I82" s="25">
        <f t="array" ref="I82">IFERROR(INDEX(Unified_Matrix!$A:$ZZ,ROW(A79),MATCH("Evolution_Name",Unified_Matrix!$1:$1,0)),"")</f>
        <v/>
      </c>
      <c r="J82" s="13">
        <f>IF(H82="","",IF(H82=0,"",IF(H82=$Z$32,1,IF(H82=$Z$33,2,IF(H82=$Z$34,3,"")))))</f>
        <v/>
      </c>
      <c r="K82" s="13">
        <f t="array" ref="K82">IFERROR(INDEX(Unified_Matrix!$A:$ZZ,ROW(A79),MATCH("+ OVR",Unified_Matrix!$1:$1,0)),"")</f>
        <v/>
      </c>
      <c r="L82" s="13">
        <f t="array" ref="L82">IFERROR(INDEX(Unified_Matrix!$A:$ZZ,ROW(A79),MATCH("Max OVR",Unified_Matrix!$1:$1,0)),"")</f>
        <v/>
      </c>
      <c r="M82" s="13">
        <f t="array" ref="M82">IFERROR(INDEX(Unified_Matrix!$A:$ZZ,ROW(A79),MATCH("Req_Position",Unified_Matrix!$1:$1,0)),"")</f>
        <v/>
      </c>
      <c r="N82" s="13">
        <f t="array" ref="N82">IFERROR(INDEX(Unified_Matrix!$A:$ZZ,ROW(A79),MATCH("Req_OVR_Max",Unified_Matrix!$1:$1,0)),"")</f>
        <v/>
      </c>
      <c r="O82" s="25">
        <f t="array" ref="O82">IFERROR(INDEX(Unified_Matrix!$A:$ZZ,ROW(A79),MATCH("Req_Other",Unified_Matrix!$1:$1,0)),"")</f>
        <v/>
      </c>
    </row>
    <row r="83" ht="68.25" customHeight="1">
      <c r="H83" s="13">
        <f t="array" ref="H83">IFERROR(INDEX(Unified_Matrix!$A:$ZZ,ROW(A80),MATCH("Max "&amp;$H$3,Unified_Matrix!$1:$1,0)),"")</f>
        <v/>
      </c>
      <c r="I83" s="25">
        <f t="array" ref="I83">IFERROR(INDEX(Unified_Matrix!$A:$ZZ,ROW(A80),MATCH("Evolution_Name",Unified_Matrix!$1:$1,0)),"")</f>
        <v/>
      </c>
      <c r="J83" s="13">
        <f>IF(H83="","",IF(H83=0,"",IF(H83=$Z$32,1,IF(H83=$Z$33,2,IF(H83=$Z$34,3,"")))))</f>
        <v/>
      </c>
      <c r="K83" s="13">
        <f t="array" ref="K83">IFERROR(INDEX(Unified_Matrix!$A:$ZZ,ROW(A80),MATCH("+ OVR",Unified_Matrix!$1:$1,0)),"")</f>
        <v/>
      </c>
      <c r="L83" s="13">
        <f t="array" ref="L83">IFERROR(INDEX(Unified_Matrix!$A:$ZZ,ROW(A80),MATCH("Max OVR",Unified_Matrix!$1:$1,0)),"")</f>
        <v/>
      </c>
      <c r="M83" s="13">
        <f t="array" ref="M83">IFERROR(INDEX(Unified_Matrix!$A:$ZZ,ROW(A80),MATCH("Req_Position",Unified_Matrix!$1:$1,0)),"")</f>
        <v/>
      </c>
      <c r="N83" s="13">
        <f t="array" ref="N83">IFERROR(INDEX(Unified_Matrix!$A:$ZZ,ROW(A80),MATCH("Req_OVR_Max",Unified_Matrix!$1:$1,0)),"")</f>
        <v/>
      </c>
      <c r="O83" s="25">
        <f t="array" ref="O83">IFERROR(INDEX(Unified_Matrix!$A:$ZZ,ROW(A80),MATCH("Req_Other",Unified_Matrix!$1:$1,0)),"")</f>
        <v/>
      </c>
    </row>
    <row r="84" ht="68.25" customHeight="1">
      <c r="H84" s="13">
        <f t="array" ref="H84">IFERROR(INDEX(Unified_Matrix!$A:$ZZ,ROW(A81),MATCH("Max "&amp;$H$3,Unified_Matrix!$1:$1,0)),"")</f>
        <v/>
      </c>
      <c r="I84" s="25">
        <f t="array" ref="I84">IFERROR(INDEX(Unified_Matrix!$A:$ZZ,ROW(A81),MATCH("Evolution_Name",Unified_Matrix!$1:$1,0)),"")</f>
        <v/>
      </c>
      <c r="J84" s="13">
        <f>IF(H84="","",IF(H84=0,"",IF(H84=$Z$32,1,IF(H84=$Z$33,2,IF(H84=$Z$34,3,"")))))</f>
        <v/>
      </c>
      <c r="K84" s="13">
        <f t="array" ref="K84">IFERROR(INDEX(Unified_Matrix!$A:$ZZ,ROW(A81),MATCH("+ OVR",Unified_Matrix!$1:$1,0)),"")</f>
        <v/>
      </c>
      <c r="L84" s="13">
        <f t="array" ref="L84">IFERROR(INDEX(Unified_Matrix!$A:$ZZ,ROW(A81),MATCH("Max OVR",Unified_Matrix!$1:$1,0)),"")</f>
        <v/>
      </c>
      <c r="M84" s="13">
        <f t="array" ref="M84">IFERROR(INDEX(Unified_Matrix!$A:$ZZ,ROW(A81),MATCH("Req_Position",Unified_Matrix!$1:$1,0)),"")</f>
        <v/>
      </c>
      <c r="N84" s="13">
        <f t="array" ref="N84">IFERROR(INDEX(Unified_Matrix!$A:$ZZ,ROW(A81),MATCH("Req_OVR_Max",Unified_Matrix!$1:$1,0)),"")</f>
        <v/>
      </c>
      <c r="O84" s="25">
        <f t="array" ref="O84">IFERROR(INDEX(Unified_Matrix!$A:$ZZ,ROW(A81),MATCH("Req_Other",Unified_Matrix!$1:$1,0)),"")</f>
        <v/>
      </c>
    </row>
    <row r="85" ht="68.25" customHeight="1">
      <c r="H85" s="13">
        <f t="array" ref="H85">IFERROR(INDEX(Unified_Matrix!$A:$ZZ,ROW(A82),MATCH("Max "&amp;$H$3,Unified_Matrix!$1:$1,0)),"")</f>
        <v/>
      </c>
      <c r="I85" s="25">
        <f t="array" ref="I85">IFERROR(INDEX(Unified_Matrix!$A:$ZZ,ROW(A82),MATCH("Evolution_Name",Unified_Matrix!$1:$1,0)),"")</f>
        <v/>
      </c>
      <c r="J85" s="13">
        <f>IF(H85="","",IF(H85=0,"",IF(H85=$Z$32,1,IF(H85=$Z$33,2,IF(H85=$Z$34,3,"")))))</f>
        <v/>
      </c>
      <c r="K85" s="13">
        <f t="array" ref="K85">IFERROR(INDEX(Unified_Matrix!$A:$ZZ,ROW(A82),MATCH("+ OVR",Unified_Matrix!$1:$1,0)),"")</f>
        <v/>
      </c>
      <c r="L85" s="13">
        <f t="array" ref="L85">IFERROR(INDEX(Unified_Matrix!$A:$ZZ,ROW(A82),MATCH("Max OVR",Unified_Matrix!$1:$1,0)),"")</f>
        <v/>
      </c>
      <c r="M85" s="13">
        <f t="array" ref="M85">IFERROR(INDEX(Unified_Matrix!$A:$ZZ,ROW(A82),MATCH("Req_Position",Unified_Matrix!$1:$1,0)),"")</f>
        <v/>
      </c>
      <c r="N85" s="13">
        <f t="array" ref="N85">IFERROR(INDEX(Unified_Matrix!$A:$ZZ,ROW(A82),MATCH("Req_OVR_Max",Unified_Matrix!$1:$1,0)),"")</f>
        <v/>
      </c>
      <c r="O85" s="25">
        <f t="array" ref="O85">IFERROR(INDEX(Unified_Matrix!$A:$ZZ,ROW(A82),MATCH("Req_Other",Unified_Matrix!$1:$1,0)),"")</f>
        <v/>
      </c>
    </row>
    <row r="86" ht="68.25" customHeight="1">
      <c r="H86" s="13">
        <f t="array" ref="H86">IFERROR(INDEX(Unified_Matrix!$A:$ZZ,ROW(A83),MATCH("Max "&amp;$H$3,Unified_Matrix!$1:$1,0)),"")</f>
        <v/>
      </c>
      <c r="I86" s="25">
        <f t="array" ref="I86">IFERROR(INDEX(Unified_Matrix!$A:$ZZ,ROW(A83),MATCH("Evolution_Name",Unified_Matrix!$1:$1,0)),"")</f>
        <v/>
      </c>
      <c r="J86" s="13">
        <f>IF(H86="","",IF(H86=0,"",IF(H86=$Z$32,1,IF(H86=$Z$33,2,IF(H86=$Z$34,3,"")))))</f>
        <v/>
      </c>
      <c r="K86" s="13">
        <f t="array" ref="K86">IFERROR(INDEX(Unified_Matrix!$A:$ZZ,ROW(A83),MATCH("+ OVR",Unified_Matrix!$1:$1,0)),"")</f>
        <v/>
      </c>
      <c r="L86" s="13">
        <f t="array" ref="L86">IFERROR(INDEX(Unified_Matrix!$A:$ZZ,ROW(A83),MATCH("Max OVR",Unified_Matrix!$1:$1,0)),"")</f>
        <v/>
      </c>
      <c r="M86" s="13">
        <f t="array" ref="M86">IFERROR(INDEX(Unified_Matrix!$A:$ZZ,ROW(A83),MATCH("Req_Position",Unified_Matrix!$1:$1,0)),"")</f>
        <v/>
      </c>
      <c r="N86" s="13">
        <f t="array" ref="N86">IFERROR(INDEX(Unified_Matrix!$A:$ZZ,ROW(A83),MATCH("Req_OVR_Max",Unified_Matrix!$1:$1,0)),"")</f>
        <v/>
      </c>
      <c r="O86" s="25">
        <f t="array" ref="O86">IFERROR(INDEX(Unified_Matrix!$A:$ZZ,ROW(A83),MATCH("Req_Other",Unified_Matrix!$1:$1,0)),"")</f>
        <v/>
      </c>
    </row>
    <row r="87" ht="68.25" customHeight="1">
      <c r="H87" s="13">
        <f t="array" ref="H87">IFERROR(INDEX(Unified_Matrix!$A:$ZZ,ROW(A84),MATCH("Max "&amp;$H$3,Unified_Matrix!$1:$1,0)),"")</f>
        <v/>
      </c>
      <c r="I87" s="25">
        <f t="array" ref="I87">IFERROR(INDEX(Unified_Matrix!$A:$ZZ,ROW(A84),MATCH("Evolution_Name",Unified_Matrix!$1:$1,0)),"")</f>
        <v/>
      </c>
      <c r="J87" s="13">
        <f>IF(H87="","",IF(H87=0,"",IF(H87=$Z$32,1,IF(H87=$Z$33,2,IF(H87=$Z$34,3,"")))))</f>
        <v/>
      </c>
      <c r="K87" s="13">
        <f t="array" ref="K87">IFERROR(INDEX(Unified_Matrix!$A:$ZZ,ROW(A84),MATCH("+ OVR",Unified_Matrix!$1:$1,0)),"")</f>
        <v/>
      </c>
      <c r="L87" s="13">
        <f t="array" ref="L87">IFERROR(INDEX(Unified_Matrix!$A:$ZZ,ROW(A84),MATCH("Max OVR",Unified_Matrix!$1:$1,0)),"")</f>
        <v/>
      </c>
      <c r="M87" s="13">
        <f t="array" ref="M87">IFERROR(INDEX(Unified_Matrix!$A:$ZZ,ROW(A84),MATCH("Req_Position",Unified_Matrix!$1:$1,0)),"")</f>
        <v/>
      </c>
      <c r="N87" s="13">
        <f t="array" ref="N87">IFERROR(INDEX(Unified_Matrix!$A:$ZZ,ROW(A84),MATCH("Req_OVR_Max",Unified_Matrix!$1:$1,0)),"")</f>
        <v/>
      </c>
      <c r="O87" s="25">
        <f t="array" ref="O87">IFERROR(INDEX(Unified_Matrix!$A:$ZZ,ROW(A84),MATCH("Req_Other",Unified_Matrix!$1:$1,0)),"")</f>
        <v/>
      </c>
    </row>
    <row r="88" ht="68.25" customHeight="1">
      <c r="H88" s="13">
        <f t="array" ref="H88">IFERROR(INDEX(Unified_Matrix!$A:$ZZ,ROW(A85),MATCH("Max "&amp;$H$3,Unified_Matrix!$1:$1,0)),"")</f>
        <v/>
      </c>
      <c r="I88" s="25">
        <f t="array" ref="I88">IFERROR(INDEX(Unified_Matrix!$A:$ZZ,ROW(A85),MATCH("Evolution_Name",Unified_Matrix!$1:$1,0)),"")</f>
        <v/>
      </c>
      <c r="J88" s="13">
        <f>IF(H88="","",IF(H88=0,"",IF(H88=$Z$32,1,IF(H88=$Z$33,2,IF(H88=$Z$34,3,"")))))</f>
        <v/>
      </c>
      <c r="K88" s="13">
        <f t="array" ref="K88">IFERROR(INDEX(Unified_Matrix!$A:$ZZ,ROW(A85),MATCH("+ OVR",Unified_Matrix!$1:$1,0)),"")</f>
        <v/>
      </c>
      <c r="L88" s="13">
        <f t="array" ref="L88">IFERROR(INDEX(Unified_Matrix!$A:$ZZ,ROW(A85),MATCH("Max OVR",Unified_Matrix!$1:$1,0)),"")</f>
        <v/>
      </c>
      <c r="M88" s="13">
        <f t="array" ref="M88">IFERROR(INDEX(Unified_Matrix!$A:$ZZ,ROW(A85),MATCH("Req_Position",Unified_Matrix!$1:$1,0)),"")</f>
        <v/>
      </c>
      <c r="N88" s="13">
        <f t="array" ref="N88">IFERROR(INDEX(Unified_Matrix!$A:$ZZ,ROW(A85),MATCH("Req_OVR_Max",Unified_Matrix!$1:$1,0)),"")</f>
        <v/>
      </c>
      <c r="O88" s="25">
        <f t="array" ref="O88">IFERROR(INDEX(Unified_Matrix!$A:$ZZ,ROW(A85),MATCH("Req_Other",Unified_Matrix!$1:$1,0)),"")</f>
        <v/>
      </c>
    </row>
    <row r="89" ht="68.25" customHeight="1">
      <c r="H89" s="13">
        <f t="array" ref="H89">IFERROR(INDEX(Unified_Matrix!$A:$ZZ,ROW(A86),MATCH("Max "&amp;$H$3,Unified_Matrix!$1:$1,0)),"")</f>
        <v/>
      </c>
      <c r="I89" s="25">
        <f t="array" ref="I89">IFERROR(INDEX(Unified_Matrix!$A:$ZZ,ROW(A86),MATCH("Evolution_Name",Unified_Matrix!$1:$1,0)),"")</f>
        <v/>
      </c>
      <c r="J89" s="13">
        <f>IF(H89="","",IF(H89=0,"",IF(H89=$Z$32,1,IF(H89=$Z$33,2,IF(H89=$Z$34,3,"")))))</f>
        <v/>
      </c>
      <c r="K89" s="13">
        <f t="array" ref="K89">IFERROR(INDEX(Unified_Matrix!$A:$ZZ,ROW(A86),MATCH("+ OVR",Unified_Matrix!$1:$1,0)),"")</f>
        <v/>
      </c>
      <c r="L89" s="13">
        <f t="array" ref="L89">IFERROR(INDEX(Unified_Matrix!$A:$ZZ,ROW(A86),MATCH("Max OVR",Unified_Matrix!$1:$1,0)),"")</f>
        <v/>
      </c>
      <c r="M89" s="13">
        <f t="array" ref="M89">IFERROR(INDEX(Unified_Matrix!$A:$ZZ,ROW(A86),MATCH("Req_Position",Unified_Matrix!$1:$1,0)),"")</f>
        <v/>
      </c>
      <c r="N89" s="13">
        <f t="array" ref="N89">IFERROR(INDEX(Unified_Matrix!$A:$ZZ,ROW(A86),MATCH("Req_OVR_Max",Unified_Matrix!$1:$1,0)),"")</f>
        <v/>
      </c>
      <c r="O89" s="25">
        <f t="array" ref="O89">IFERROR(INDEX(Unified_Matrix!$A:$ZZ,ROW(A86),MATCH("Req_Other",Unified_Matrix!$1:$1,0)),"")</f>
        <v/>
      </c>
    </row>
    <row r="90" ht="68.25" customHeight="1">
      <c r="H90" s="13">
        <f t="array" ref="H90">IFERROR(INDEX(Unified_Matrix!$A:$ZZ,ROW(A87),MATCH("Max "&amp;$H$3,Unified_Matrix!$1:$1,0)),"")</f>
        <v/>
      </c>
      <c r="I90" s="25">
        <f t="array" ref="I90">IFERROR(INDEX(Unified_Matrix!$A:$ZZ,ROW(A87),MATCH("Evolution_Name",Unified_Matrix!$1:$1,0)),"")</f>
        <v/>
      </c>
      <c r="J90" s="13">
        <f>IF(H90="","",IF(H90=0,"",IF(H90=$Z$32,1,IF(H90=$Z$33,2,IF(H90=$Z$34,3,"")))))</f>
        <v/>
      </c>
      <c r="K90" s="13">
        <f t="array" ref="K90">IFERROR(INDEX(Unified_Matrix!$A:$ZZ,ROW(A87),MATCH("+ OVR",Unified_Matrix!$1:$1,0)),"")</f>
        <v/>
      </c>
      <c r="L90" s="13">
        <f t="array" ref="L90">IFERROR(INDEX(Unified_Matrix!$A:$ZZ,ROW(A87),MATCH("Max OVR",Unified_Matrix!$1:$1,0)),"")</f>
        <v/>
      </c>
      <c r="M90" s="13">
        <f t="array" ref="M90">IFERROR(INDEX(Unified_Matrix!$A:$ZZ,ROW(A87),MATCH("Req_Position",Unified_Matrix!$1:$1,0)),"")</f>
        <v/>
      </c>
      <c r="N90" s="13">
        <f t="array" ref="N90">IFERROR(INDEX(Unified_Matrix!$A:$ZZ,ROW(A87),MATCH("Req_OVR_Max",Unified_Matrix!$1:$1,0)),"")</f>
        <v/>
      </c>
      <c r="O90" s="25">
        <f t="array" ref="O90">IFERROR(INDEX(Unified_Matrix!$A:$ZZ,ROW(A87),MATCH("Req_Other",Unified_Matrix!$1:$1,0)),"")</f>
        <v/>
      </c>
    </row>
    <row r="91" ht="68.25" customHeight="1">
      <c r="H91" s="13">
        <f t="array" ref="H91">IFERROR(INDEX(Unified_Matrix!$A:$ZZ,ROW(A88),MATCH("Max "&amp;$H$3,Unified_Matrix!$1:$1,0)),"")</f>
        <v/>
      </c>
      <c r="I91" s="25">
        <f t="array" ref="I91">IFERROR(INDEX(Unified_Matrix!$A:$ZZ,ROW(A88),MATCH("Evolution_Name",Unified_Matrix!$1:$1,0)),"")</f>
        <v/>
      </c>
      <c r="J91" s="13">
        <f>IF(H91="","",IF(H91=0,"",IF(H91=$Z$32,1,IF(H91=$Z$33,2,IF(H91=$Z$34,3,"")))))</f>
        <v/>
      </c>
      <c r="K91" s="13">
        <f t="array" ref="K91">IFERROR(INDEX(Unified_Matrix!$A:$ZZ,ROW(A88),MATCH("+ OVR",Unified_Matrix!$1:$1,0)),"")</f>
        <v/>
      </c>
      <c r="L91" s="13">
        <f t="array" ref="L91">IFERROR(INDEX(Unified_Matrix!$A:$ZZ,ROW(A88),MATCH("Max OVR",Unified_Matrix!$1:$1,0)),"")</f>
        <v/>
      </c>
      <c r="M91" s="13">
        <f t="array" ref="M91">IFERROR(INDEX(Unified_Matrix!$A:$ZZ,ROW(A88),MATCH("Req_Position",Unified_Matrix!$1:$1,0)),"")</f>
        <v/>
      </c>
      <c r="N91" s="13">
        <f t="array" ref="N91">IFERROR(INDEX(Unified_Matrix!$A:$ZZ,ROW(A88),MATCH("Req_OVR_Max",Unified_Matrix!$1:$1,0)),"")</f>
        <v/>
      </c>
      <c r="O91" s="25">
        <f t="array" ref="O91">IFERROR(INDEX(Unified_Matrix!$A:$ZZ,ROW(A88),MATCH("Req_Other",Unified_Matrix!$1:$1,0)),"")</f>
        <v/>
      </c>
    </row>
    <row r="92" ht="68.25" customHeight="1">
      <c r="H92" s="13">
        <f t="array" ref="H92">IFERROR(INDEX(Unified_Matrix!$A:$ZZ,ROW(A89),MATCH("Max "&amp;$H$3,Unified_Matrix!$1:$1,0)),"")</f>
        <v/>
      </c>
      <c r="I92" s="25">
        <f t="array" ref="I92">IFERROR(INDEX(Unified_Matrix!$A:$ZZ,ROW(A89),MATCH("Evolution_Name",Unified_Matrix!$1:$1,0)),"")</f>
        <v/>
      </c>
      <c r="J92" s="13">
        <f>IF(H92="","",IF(H92=0,"",IF(H92=$Z$32,1,IF(H92=$Z$33,2,IF(H92=$Z$34,3,"")))))</f>
        <v/>
      </c>
      <c r="K92" s="13">
        <f t="array" ref="K92">IFERROR(INDEX(Unified_Matrix!$A:$ZZ,ROW(A89),MATCH("+ OVR",Unified_Matrix!$1:$1,0)),"")</f>
        <v/>
      </c>
      <c r="L92" s="13">
        <f t="array" ref="L92">IFERROR(INDEX(Unified_Matrix!$A:$ZZ,ROW(A89),MATCH("Max OVR",Unified_Matrix!$1:$1,0)),"")</f>
        <v/>
      </c>
      <c r="M92" s="13">
        <f t="array" ref="M92">IFERROR(INDEX(Unified_Matrix!$A:$ZZ,ROW(A89),MATCH("Req_Position",Unified_Matrix!$1:$1,0)),"")</f>
        <v/>
      </c>
      <c r="N92" s="13">
        <f t="array" ref="N92">IFERROR(INDEX(Unified_Matrix!$A:$ZZ,ROW(A89),MATCH("Req_OVR_Max",Unified_Matrix!$1:$1,0)),"")</f>
        <v/>
      </c>
      <c r="O92" s="25">
        <f t="array" ref="O92">IFERROR(INDEX(Unified_Matrix!$A:$ZZ,ROW(A89),MATCH("Req_Other",Unified_Matrix!$1:$1,0)),"")</f>
        <v/>
      </c>
    </row>
    <row r="93" ht="68.25" customHeight="1">
      <c r="H93" s="13">
        <f t="array" ref="H93">IFERROR(INDEX(Unified_Matrix!$A:$ZZ,ROW(A90),MATCH("Max "&amp;$H$3,Unified_Matrix!$1:$1,0)),"")</f>
        <v/>
      </c>
      <c r="I93" s="25">
        <f t="array" ref="I93">IFERROR(INDEX(Unified_Matrix!$A:$ZZ,ROW(A90),MATCH("Evolution_Name",Unified_Matrix!$1:$1,0)),"")</f>
        <v/>
      </c>
      <c r="J93" s="13">
        <f>IF(H93="","",IF(H93=0,"",IF(H93=$Z$32,1,IF(H93=$Z$33,2,IF(H93=$Z$34,3,"")))))</f>
        <v/>
      </c>
      <c r="K93" s="13">
        <f t="array" ref="K93">IFERROR(INDEX(Unified_Matrix!$A:$ZZ,ROW(A90),MATCH("+ OVR",Unified_Matrix!$1:$1,0)),"")</f>
        <v/>
      </c>
      <c r="L93" s="13">
        <f t="array" ref="L93">IFERROR(INDEX(Unified_Matrix!$A:$ZZ,ROW(A90),MATCH("Max OVR",Unified_Matrix!$1:$1,0)),"")</f>
        <v/>
      </c>
      <c r="M93" s="13">
        <f t="array" ref="M93">IFERROR(INDEX(Unified_Matrix!$A:$ZZ,ROW(A90),MATCH("Req_Position",Unified_Matrix!$1:$1,0)),"")</f>
        <v/>
      </c>
      <c r="N93" s="13">
        <f t="array" ref="N93">IFERROR(INDEX(Unified_Matrix!$A:$ZZ,ROW(A90),MATCH("Req_OVR_Max",Unified_Matrix!$1:$1,0)),"")</f>
        <v/>
      </c>
      <c r="O93" s="25">
        <f t="array" ref="O93">IFERROR(INDEX(Unified_Matrix!$A:$ZZ,ROW(A90),MATCH("Req_Other",Unified_Matrix!$1:$1,0)),"")</f>
        <v/>
      </c>
    </row>
    <row r="94" ht="68.25" customHeight="1">
      <c r="H94" s="13">
        <f t="array" ref="H94">IFERROR(INDEX(Unified_Matrix!$A:$ZZ,ROW(A91),MATCH("Max "&amp;$H$3,Unified_Matrix!$1:$1,0)),"")</f>
        <v/>
      </c>
      <c r="I94" s="25">
        <f t="array" ref="I94">IFERROR(INDEX(Unified_Matrix!$A:$ZZ,ROW(A91),MATCH("Evolution_Name",Unified_Matrix!$1:$1,0)),"")</f>
        <v/>
      </c>
      <c r="J94" s="13">
        <f>IF(H94="","",IF(H94=0,"",IF(H94=$Z$32,1,IF(H94=$Z$33,2,IF(H94=$Z$34,3,"")))))</f>
        <v/>
      </c>
      <c r="K94" s="13">
        <f t="array" ref="K94">IFERROR(INDEX(Unified_Matrix!$A:$ZZ,ROW(A91),MATCH("+ OVR",Unified_Matrix!$1:$1,0)),"")</f>
        <v/>
      </c>
      <c r="L94" s="13">
        <f t="array" ref="L94">IFERROR(INDEX(Unified_Matrix!$A:$ZZ,ROW(A91),MATCH("Max OVR",Unified_Matrix!$1:$1,0)),"")</f>
        <v/>
      </c>
      <c r="M94" s="13">
        <f t="array" ref="M94">IFERROR(INDEX(Unified_Matrix!$A:$ZZ,ROW(A91),MATCH("Req_Position",Unified_Matrix!$1:$1,0)),"")</f>
        <v/>
      </c>
      <c r="N94" s="13">
        <f t="array" ref="N94">IFERROR(INDEX(Unified_Matrix!$A:$ZZ,ROW(A91),MATCH("Req_OVR_Max",Unified_Matrix!$1:$1,0)),"")</f>
        <v/>
      </c>
      <c r="O94" s="25">
        <f t="array" ref="O94">IFERROR(INDEX(Unified_Matrix!$A:$ZZ,ROW(A91),MATCH("Req_Other",Unified_Matrix!$1:$1,0)),"")</f>
        <v/>
      </c>
    </row>
    <row r="95" ht="68.25" customHeight="1">
      <c r="H95" s="13">
        <f t="array" ref="H95">IFERROR(INDEX(Unified_Matrix!$A:$ZZ,ROW(A92),MATCH("Max "&amp;$H$3,Unified_Matrix!$1:$1,0)),"")</f>
        <v/>
      </c>
      <c r="I95" s="25">
        <f t="array" ref="I95">IFERROR(INDEX(Unified_Matrix!$A:$ZZ,ROW(A92),MATCH("Evolution_Name",Unified_Matrix!$1:$1,0)),"")</f>
        <v/>
      </c>
      <c r="J95" s="13">
        <f>IF(H95="","",IF(H95=0,"",IF(H95=$Z$32,1,IF(H95=$Z$33,2,IF(H95=$Z$34,3,"")))))</f>
        <v/>
      </c>
      <c r="K95" s="13">
        <f t="array" ref="K95">IFERROR(INDEX(Unified_Matrix!$A:$ZZ,ROW(A92),MATCH("+ OVR",Unified_Matrix!$1:$1,0)),"")</f>
        <v/>
      </c>
      <c r="L95" s="13">
        <f t="array" ref="L95">IFERROR(INDEX(Unified_Matrix!$A:$ZZ,ROW(A92),MATCH("Max OVR",Unified_Matrix!$1:$1,0)),"")</f>
        <v/>
      </c>
      <c r="M95" s="13">
        <f t="array" ref="M95">IFERROR(INDEX(Unified_Matrix!$A:$ZZ,ROW(A92),MATCH("Req_Position",Unified_Matrix!$1:$1,0)),"")</f>
        <v/>
      </c>
      <c r="N95" s="13">
        <f t="array" ref="N95">IFERROR(INDEX(Unified_Matrix!$A:$ZZ,ROW(A92),MATCH("Req_OVR_Max",Unified_Matrix!$1:$1,0)),"")</f>
        <v/>
      </c>
      <c r="O95" s="25">
        <f t="array" ref="O95">IFERROR(INDEX(Unified_Matrix!$A:$ZZ,ROW(A92),MATCH("Req_Other",Unified_Matrix!$1:$1,0)),"")</f>
        <v/>
      </c>
    </row>
    <row r="96" ht="68.25" customHeight="1">
      <c r="H96" s="13">
        <f t="array" ref="H96">IFERROR(INDEX(Unified_Matrix!$A:$ZZ,ROW(A93),MATCH("Max "&amp;$H$3,Unified_Matrix!$1:$1,0)),"")</f>
        <v/>
      </c>
      <c r="I96" s="25">
        <f t="array" ref="I96">IFERROR(INDEX(Unified_Matrix!$A:$ZZ,ROW(A93),MATCH("Evolution_Name",Unified_Matrix!$1:$1,0)),"")</f>
        <v/>
      </c>
      <c r="J96" s="13">
        <f>IF(H96="","",IF(H96=0,"",IF(H96=$Z$32,1,IF(H96=$Z$33,2,IF(H96=$Z$34,3,"")))))</f>
        <v/>
      </c>
      <c r="K96" s="13">
        <f t="array" ref="K96">IFERROR(INDEX(Unified_Matrix!$A:$ZZ,ROW(A93),MATCH("+ OVR",Unified_Matrix!$1:$1,0)),"")</f>
        <v/>
      </c>
      <c r="L96" s="13">
        <f t="array" ref="L96">IFERROR(INDEX(Unified_Matrix!$A:$ZZ,ROW(A93),MATCH("Max OVR",Unified_Matrix!$1:$1,0)),"")</f>
        <v/>
      </c>
      <c r="M96" s="13">
        <f t="array" ref="M96">IFERROR(INDEX(Unified_Matrix!$A:$ZZ,ROW(A93),MATCH("Req_Position",Unified_Matrix!$1:$1,0)),"")</f>
        <v/>
      </c>
      <c r="N96" s="13">
        <f t="array" ref="N96">IFERROR(INDEX(Unified_Matrix!$A:$ZZ,ROW(A93),MATCH("Req_OVR_Max",Unified_Matrix!$1:$1,0)),"")</f>
        <v/>
      </c>
      <c r="O96" s="25">
        <f t="array" ref="O96">IFERROR(INDEX(Unified_Matrix!$A:$ZZ,ROW(A93),MATCH("Req_Other",Unified_Matrix!$1:$1,0)),"")</f>
        <v/>
      </c>
    </row>
    <row r="97" ht="68.25" customHeight="1">
      <c r="H97" s="13">
        <f t="array" ref="H97">IFERROR(INDEX(Unified_Matrix!$A:$ZZ,ROW(A94),MATCH("Max "&amp;$H$3,Unified_Matrix!$1:$1,0)),"")</f>
        <v/>
      </c>
      <c r="I97" s="25">
        <f t="array" ref="I97">IFERROR(INDEX(Unified_Matrix!$A:$ZZ,ROW(A94),MATCH("Evolution_Name",Unified_Matrix!$1:$1,0)),"")</f>
        <v/>
      </c>
      <c r="J97" s="13">
        <f>IF(H97="","",IF(H97=0,"",IF(H97=$Z$32,1,IF(H97=$Z$33,2,IF(H97=$Z$34,3,"")))))</f>
        <v/>
      </c>
      <c r="K97" s="13">
        <f t="array" ref="K97">IFERROR(INDEX(Unified_Matrix!$A:$ZZ,ROW(A94),MATCH("+ OVR",Unified_Matrix!$1:$1,0)),"")</f>
        <v/>
      </c>
      <c r="L97" s="13">
        <f t="array" ref="L97">IFERROR(INDEX(Unified_Matrix!$A:$ZZ,ROW(A94),MATCH("Max OVR",Unified_Matrix!$1:$1,0)),"")</f>
        <v/>
      </c>
      <c r="M97" s="13">
        <f t="array" ref="M97">IFERROR(INDEX(Unified_Matrix!$A:$ZZ,ROW(A94),MATCH("Req_Position",Unified_Matrix!$1:$1,0)),"")</f>
        <v/>
      </c>
      <c r="N97" s="13">
        <f t="array" ref="N97">IFERROR(INDEX(Unified_Matrix!$A:$ZZ,ROW(A94),MATCH("Req_OVR_Max",Unified_Matrix!$1:$1,0)),"")</f>
        <v/>
      </c>
      <c r="O97" s="25">
        <f t="array" ref="O97">IFERROR(INDEX(Unified_Matrix!$A:$ZZ,ROW(A94),MATCH("Req_Other",Unified_Matrix!$1:$1,0)),"")</f>
        <v/>
      </c>
    </row>
    <row r="98" ht="68.25" customHeight="1">
      <c r="H98" s="13">
        <f t="array" ref="H98">IFERROR(INDEX(Unified_Matrix!$A:$ZZ,ROW(A95),MATCH("Max "&amp;$H$3,Unified_Matrix!$1:$1,0)),"")</f>
        <v/>
      </c>
      <c r="I98" s="25">
        <f t="array" ref="I98">IFERROR(INDEX(Unified_Matrix!$A:$ZZ,ROW(A95),MATCH("Evolution_Name",Unified_Matrix!$1:$1,0)),"")</f>
        <v/>
      </c>
      <c r="J98" s="13">
        <f>IF(H98="","",IF(H98=0,"",IF(H98=$Z$32,1,IF(H98=$Z$33,2,IF(H98=$Z$34,3,"")))))</f>
        <v/>
      </c>
      <c r="K98" s="13">
        <f t="array" ref="K98">IFERROR(INDEX(Unified_Matrix!$A:$ZZ,ROW(A95),MATCH("+ OVR",Unified_Matrix!$1:$1,0)),"")</f>
        <v/>
      </c>
      <c r="L98" s="13">
        <f t="array" ref="L98">IFERROR(INDEX(Unified_Matrix!$A:$ZZ,ROW(A95),MATCH("Max OVR",Unified_Matrix!$1:$1,0)),"")</f>
        <v/>
      </c>
      <c r="M98" s="13">
        <f t="array" ref="M98">IFERROR(INDEX(Unified_Matrix!$A:$ZZ,ROW(A95),MATCH("Req_Position",Unified_Matrix!$1:$1,0)),"")</f>
        <v/>
      </c>
      <c r="N98" s="13">
        <f t="array" ref="N98">IFERROR(INDEX(Unified_Matrix!$A:$ZZ,ROW(A95),MATCH("Req_OVR_Max",Unified_Matrix!$1:$1,0)),"")</f>
        <v/>
      </c>
      <c r="O98" s="25">
        <f t="array" ref="O98">IFERROR(INDEX(Unified_Matrix!$A:$ZZ,ROW(A95),MATCH("Req_Other",Unified_Matrix!$1:$1,0)),"")</f>
        <v/>
      </c>
    </row>
    <row r="99" ht="68.25" customHeight="1">
      <c r="H99" s="13">
        <f t="array" ref="H99">IFERROR(INDEX(Unified_Matrix!$A:$ZZ,ROW(A96),MATCH("Max "&amp;$H$3,Unified_Matrix!$1:$1,0)),"")</f>
        <v/>
      </c>
      <c r="I99" s="25">
        <f t="array" ref="I99">IFERROR(INDEX(Unified_Matrix!$A:$ZZ,ROW(A96),MATCH("Evolution_Name",Unified_Matrix!$1:$1,0)),"")</f>
        <v/>
      </c>
      <c r="J99" s="13">
        <f>IF(H99="","",IF(H99=0,"",IF(H99=$Z$32,1,IF(H99=$Z$33,2,IF(H99=$Z$34,3,"")))))</f>
        <v/>
      </c>
      <c r="K99" s="13">
        <f t="array" ref="K99">IFERROR(INDEX(Unified_Matrix!$A:$ZZ,ROW(A96),MATCH("+ OVR",Unified_Matrix!$1:$1,0)),"")</f>
        <v/>
      </c>
      <c r="L99" s="13">
        <f t="array" ref="L99">IFERROR(INDEX(Unified_Matrix!$A:$ZZ,ROW(A96),MATCH("Max OVR",Unified_Matrix!$1:$1,0)),"")</f>
        <v/>
      </c>
      <c r="M99" s="13">
        <f t="array" ref="M99">IFERROR(INDEX(Unified_Matrix!$A:$ZZ,ROW(A96),MATCH("Req_Position",Unified_Matrix!$1:$1,0)),"")</f>
        <v/>
      </c>
      <c r="N99" s="13">
        <f t="array" ref="N99">IFERROR(INDEX(Unified_Matrix!$A:$ZZ,ROW(A96),MATCH("Req_OVR_Max",Unified_Matrix!$1:$1,0)),"")</f>
        <v/>
      </c>
      <c r="O99" s="25">
        <f t="array" ref="O99">IFERROR(INDEX(Unified_Matrix!$A:$ZZ,ROW(A96),MATCH("Req_Other",Unified_Matrix!$1:$1,0)),"")</f>
        <v/>
      </c>
    </row>
    <row r="100" ht="68.25" customHeight="1">
      <c r="H100" s="13">
        <f t="array" ref="H100">IFERROR(INDEX(Unified_Matrix!$A:$ZZ,ROW(A97),MATCH("Max "&amp;$H$3,Unified_Matrix!$1:$1,0)),"")</f>
        <v/>
      </c>
      <c r="I100" s="25">
        <f t="array" ref="I100">IFERROR(INDEX(Unified_Matrix!$A:$ZZ,ROW(A97),MATCH("Evolution_Name",Unified_Matrix!$1:$1,0)),"")</f>
        <v/>
      </c>
      <c r="J100" s="13">
        <f>IF(H100="","",IF(H100=0,"",IF(H100=$Z$32,1,IF(H100=$Z$33,2,IF(H100=$Z$34,3,"")))))</f>
        <v/>
      </c>
      <c r="K100" s="13">
        <f t="array" ref="K100">IFERROR(INDEX(Unified_Matrix!$A:$ZZ,ROW(A97),MATCH("+ OVR",Unified_Matrix!$1:$1,0)),"")</f>
        <v/>
      </c>
      <c r="L100" s="13">
        <f t="array" ref="L100">IFERROR(INDEX(Unified_Matrix!$A:$ZZ,ROW(A97),MATCH("Max OVR",Unified_Matrix!$1:$1,0)),"")</f>
        <v/>
      </c>
      <c r="M100" s="13">
        <f t="array" ref="M100">IFERROR(INDEX(Unified_Matrix!$A:$ZZ,ROW(A97),MATCH("Req_Position",Unified_Matrix!$1:$1,0)),"")</f>
        <v/>
      </c>
      <c r="N100" s="13">
        <f t="array" ref="N100">IFERROR(INDEX(Unified_Matrix!$A:$ZZ,ROW(A97),MATCH("Req_OVR_Max",Unified_Matrix!$1:$1,0)),"")</f>
        <v/>
      </c>
      <c r="O100" s="25">
        <f t="array" ref="O100">IFERROR(INDEX(Unified_Matrix!$A:$ZZ,ROW(A97),MATCH("Req_Other",Unified_Matrix!$1:$1,0)),"")</f>
        <v/>
      </c>
    </row>
    <row r="101" ht="68.25" customHeight="1">
      <c r="H101" s="13">
        <f t="array" ref="H101">IFERROR(INDEX(Unified_Matrix!$A:$ZZ,ROW(A98),MATCH("Max "&amp;$H$3,Unified_Matrix!$1:$1,0)),"")</f>
        <v/>
      </c>
      <c r="I101" s="25">
        <f t="array" ref="I101">IFERROR(INDEX(Unified_Matrix!$A:$ZZ,ROW(A98),MATCH("Evolution_Name",Unified_Matrix!$1:$1,0)),"")</f>
        <v/>
      </c>
      <c r="J101" s="13">
        <f>IF(H101="","",IF(H101=0,"",IF(H101=$Z$32,1,IF(H101=$Z$33,2,IF(H101=$Z$34,3,"")))))</f>
        <v/>
      </c>
      <c r="K101" s="13">
        <f t="array" ref="K101">IFERROR(INDEX(Unified_Matrix!$A:$ZZ,ROW(A98),MATCH("+ OVR",Unified_Matrix!$1:$1,0)),"")</f>
        <v/>
      </c>
      <c r="L101" s="13">
        <f t="array" ref="L101">IFERROR(INDEX(Unified_Matrix!$A:$ZZ,ROW(A98),MATCH("Max OVR",Unified_Matrix!$1:$1,0)),"")</f>
        <v/>
      </c>
      <c r="M101" s="13">
        <f t="array" ref="M101">IFERROR(INDEX(Unified_Matrix!$A:$ZZ,ROW(A98),MATCH("Req_Position",Unified_Matrix!$1:$1,0)),"")</f>
        <v/>
      </c>
      <c r="N101" s="13">
        <f t="array" ref="N101">IFERROR(INDEX(Unified_Matrix!$A:$ZZ,ROW(A98),MATCH("Req_OVR_Max",Unified_Matrix!$1:$1,0)),"")</f>
        <v/>
      </c>
      <c r="O101" s="25">
        <f t="array" ref="O101">IFERROR(INDEX(Unified_Matrix!$A:$ZZ,ROW(A98),MATCH("Req_Other",Unified_Matrix!$1:$1,0)),"")</f>
        <v/>
      </c>
    </row>
    <row r="102" ht="68.25" customHeight="1">
      <c r="H102" s="13">
        <f t="array" ref="H102">IFERROR(INDEX(Unified_Matrix!$A:$ZZ,ROW(A99),MATCH("Max "&amp;$H$3,Unified_Matrix!$1:$1,0)),"")</f>
        <v/>
      </c>
      <c r="I102" s="25">
        <f t="array" ref="I102">IFERROR(INDEX(Unified_Matrix!$A:$ZZ,ROW(A99),MATCH("Evolution_Name",Unified_Matrix!$1:$1,0)),"")</f>
        <v/>
      </c>
      <c r="J102" s="13">
        <f>IF(H102="","",IF(H102=0,"",IF(H102=$Z$32,1,IF(H102=$Z$33,2,IF(H102=$Z$34,3,"")))))</f>
        <v/>
      </c>
      <c r="K102" s="13">
        <f t="array" ref="K102">IFERROR(INDEX(Unified_Matrix!$A:$ZZ,ROW(A99),MATCH("+ OVR",Unified_Matrix!$1:$1,0)),"")</f>
        <v/>
      </c>
      <c r="L102" s="13">
        <f t="array" ref="L102">IFERROR(INDEX(Unified_Matrix!$A:$ZZ,ROW(A99),MATCH("Max OVR",Unified_Matrix!$1:$1,0)),"")</f>
        <v/>
      </c>
      <c r="M102" s="13">
        <f t="array" ref="M102">IFERROR(INDEX(Unified_Matrix!$A:$ZZ,ROW(A99),MATCH("Req_Position",Unified_Matrix!$1:$1,0)),"")</f>
        <v/>
      </c>
      <c r="N102" s="13">
        <f t="array" ref="N102">IFERROR(INDEX(Unified_Matrix!$A:$ZZ,ROW(A99),MATCH("Req_OVR_Max",Unified_Matrix!$1:$1,0)),"")</f>
        <v/>
      </c>
      <c r="O102" s="25">
        <f t="array" ref="O102">IFERROR(INDEX(Unified_Matrix!$A:$ZZ,ROW(A99),MATCH("Req_Other",Unified_Matrix!$1:$1,0)),"")</f>
        <v/>
      </c>
    </row>
    <row r="103" ht="68.25" customHeight="1">
      <c r="H103" s="13">
        <f t="array" ref="H103">IFERROR(INDEX(Unified_Matrix!$A:$ZZ,ROW(A100),MATCH("Max "&amp;$H$3,Unified_Matrix!$1:$1,0)),"")</f>
        <v/>
      </c>
      <c r="I103" s="25">
        <f t="array" ref="I103">IFERROR(INDEX(Unified_Matrix!$A:$ZZ,ROW(A100),MATCH("Evolution_Name",Unified_Matrix!$1:$1,0)),"")</f>
        <v/>
      </c>
      <c r="J103" s="13">
        <f>IF(H103="","",IF(H103=0,"",IF(H103=$Z$32,1,IF(H103=$Z$33,2,IF(H103=$Z$34,3,"")))))</f>
        <v/>
      </c>
      <c r="K103" s="13">
        <f t="array" ref="K103">IFERROR(INDEX(Unified_Matrix!$A:$ZZ,ROW(A100),MATCH("+ OVR",Unified_Matrix!$1:$1,0)),"")</f>
        <v/>
      </c>
      <c r="L103" s="13">
        <f t="array" ref="L103">IFERROR(INDEX(Unified_Matrix!$A:$ZZ,ROW(A100),MATCH("Max OVR",Unified_Matrix!$1:$1,0)),"")</f>
        <v/>
      </c>
      <c r="M103" s="13">
        <f t="array" ref="M103">IFERROR(INDEX(Unified_Matrix!$A:$ZZ,ROW(A100),MATCH("Req_Position",Unified_Matrix!$1:$1,0)),"")</f>
        <v/>
      </c>
      <c r="N103" s="13">
        <f t="array" ref="N103">IFERROR(INDEX(Unified_Matrix!$A:$ZZ,ROW(A100),MATCH("Req_OVR_Max",Unified_Matrix!$1:$1,0)),"")</f>
        <v/>
      </c>
      <c r="O103" s="25">
        <f t="array" ref="O103">IFERROR(INDEX(Unified_Matrix!$A:$ZZ,ROW(A100),MATCH("Req_Other",Unified_Matrix!$1:$1,0)),"")</f>
        <v/>
      </c>
    </row>
    <row r="104" ht="68.25" customHeight="1">
      <c r="H104" s="13">
        <f t="array" ref="H104">IFERROR(INDEX(Unified_Matrix!$A:$ZZ,ROW(A101),MATCH("Max "&amp;$H$3,Unified_Matrix!$1:$1,0)),"")</f>
        <v/>
      </c>
      <c r="I104" s="25">
        <f t="array" ref="I104">IFERROR(INDEX(Unified_Matrix!$A:$ZZ,ROW(A101),MATCH("Evolution_Name",Unified_Matrix!$1:$1,0)),"")</f>
        <v/>
      </c>
      <c r="J104" s="13">
        <f>IF(H104="","",IF(H104=0,"",IF(H104=$Z$32,1,IF(H104=$Z$33,2,IF(H104=$Z$34,3,"")))))</f>
        <v/>
      </c>
      <c r="K104" s="13">
        <f t="array" ref="K104">IFERROR(INDEX(Unified_Matrix!$A:$ZZ,ROW(A101),MATCH("+ OVR",Unified_Matrix!$1:$1,0)),"")</f>
        <v/>
      </c>
      <c r="L104" s="13">
        <f t="array" ref="L104">IFERROR(INDEX(Unified_Matrix!$A:$ZZ,ROW(A101),MATCH("Max OVR",Unified_Matrix!$1:$1,0)),"")</f>
        <v/>
      </c>
      <c r="M104" s="13">
        <f t="array" ref="M104">IFERROR(INDEX(Unified_Matrix!$A:$ZZ,ROW(A101),MATCH("Req_Position",Unified_Matrix!$1:$1,0)),"")</f>
        <v/>
      </c>
      <c r="N104" s="13">
        <f t="array" ref="N104">IFERROR(INDEX(Unified_Matrix!$A:$ZZ,ROW(A101),MATCH("Req_OVR_Max",Unified_Matrix!$1:$1,0)),"")</f>
        <v/>
      </c>
      <c r="O104" s="25">
        <f t="array" ref="O104">IFERROR(INDEX(Unified_Matrix!$A:$ZZ,ROW(A101),MATCH("Req_Other",Unified_Matrix!$1:$1,0)),"")</f>
        <v/>
      </c>
    </row>
    <row r="105" ht="68.25" customHeight="1">
      <c r="H105" s="13">
        <f t="array" ref="H105">IFERROR(INDEX(Unified_Matrix!$A:$ZZ,ROW(A102),MATCH("Max "&amp;$H$3,Unified_Matrix!$1:$1,0)),"")</f>
        <v/>
      </c>
      <c r="I105" s="25">
        <f t="array" ref="I105">IFERROR(INDEX(Unified_Matrix!$A:$ZZ,ROW(A102),MATCH("Evolution_Name",Unified_Matrix!$1:$1,0)),"")</f>
        <v/>
      </c>
      <c r="J105" s="13">
        <f>IF(H105="","",IF(H105=0,"",IF(H105=$Z$32,1,IF(H105=$Z$33,2,IF(H105=$Z$34,3,"")))))</f>
        <v/>
      </c>
      <c r="K105" s="13">
        <f t="array" ref="K105">IFERROR(INDEX(Unified_Matrix!$A:$ZZ,ROW(A102),MATCH("+ OVR",Unified_Matrix!$1:$1,0)),"")</f>
        <v/>
      </c>
      <c r="L105" s="13">
        <f t="array" ref="L105">IFERROR(INDEX(Unified_Matrix!$A:$ZZ,ROW(A102),MATCH("Max OVR",Unified_Matrix!$1:$1,0)),"")</f>
        <v/>
      </c>
      <c r="M105" s="13">
        <f t="array" ref="M105">IFERROR(INDEX(Unified_Matrix!$A:$ZZ,ROW(A102),MATCH("Req_Position",Unified_Matrix!$1:$1,0)),"")</f>
        <v/>
      </c>
      <c r="N105" s="13">
        <f t="array" ref="N105">IFERROR(INDEX(Unified_Matrix!$A:$ZZ,ROW(A102),MATCH("Req_OVR_Max",Unified_Matrix!$1:$1,0)),"")</f>
        <v/>
      </c>
      <c r="O105" s="25">
        <f t="array" ref="O105">IFERROR(INDEX(Unified_Matrix!$A:$ZZ,ROW(A102),MATCH("Req_Other",Unified_Matrix!$1:$1,0)),"")</f>
        <v/>
      </c>
    </row>
    <row r="106" ht="68.25" customHeight="1">
      <c r="H106" s="13">
        <f t="array" ref="H106">IFERROR(INDEX(Unified_Matrix!$A:$ZZ,ROW(A103),MATCH("Max "&amp;$H$3,Unified_Matrix!$1:$1,0)),"")</f>
        <v/>
      </c>
      <c r="I106" s="25">
        <f t="array" ref="I106">IFERROR(INDEX(Unified_Matrix!$A:$ZZ,ROW(A103),MATCH("Evolution_Name",Unified_Matrix!$1:$1,0)),"")</f>
        <v/>
      </c>
      <c r="J106" s="13">
        <f>IF(H106="","",IF(H106=0,"",IF(H106=$Z$32,1,IF(H106=$Z$33,2,IF(H106=$Z$34,3,"")))))</f>
        <v/>
      </c>
      <c r="K106" s="13">
        <f t="array" ref="K106">IFERROR(INDEX(Unified_Matrix!$A:$ZZ,ROW(A103),MATCH("+ OVR",Unified_Matrix!$1:$1,0)),"")</f>
        <v/>
      </c>
      <c r="L106" s="13">
        <f t="array" ref="L106">IFERROR(INDEX(Unified_Matrix!$A:$ZZ,ROW(A103),MATCH("Max OVR",Unified_Matrix!$1:$1,0)),"")</f>
        <v/>
      </c>
      <c r="M106" s="13">
        <f t="array" ref="M106">IFERROR(INDEX(Unified_Matrix!$A:$ZZ,ROW(A103),MATCH("Req_Position",Unified_Matrix!$1:$1,0)),"")</f>
        <v/>
      </c>
      <c r="N106" s="13">
        <f t="array" ref="N106">IFERROR(INDEX(Unified_Matrix!$A:$ZZ,ROW(A103),MATCH("Req_OVR_Max",Unified_Matrix!$1:$1,0)),"")</f>
        <v/>
      </c>
      <c r="O106" s="25">
        <f t="array" ref="O106">IFERROR(INDEX(Unified_Matrix!$A:$ZZ,ROW(A103),MATCH("Req_Other",Unified_Matrix!$1:$1,0)),"")</f>
        <v/>
      </c>
    </row>
    <row r="107" ht="68.25" customHeight="1">
      <c r="H107" s="13">
        <f t="array" ref="H107">IFERROR(INDEX(Unified_Matrix!$A:$ZZ,ROW(A104),MATCH("Max "&amp;$H$3,Unified_Matrix!$1:$1,0)),"")</f>
        <v/>
      </c>
      <c r="I107" s="25">
        <f t="array" ref="I107">IFERROR(INDEX(Unified_Matrix!$A:$ZZ,ROW(A104),MATCH("Evolution_Name",Unified_Matrix!$1:$1,0)),"")</f>
        <v/>
      </c>
      <c r="J107" s="13">
        <f>IF(H107="","",IF(H107=0,"",IF(H107=$Z$32,1,IF(H107=$Z$33,2,IF(H107=$Z$34,3,"")))))</f>
        <v/>
      </c>
      <c r="K107" s="13">
        <f t="array" ref="K107">IFERROR(INDEX(Unified_Matrix!$A:$ZZ,ROW(A104),MATCH("+ OVR",Unified_Matrix!$1:$1,0)),"")</f>
        <v/>
      </c>
      <c r="L107" s="13">
        <f t="array" ref="L107">IFERROR(INDEX(Unified_Matrix!$A:$ZZ,ROW(A104),MATCH("Max OVR",Unified_Matrix!$1:$1,0)),"")</f>
        <v/>
      </c>
      <c r="M107" s="13">
        <f t="array" ref="M107">IFERROR(INDEX(Unified_Matrix!$A:$ZZ,ROW(A104),MATCH("Req_Position",Unified_Matrix!$1:$1,0)),"")</f>
        <v/>
      </c>
      <c r="N107" s="13">
        <f t="array" ref="N107">IFERROR(INDEX(Unified_Matrix!$A:$ZZ,ROW(A104),MATCH("Req_OVR_Max",Unified_Matrix!$1:$1,0)),"")</f>
        <v/>
      </c>
      <c r="O107" s="25">
        <f t="array" ref="O107">IFERROR(INDEX(Unified_Matrix!$A:$ZZ,ROW(A104),MATCH("Req_Other",Unified_Matrix!$1:$1,0)),"")</f>
        <v/>
      </c>
    </row>
    <row r="108" ht="68.25" customHeight="1">
      <c r="H108" s="13">
        <f t="array" ref="H108">IFERROR(INDEX(Unified_Matrix!$A:$ZZ,ROW(A105),MATCH("Max "&amp;$H$3,Unified_Matrix!$1:$1,0)),"")</f>
        <v/>
      </c>
      <c r="I108" s="25">
        <f t="array" ref="I108">IFERROR(INDEX(Unified_Matrix!$A:$ZZ,ROW(A105),MATCH("Evolution_Name",Unified_Matrix!$1:$1,0)),"")</f>
        <v/>
      </c>
      <c r="J108" s="13">
        <f>IF(H108="","",IF(H108=0,"",IF(H108=$Z$32,1,IF(H108=$Z$33,2,IF(H108=$Z$34,3,"")))))</f>
        <v/>
      </c>
      <c r="K108" s="13">
        <f t="array" ref="K108">IFERROR(INDEX(Unified_Matrix!$A:$ZZ,ROW(A105),MATCH("+ OVR",Unified_Matrix!$1:$1,0)),"")</f>
        <v/>
      </c>
      <c r="L108" s="13">
        <f t="array" ref="L108">IFERROR(INDEX(Unified_Matrix!$A:$ZZ,ROW(A105),MATCH("Max OVR",Unified_Matrix!$1:$1,0)),"")</f>
        <v/>
      </c>
      <c r="M108" s="13">
        <f t="array" ref="M108">IFERROR(INDEX(Unified_Matrix!$A:$ZZ,ROW(A105),MATCH("Req_Position",Unified_Matrix!$1:$1,0)),"")</f>
        <v/>
      </c>
      <c r="N108" s="13">
        <f t="array" ref="N108">IFERROR(INDEX(Unified_Matrix!$A:$ZZ,ROW(A105),MATCH("Req_OVR_Max",Unified_Matrix!$1:$1,0)),"")</f>
        <v/>
      </c>
      <c r="O108" s="25">
        <f t="array" ref="O108">IFERROR(INDEX(Unified_Matrix!$A:$ZZ,ROW(A105),MATCH("Req_Other",Unified_Matrix!$1:$1,0)),"")</f>
        <v/>
      </c>
    </row>
    <row r="109" ht="68.25" customHeight="1">
      <c r="H109" s="13">
        <f t="array" ref="H109">IFERROR(INDEX(Unified_Matrix!$A:$ZZ,ROW(A106),MATCH("Max "&amp;$H$3,Unified_Matrix!$1:$1,0)),"")</f>
        <v/>
      </c>
      <c r="I109" s="25">
        <f t="array" ref="I109">IFERROR(INDEX(Unified_Matrix!$A:$ZZ,ROW(A106),MATCH("Evolution_Name",Unified_Matrix!$1:$1,0)),"")</f>
        <v/>
      </c>
      <c r="J109" s="13">
        <f>IF(H109="","",IF(H109=0,"",IF(H109=$Z$32,1,IF(H109=$Z$33,2,IF(H109=$Z$34,3,"")))))</f>
        <v/>
      </c>
      <c r="K109" s="13">
        <f t="array" ref="K109">IFERROR(INDEX(Unified_Matrix!$A:$ZZ,ROW(A106),MATCH("+ OVR",Unified_Matrix!$1:$1,0)),"")</f>
        <v/>
      </c>
      <c r="L109" s="13">
        <f t="array" ref="L109">IFERROR(INDEX(Unified_Matrix!$A:$ZZ,ROW(A106),MATCH("Max OVR",Unified_Matrix!$1:$1,0)),"")</f>
        <v/>
      </c>
      <c r="M109" s="13">
        <f t="array" ref="M109">IFERROR(INDEX(Unified_Matrix!$A:$ZZ,ROW(A106),MATCH("Req_Position",Unified_Matrix!$1:$1,0)),"")</f>
        <v/>
      </c>
      <c r="N109" s="13">
        <f t="array" ref="N109">IFERROR(INDEX(Unified_Matrix!$A:$ZZ,ROW(A106),MATCH("Req_OVR_Max",Unified_Matrix!$1:$1,0)),"")</f>
        <v/>
      </c>
      <c r="O109" s="25">
        <f t="array" ref="O109">IFERROR(INDEX(Unified_Matrix!$A:$ZZ,ROW(A106),MATCH("Req_Other",Unified_Matrix!$1:$1,0)),"")</f>
        <v/>
      </c>
    </row>
    <row r="110" ht="68.25" customHeight="1">
      <c r="H110" s="13">
        <f t="array" ref="H110">IFERROR(INDEX(Unified_Matrix!$A:$ZZ,ROW(A107),MATCH("Max "&amp;$H$3,Unified_Matrix!$1:$1,0)),"")</f>
        <v/>
      </c>
      <c r="I110" s="25">
        <f t="array" ref="I110">IFERROR(INDEX(Unified_Matrix!$A:$ZZ,ROW(A107),MATCH("Evolution_Name",Unified_Matrix!$1:$1,0)),"")</f>
        <v/>
      </c>
      <c r="J110" s="13">
        <f>IF(H110="","",IF(H110=0,"",IF(H110=$Z$32,1,IF(H110=$Z$33,2,IF(H110=$Z$34,3,"")))))</f>
        <v/>
      </c>
      <c r="K110" s="13">
        <f t="array" ref="K110">IFERROR(INDEX(Unified_Matrix!$A:$ZZ,ROW(A107),MATCH("+ OVR",Unified_Matrix!$1:$1,0)),"")</f>
        <v/>
      </c>
      <c r="L110" s="13">
        <f t="array" ref="L110">IFERROR(INDEX(Unified_Matrix!$A:$ZZ,ROW(A107),MATCH("Max OVR",Unified_Matrix!$1:$1,0)),"")</f>
        <v/>
      </c>
      <c r="M110" s="13">
        <f t="array" ref="M110">IFERROR(INDEX(Unified_Matrix!$A:$ZZ,ROW(A107),MATCH("Req_Position",Unified_Matrix!$1:$1,0)),"")</f>
        <v/>
      </c>
      <c r="N110" s="13">
        <f t="array" ref="N110">IFERROR(INDEX(Unified_Matrix!$A:$ZZ,ROW(A107),MATCH("Req_OVR_Max",Unified_Matrix!$1:$1,0)),"")</f>
        <v/>
      </c>
      <c r="O110" s="25">
        <f t="array" ref="O110">IFERROR(INDEX(Unified_Matrix!$A:$ZZ,ROW(A107),MATCH("Req_Other",Unified_Matrix!$1:$1,0)),"")</f>
        <v/>
      </c>
    </row>
    <row r="111" ht="68.25" customHeight="1">
      <c r="H111" s="13">
        <f t="array" ref="H111">IFERROR(INDEX(Unified_Matrix!$A:$ZZ,ROW(A108),MATCH("Max "&amp;$H$3,Unified_Matrix!$1:$1,0)),"")</f>
        <v/>
      </c>
      <c r="I111" s="25">
        <f t="array" ref="I111">IFERROR(INDEX(Unified_Matrix!$A:$ZZ,ROW(A108),MATCH("Evolution_Name",Unified_Matrix!$1:$1,0)),"")</f>
        <v/>
      </c>
      <c r="J111" s="13">
        <f>IF(H111="","",IF(H111=0,"",IF(H111=$Z$32,1,IF(H111=$Z$33,2,IF(H111=$Z$34,3,"")))))</f>
        <v/>
      </c>
      <c r="K111" s="13">
        <f t="array" ref="K111">IFERROR(INDEX(Unified_Matrix!$A:$ZZ,ROW(A108),MATCH("+ OVR",Unified_Matrix!$1:$1,0)),"")</f>
        <v/>
      </c>
      <c r="L111" s="13">
        <f t="array" ref="L111">IFERROR(INDEX(Unified_Matrix!$A:$ZZ,ROW(A108),MATCH("Max OVR",Unified_Matrix!$1:$1,0)),"")</f>
        <v/>
      </c>
      <c r="M111" s="13">
        <f t="array" ref="M111">IFERROR(INDEX(Unified_Matrix!$A:$ZZ,ROW(A108),MATCH("Req_Position",Unified_Matrix!$1:$1,0)),"")</f>
        <v/>
      </c>
      <c r="N111" s="13">
        <f t="array" ref="N111">IFERROR(INDEX(Unified_Matrix!$A:$ZZ,ROW(A108),MATCH("Req_OVR_Max",Unified_Matrix!$1:$1,0)),"")</f>
        <v/>
      </c>
      <c r="O111" s="25">
        <f t="array" ref="O111">IFERROR(INDEX(Unified_Matrix!$A:$ZZ,ROW(A108),MATCH("Req_Other",Unified_Matrix!$1:$1,0)),"")</f>
        <v/>
      </c>
    </row>
    <row r="112" ht="68.25" customHeight="1">
      <c r="H112" s="13">
        <f t="array" ref="H112">IFERROR(INDEX(Unified_Matrix!$A:$ZZ,ROW(A109),MATCH("Max "&amp;$H$3,Unified_Matrix!$1:$1,0)),"")</f>
        <v/>
      </c>
      <c r="I112" s="25">
        <f t="array" ref="I112">IFERROR(INDEX(Unified_Matrix!$A:$ZZ,ROW(A109),MATCH("Evolution_Name",Unified_Matrix!$1:$1,0)),"")</f>
        <v/>
      </c>
      <c r="J112" s="13">
        <f>IF(H112="","",IF(H112=0,"",IF(H112=$Z$32,1,IF(H112=$Z$33,2,IF(H112=$Z$34,3,"")))))</f>
        <v/>
      </c>
      <c r="K112" s="13">
        <f t="array" ref="K112">IFERROR(INDEX(Unified_Matrix!$A:$ZZ,ROW(A109),MATCH("+ OVR",Unified_Matrix!$1:$1,0)),"")</f>
        <v/>
      </c>
      <c r="L112" s="13">
        <f t="array" ref="L112">IFERROR(INDEX(Unified_Matrix!$A:$ZZ,ROW(A109),MATCH("Max OVR",Unified_Matrix!$1:$1,0)),"")</f>
        <v/>
      </c>
      <c r="M112" s="13">
        <f t="array" ref="M112">IFERROR(INDEX(Unified_Matrix!$A:$ZZ,ROW(A109),MATCH("Req_Position",Unified_Matrix!$1:$1,0)),"")</f>
        <v/>
      </c>
      <c r="N112" s="13">
        <f t="array" ref="N112">IFERROR(INDEX(Unified_Matrix!$A:$ZZ,ROW(A109),MATCH("Req_OVR_Max",Unified_Matrix!$1:$1,0)),"")</f>
        <v/>
      </c>
      <c r="O112" s="25">
        <f t="array" ref="O112">IFERROR(INDEX(Unified_Matrix!$A:$ZZ,ROW(A109),MATCH("Req_Other",Unified_Matrix!$1:$1,0)),"")</f>
        <v/>
      </c>
    </row>
    <row r="113" ht="68.25" customHeight="1">
      <c r="H113" s="13">
        <f t="array" ref="H113">IFERROR(INDEX(Unified_Matrix!$A:$ZZ,ROW(A110),MATCH("Max "&amp;$H$3,Unified_Matrix!$1:$1,0)),"")</f>
        <v/>
      </c>
      <c r="I113" s="25">
        <f t="array" ref="I113">IFERROR(INDEX(Unified_Matrix!$A:$ZZ,ROW(A110),MATCH("Evolution_Name",Unified_Matrix!$1:$1,0)),"")</f>
        <v/>
      </c>
      <c r="J113" s="13">
        <f>IF(H113="","",IF(H113=0,"",IF(H113=$Z$32,1,IF(H113=$Z$33,2,IF(H113=$Z$34,3,"")))))</f>
        <v/>
      </c>
      <c r="K113" s="13">
        <f t="array" ref="K113">IFERROR(INDEX(Unified_Matrix!$A:$ZZ,ROW(A110),MATCH("+ OVR",Unified_Matrix!$1:$1,0)),"")</f>
        <v/>
      </c>
      <c r="L113" s="13">
        <f t="array" ref="L113">IFERROR(INDEX(Unified_Matrix!$A:$ZZ,ROW(A110),MATCH("Max OVR",Unified_Matrix!$1:$1,0)),"")</f>
        <v/>
      </c>
      <c r="M113" s="13">
        <f t="array" ref="M113">IFERROR(INDEX(Unified_Matrix!$A:$ZZ,ROW(A110),MATCH("Req_Position",Unified_Matrix!$1:$1,0)),"")</f>
        <v/>
      </c>
      <c r="N113" s="13">
        <f t="array" ref="N113">IFERROR(INDEX(Unified_Matrix!$A:$ZZ,ROW(A110),MATCH("Req_OVR_Max",Unified_Matrix!$1:$1,0)),"")</f>
        <v/>
      </c>
      <c r="O113" s="25">
        <f t="array" ref="O113">IFERROR(INDEX(Unified_Matrix!$A:$ZZ,ROW(A110),MATCH("Req_Other",Unified_Matrix!$1:$1,0)),"")</f>
        <v/>
      </c>
    </row>
    <row r="114" ht="68.25" customHeight="1">
      <c r="H114" s="13">
        <f t="array" ref="H114">IFERROR(INDEX(Unified_Matrix!$A:$ZZ,ROW(A111),MATCH("Max "&amp;$H$3,Unified_Matrix!$1:$1,0)),"")</f>
        <v/>
      </c>
      <c r="I114" s="25">
        <f t="array" ref="I114">IFERROR(INDEX(Unified_Matrix!$A:$ZZ,ROW(A111),MATCH("Evolution_Name",Unified_Matrix!$1:$1,0)),"")</f>
        <v/>
      </c>
      <c r="J114" s="13">
        <f>IF(H114="","",IF(H114=0,"",IF(H114=$Z$32,1,IF(H114=$Z$33,2,IF(H114=$Z$34,3,"")))))</f>
        <v/>
      </c>
      <c r="K114" s="13">
        <f t="array" ref="K114">IFERROR(INDEX(Unified_Matrix!$A:$ZZ,ROW(A111),MATCH("+ OVR",Unified_Matrix!$1:$1,0)),"")</f>
        <v/>
      </c>
      <c r="L114" s="13">
        <f t="array" ref="L114">IFERROR(INDEX(Unified_Matrix!$A:$ZZ,ROW(A111),MATCH("Max OVR",Unified_Matrix!$1:$1,0)),"")</f>
        <v/>
      </c>
      <c r="M114" s="13">
        <f t="array" ref="M114">IFERROR(INDEX(Unified_Matrix!$A:$ZZ,ROW(A111),MATCH("Req_Position",Unified_Matrix!$1:$1,0)),"")</f>
        <v/>
      </c>
      <c r="N114" s="13">
        <f t="array" ref="N114">IFERROR(INDEX(Unified_Matrix!$A:$ZZ,ROW(A111),MATCH("Req_OVR_Max",Unified_Matrix!$1:$1,0)),"")</f>
        <v/>
      </c>
      <c r="O114" s="25">
        <f t="array" ref="O114">IFERROR(INDEX(Unified_Matrix!$A:$ZZ,ROW(A111),MATCH("Req_Other",Unified_Matrix!$1:$1,0)),"")</f>
        <v/>
      </c>
    </row>
    <row r="115" ht="68.25" customHeight="1">
      <c r="H115" s="13">
        <f t="array" ref="H115">IFERROR(INDEX(Unified_Matrix!$A:$ZZ,ROW(A112),MATCH("Max "&amp;$H$3,Unified_Matrix!$1:$1,0)),"")</f>
        <v/>
      </c>
      <c r="I115" s="25">
        <f t="array" ref="I115">IFERROR(INDEX(Unified_Matrix!$A:$ZZ,ROW(A112),MATCH("Evolution_Name",Unified_Matrix!$1:$1,0)),"")</f>
        <v/>
      </c>
      <c r="J115" s="13">
        <f>IF(H115="","",IF(H115=0,"",IF(H115=$Z$32,1,IF(H115=$Z$33,2,IF(H115=$Z$34,3,"")))))</f>
        <v/>
      </c>
      <c r="K115" s="13">
        <f t="array" ref="K115">IFERROR(INDEX(Unified_Matrix!$A:$ZZ,ROW(A112),MATCH("+ OVR",Unified_Matrix!$1:$1,0)),"")</f>
        <v/>
      </c>
      <c r="L115" s="13">
        <f t="array" ref="L115">IFERROR(INDEX(Unified_Matrix!$A:$ZZ,ROW(A112),MATCH("Max OVR",Unified_Matrix!$1:$1,0)),"")</f>
        <v/>
      </c>
      <c r="M115" s="13">
        <f t="array" ref="M115">IFERROR(INDEX(Unified_Matrix!$A:$ZZ,ROW(A112),MATCH("Req_Position",Unified_Matrix!$1:$1,0)),"")</f>
        <v/>
      </c>
      <c r="N115" s="13">
        <f t="array" ref="N115">IFERROR(INDEX(Unified_Matrix!$A:$ZZ,ROW(A112),MATCH("Req_OVR_Max",Unified_Matrix!$1:$1,0)),"")</f>
        <v/>
      </c>
      <c r="O115" s="25">
        <f t="array" ref="O115">IFERROR(INDEX(Unified_Matrix!$A:$ZZ,ROW(A112),MATCH("Req_Other",Unified_Matrix!$1:$1,0)),"")</f>
        <v/>
      </c>
    </row>
    <row r="116" ht="68.25" customHeight="1">
      <c r="H116" s="13">
        <f t="array" ref="H116">IFERROR(INDEX(Unified_Matrix!$A:$ZZ,ROW(A113),MATCH("Max "&amp;$H$3,Unified_Matrix!$1:$1,0)),"")</f>
        <v/>
      </c>
      <c r="I116" s="25">
        <f t="array" ref="I116">IFERROR(INDEX(Unified_Matrix!$A:$ZZ,ROW(A113),MATCH("Evolution_Name",Unified_Matrix!$1:$1,0)),"")</f>
        <v/>
      </c>
      <c r="J116" s="13">
        <f>IF(H116="","",IF(H116=0,"",IF(H116=$Z$32,1,IF(H116=$Z$33,2,IF(H116=$Z$34,3,"")))))</f>
        <v/>
      </c>
      <c r="K116" s="13">
        <f t="array" ref="K116">IFERROR(INDEX(Unified_Matrix!$A:$ZZ,ROW(A113),MATCH("+ OVR",Unified_Matrix!$1:$1,0)),"")</f>
        <v/>
      </c>
      <c r="L116" s="13">
        <f t="array" ref="L116">IFERROR(INDEX(Unified_Matrix!$A:$ZZ,ROW(A113),MATCH("Max OVR",Unified_Matrix!$1:$1,0)),"")</f>
        <v/>
      </c>
      <c r="M116" s="13">
        <f t="array" ref="M116">IFERROR(INDEX(Unified_Matrix!$A:$ZZ,ROW(A113),MATCH("Req_Position",Unified_Matrix!$1:$1,0)),"")</f>
        <v/>
      </c>
      <c r="N116" s="13">
        <f t="array" ref="N116">IFERROR(INDEX(Unified_Matrix!$A:$ZZ,ROW(A113),MATCH("Req_OVR_Max",Unified_Matrix!$1:$1,0)),"")</f>
        <v/>
      </c>
      <c r="O116" s="25">
        <f t="array" ref="O116">IFERROR(INDEX(Unified_Matrix!$A:$ZZ,ROW(A113),MATCH("Req_Other",Unified_Matrix!$1:$1,0)),"")</f>
        <v/>
      </c>
    </row>
    <row r="117" ht="68.25" customHeight="1">
      <c r="H117" s="13">
        <f t="array" ref="H117">IFERROR(INDEX(Unified_Matrix!$A:$ZZ,ROW(A114),MATCH("Max "&amp;$H$3,Unified_Matrix!$1:$1,0)),"")</f>
        <v/>
      </c>
      <c r="I117" s="25">
        <f t="array" ref="I117">IFERROR(INDEX(Unified_Matrix!$A:$ZZ,ROW(A114),MATCH("Evolution_Name",Unified_Matrix!$1:$1,0)),"")</f>
        <v/>
      </c>
      <c r="J117" s="13">
        <f>IF(H117="","",IF(H117=0,"",IF(H117=$Z$32,1,IF(H117=$Z$33,2,IF(H117=$Z$34,3,"")))))</f>
        <v/>
      </c>
      <c r="K117" s="13">
        <f t="array" ref="K117">IFERROR(INDEX(Unified_Matrix!$A:$ZZ,ROW(A114),MATCH("+ OVR",Unified_Matrix!$1:$1,0)),"")</f>
        <v/>
      </c>
      <c r="L117" s="13">
        <f t="array" ref="L117">IFERROR(INDEX(Unified_Matrix!$A:$ZZ,ROW(A114),MATCH("Max OVR",Unified_Matrix!$1:$1,0)),"")</f>
        <v/>
      </c>
      <c r="M117" s="13">
        <f t="array" ref="M117">IFERROR(INDEX(Unified_Matrix!$A:$ZZ,ROW(A114),MATCH("Req_Position",Unified_Matrix!$1:$1,0)),"")</f>
        <v/>
      </c>
      <c r="N117" s="13">
        <f t="array" ref="N117">IFERROR(INDEX(Unified_Matrix!$A:$ZZ,ROW(A114),MATCH("Req_OVR_Max",Unified_Matrix!$1:$1,0)),"")</f>
        <v/>
      </c>
      <c r="O117" s="25">
        <f t="array" ref="O117">IFERROR(INDEX(Unified_Matrix!$A:$ZZ,ROW(A114),MATCH("Req_Other",Unified_Matrix!$1:$1,0)),"")</f>
        <v/>
      </c>
    </row>
    <row r="118" ht="68.25" customHeight="1">
      <c r="H118" s="13">
        <f t="array" ref="H118">IFERROR(INDEX(Unified_Matrix!$A:$ZZ,ROW(A115),MATCH("Max "&amp;$H$3,Unified_Matrix!$1:$1,0)),"")</f>
        <v/>
      </c>
      <c r="I118" s="25">
        <f t="array" ref="I118">IFERROR(INDEX(Unified_Matrix!$A:$ZZ,ROW(A115),MATCH("Evolution_Name",Unified_Matrix!$1:$1,0)),"")</f>
        <v/>
      </c>
      <c r="J118" s="13">
        <f>IF(H118="","",IF(H118=0,"",IF(H118=$Z$32,1,IF(H118=$Z$33,2,IF(H118=$Z$34,3,"")))))</f>
        <v/>
      </c>
      <c r="K118" s="13">
        <f t="array" ref="K118">IFERROR(INDEX(Unified_Matrix!$A:$ZZ,ROW(A115),MATCH("+ OVR",Unified_Matrix!$1:$1,0)),"")</f>
        <v/>
      </c>
      <c r="L118" s="13">
        <f t="array" ref="L118">IFERROR(INDEX(Unified_Matrix!$A:$ZZ,ROW(A115),MATCH("Max OVR",Unified_Matrix!$1:$1,0)),"")</f>
        <v/>
      </c>
      <c r="M118" s="13">
        <f t="array" ref="M118">IFERROR(INDEX(Unified_Matrix!$A:$ZZ,ROW(A115),MATCH("Req_Position",Unified_Matrix!$1:$1,0)),"")</f>
        <v/>
      </c>
      <c r="N118" s="13">
        <f t="array" ref="N118">IFERROR(INDEX(Unified_Matrix!$A:$ZZ,ROW(A115),MATCH("Req_OVR_Max",Unified_Matrix!$1:$1,0)),"")</f>
        <v/>
      </c>
      <c r="O118" s="25">
        <f t="array" ref="O118">IFERROR(INDEX(Unified_Matrix!$A:$ZZ,ROW(A115),MATCH("Req_Other",Unified_Matrix!$1:$1,0)),"")</f>
        <v/>
      </c>
    </row>
    <row r="119" ht="68.25" customHeight="1">
      <c r="H119" s="13">
        <f t="array" ref="H119">IFERROR(INDEX(Unified_Matrix!$A:$ZZ,ROW(A116),MATCH("Max "&amp;$H$3,Unified_Matrix!$1:$1,0)),"")</f>
        <v/>
      </c>
      <c r="I119" s="25">
        <f t="array" ref="I119">IFERROR(INDEX(Unified_Matrix!$A:$ZZ,ROW(A116),MATCH("Evolution_Name",Unified_Matrix!$1:$1,0)),"")</f>
        <v/>
      </c>
      <c r="J119" s="13">
        <f>IF(H119="","",IF(H119=0,"",IF(H119=$Z$32,1,IF(H119=$Z$33,2,IF(H119=$Z$34,3,"")))))</f>
        <v/>
      </c>
      <c r="K119" s="13">
        <f t="array" ref="K119">IFERROR(INDEX(Unified_Matrix!$A:$ZZ,ROW(A116),MATCH("+ OVR",Unified_Matrix!$1:$1,0)),"")</f>
        <v/>
      </c>
      <c r="L119" s="13">
        <f t="array" ref="L119">IFERROR(INDEX(Unified_Matrix!$A:$ZZ,ROW(A116),MATCH("Max OVR",Unified_Matrix!$1:$1,0)),"")</f>
        <v/>
      </c>
      <c r="M119" s="13">
        <f t="array" ref="M119">IFERROR(INDEX(Unified_Matrix!$A:$ZZ,ROW(A116),MATCH("Req_Position",Unified_Matrix!$1:$1,0)),"")</f>
        <v/>
      </c>
      <c r="N119" s="13">
        <f t="array" ref="N119">IFERROR(INDEX(Unified_Matrix!$A:$ZZ,ROW(A116),MATCH("Req_OVR_Max",Unified_Matrix!$1:$1,0)),"")</f>
        <v/>
      </c>
      <c r="O119" s="25">
        <f t="array" ref="O119">IFERROR(INDEX(Unified_Matrix!$A:$ZZ,ROW(A116),MATCH("Req_Other",Unified_Matrix!$1:$1,0)),"")</f>
        <v/>
      </c>
    </row>
    <row r="120" ht="68.25" customHeight="1">
      <c r="H120" s="13">
        <f t="array" ref="H120">IFERROR(INDEX(Unified_Matrix!$A:$ZZ,ROW(A117),MATCH("Max "&amp;$H$3,Unified_Matrix!$1:$1,0)),"")</f>
        <v/>
      </c>
      <c r="I120" s="25">
        <f t="array" ref="I120">IFERROR(INDEX(Unified_Matrix!$A:$ZZ,ROW(A117),MATCH("Evolution_Name",Unified_Matrix!$1:$1,0)),"")</f>
        <v/>
      </c>
      <c r="J120" s="13">
        <f>IF(H120="","",IF(H120=0,"",IF(H120=$Z$32,1,IF(H120=$Z$33,2,IF(H120=$Z$34,3,"")))))</f>
        <v/>
      </c>
      <c r="K120" s="13">
        <f t="array" ref="K120">IFERROR(INDEX(Unified_Matrix!$A:$ZZ,ROW(A117),MATCH("+ OVR",Unified_Matrix!$1:$1,0)),"")</f>
        <v/>
      </c>
      <c r="L120" s="13">
        <f t="array" ref="L120">IFERROR(INDEX(Unified_Matrix!$A:$ZZ,ROW(A117),MATCH("Max OVR",Unified_Matrix!$1:$1,0)),"")</f>
        <v/>
      </c>
      <c r="M120" s="13">
        <f t="array" ref="M120">IFERROR(INDEX(Unified_Matrix!$A:$ZZ,ROW(A117),MATCH("Req_Position",Unified_Matrix!$1:$1,0)),"")</f>
        <v/>
      </c>
      <c r="N120" s="13">
        <f t="array" ref="N120">IFERROR(INDEX(Unified_Matrix!$A:$ZZ,ROW(A117),MATCH("Req_OVR_Max",Unified_Matrix!$1:$1,0)),"")</f>
        <v/>
      </c>
      <c r="O120" s="25">
        <f t="array" ref="O120">IFERROR(INDEX(Unified_Matrix!$A:$ZZ,ROW(A117),MATCH("Req_Other",Unified_Matrix!$1:$1,0)),"")</f>
        <v/>
      </c>
    </row>
    <row r="121" ht="68.25" customHeight="1">
      <c r="H121" s="13">
        <f t="array" ref="H121">IFERROR(INDEX(Unified_Matrix!$A:$ZZ,ROW(A118),MATCH("Max "&amp;$H$3,Unified_Matrix!$1:$1,0)),"")</f>
        <v/>
      </c>
      <c r="I121" s="25">
        <f t="array" ref="I121">IFERROR(INDEX(Unified_Matrix!$A:$ZZ,ROW(A118),MATCH("Evolution_Name",Unified_Matrix!$1:$1,0)),"")</f>
        <v/>
      </c>
      <c r="J121" s="13">
        <f>IF(H121="","",IF(H121=0,"",IF(H121=$Z$32,1,IF(H121=$Z$33,2,IF(H121=$Z$34,3,"")))))</f>
        <v/>
      </c>
      <c r="K121" s="13">
        <f t="array" ref="K121">IFERROR(INDEX(Unified_Matrix!$A:$ZZ,ROW(A118),MATCH("+ OVR",Unified_Matrix!$1:$1,0)),"")</f>
        <v/>
      </c>
      <c r="L121" s="13">
        <f t="array" ref="L121">IFERROR(INDEX(Unified_Matrix!$A:$ZZ,ROW(A118),MATCH("Max OVR",Unified_Matrix!$1:$1,0)),"")</f>
        <v/>
      </c>
      <c r="M121" s="13">
        <f t="array" ref="M121">IFERROR(INDEX(Unified_Matrix!$A:$ZZ,ROW(A118),MATCH("Req_Position",Unified_Matrix!$1:$1,0)),"")</f>
        <v/>
      </c>
      <c r="N121" s="13">
        <f t="array" ref="N121">IFERROR(INDEX(Unified_Matrix!$A:$ZZ,ROW(A118),MATCH("Req_OVR_Max",Unified_Matrix!$1:$1,0)),"")</f>
        <v/>
      </c>
      <c r="O121" s="25">
        <f t="array" ref="O121">IFERROR(INDEX(Unified_Matrix!$A:$ZZ,ROW(A118),MATCH("Req_Other",Unified_Matrix!$1:$1,0)),"")</f>
        <v/>
      </c>
    </row>
    <row r="122" ht="68.25" customHeight="1">
      <c r="H122" s="13">
        <f t="array" ref="H122">IFERROR(INDEX(Unified_Matrix!$A:$ZZ,ROW(A119),MATCH("Max "&amp;$H$3,Unified_Matrix!$1:$1,0)),"")</f>
        <v/>
      </c>
      <c r="I122" s="25">
        <f t="array" ref="I122">IFERROR(INDEX(Unified_Matrix!$A:$ZZ,ROW(A119),MATCH("Evolution_Name",Unified_Matrix!$1:$1,0)),"")</f>
        <v/>
      </c>
      <c r="J122" s="13">
        <f>IF(H122="","",IF(H122=0,"",IF(H122=$Z$32,1,IF(H122=$Z$33,2,IF(H122=$Z$34,3,"")))))</f>
        <v/>
      </c>
      <c r="K122" s="13">
        <f t="array" ref="K122">IFERROR(INDEX(Unified_Matrix!$A:$ZZ,ROW(A119),MATCH("+ OVR",Unified_Matrix!$1:$1,0)),"")</f>
        <v/>
      </c>
      <c r="L122" s="13">
        <f t="array" ref="L122">IFERROR(INDEX(Unified_Matrix!$A:$ZZ,ROW(A119),MATCH("Max OVR",Unified_Matrix!$1:$1,0)),"")</f>
        <v/>
      </c>
      <c r="M122" s="13">
        <f t="array" ref="M122">IFERROR(INDEX(Unified_Matrix!$A:$ZZ,ROW(A119),MATCH("Req_Position",Unified_Matrix!$1:$1,0)),"")</f>
        <v/>
      </c>
      <c r="N122" s="13">
        <f t="array" ref="N122">IFERROR(INDEX(Unified_Matrix!$A:$ZZ,ROW(A119),MATCH("Req_OVR_Max",Unified_Matrix!$1:$1,0)),"")</f>
        <v/>
      </c>
      <c r="O122" s="25">
        <f t="array" ref="O122">IFERROR(INDEX(Unified_Matrix!$A:$ZZ,ROW(A119),MATCH("Req_Other",Unified_Matrix!$1:$1,0)),"")</f>
        <v/>
      </c>
    </row>
    <row r="123" ht="68.25" customHeight="1">
      <c r="H123" s="13">
        <f t="array" ref="H123">IFERROR(INDEX(Unified_Matrix!$A:$ZZ,ROW(A120),MATCH("Max "&amp;$H$3,Unified_Matrix!$1:$1,0)),"")</f>
        <v/>
      </c>
      <c r="I123" s="25">
        <f t="array" ref="I123">IFERROR(INDEX(Unified_Matrix!$A:$ZZ,ROW(A120),MATCH("Evolution_Name",Unified_Matrix!$1:$1,0)),"")</f>
        <v/>
      </c>
      <c r="J123" s="13">
        <f>IF(H123="","",IF(H123=0,"",IF(H123=$Z$32,1,IF(H123=$Z$33,2,IF(H123=$Z$34,3,"")))))</f>
        <v/>
      </c>
      <c r="K123" s="13">
        <f t="array" ref="K123">IFERROR(INDEX(Unified_Matrix!$A:$ZZ,ROW(A120),MATCH("+ OVR",Unified_Matrix!$1:$1,0)),"")</f>
        <v/>
      </c>
      <c r="L123" s="13">
        <f t="array" ref="L123">IFERROR(INDEX(Unified_Matrix!$A:$ZZ,ROW(A120),MATCH("Max OVR",Unified_Matrix!$1:$1,0)),"")</f>
        <v/>
      </c>
      <c r="M123" s="13">
        <f t="array" ref="M123">IFERROR(INDEX(Unified_Matrix!$A:$ZZ,ROW(A120),MATCH("Req_Position",Unified_Matrix!$1:$1,0)),"")</f>
        <v/>
      </c>
      <c r="N123" s="13">
        <f t="array" ref="N123">IFERROR(INDEX(Unified_Matrix!$A:$ZZ,ROW(A120),MATCH("Req_OVR_Max",Unified_Matrix!$1:$1,0)),"")</f>
        <v/>
      </c>
      <c r="O123" s="25">
        <f t="array" ref="O123">IFERROR(INDEX(Unified_Matrix!$A:$ZZ,ROW(A120),MATCH("Req_Other",Unified_Matrix!$1:$1,0)),"")</f>
        <v/>
      </c>
    </row>
    <row r="124" ht="68.25" customHeight="1">
      <c r="H124" s="13">
        <f t="array" ref="H124">IFERROR(INDEX(Unified_Matrix!$A:$ZZ,ROW(A121),MATCH("Max "&amp;$H$3,Unified_Matrix!$1:$1,0)),"")</f>
        <v/>
      </c>
      <c r="I124" s="25">
        <f t="array" ref="I124">IFERROR(INDEX(Unified_Matrix!$A:$ZZ,ROW(A121),MATCH("Evolution_Name",Unified_Matrix!$1:$1,0)),"")</f>
        <v/>
      </c>
      <c r="J124" s="13">
        <f>IF(H124="","",IF(H124=0,"",IF(H124=$Z$32,1,IF(H124=$Z$33,2,IF(H124=$Z$34,3,"")))))</f>
        <v/>
      </c>
      <c r="K124" s="13">
        <f t="array" ref="K124">IFERROR(INDEX(Unified_Matrix!$A:$ZZ,ROW(A121),MATCH("+ OVR",Unified_Matrix!$1:$1,0)),"")</f>
        <v/>
      </c>
      <c r="L124" s="13">
        <f t="array" ref="L124">IFERROR(INDEX(Unified_Matrix!$A:$ZZ,ROW(A121),MATCH("Max OVR",Unified_Matrix!$1:$1,0)),"")</f>
        <v/>
      </c>
      <c r="M124" s="13">
        <f t="array" ref="M124">IFERROR(INDEX(Unified_Matrix!$A:$ZZ,ROW(A121),MATCH("Req_Position",Unified_Matrix!$1:$1,0)),"")</f>
        <v/>
      </c>
      <c r="N124" s="13">
        <f t="array" ref="N124">IFERROR(INDEX(Unified_Matrix!$A:$ZZ,ROW(A121),MATCH("Req_OVR_Max",Unified_Matrix!$1:$1,0)),"")</f>
        <v/>
      </c>
      <c r="O124" s="25">
        <f t="array" ref="O124">IFERROR(INDEX(Unified_Matrix!$A:$ZZ,ROW(A121),MATCH("Req_Other",Unified_Matrix!$1:$1,0)),"")</f>
        <v/>
      </c>
    </row>
    <row r="125" ht="68.25" customHeight="1">
      <c r="H125" s="13">
        <f t="array" ref="H125">IFERROR(INDEX(Unified_Matrix!$A:$ZZ,ROW(A122),MATCH("Max "&amp;$H$3,Unified_Matrix!$1:$1,0)),"")</f>
        <v/>
      </c>
      <c r="I125" s="25">
        <f t="array" ref="I125">IFERROR(INDEX(Unified_Matrix!$A:$ZZ,ROW(A122),MATCH("Evolution_Name",Unified_Matrix!$1:$1,0)),"")</f>
        <v/>
      </c>
      <c r="J125" s="13">
        <f>IF(H125="","",IF(H125=0,"",IF(H125=$Z$32,1,IF(H125=$Z$33,2,IF(H125=$Z$34,3,"")))))</f>
        <v/>
      </c>
      <c r="K125" s="13">
        <f t="array" ref="K125">IFERROR(INDEX(Unified_Matrix!$A:$ZZ,ROW(A122),MATCH("+ OVR",Unified_Matrix!$1:$1,0)),"")</f>
        <v/>
      </c>
      <c r="L125" s="13">
        <f t="array" ref="L125">IFERROR(INDEX(Unified_Matrix!$A:$ZZ,ROW(A122),MATCH("Max OVR",Unified_Matrix!$1:$1,0)),"")</f>
        <v/>
      </c>
      <c r="M125" s="13">
        <f t="array" ref="M125">IFERROR(INDEX(Unified_Matrix!$A:$ZZ,ROW(A122),MATCH("Req_Position",Unified_Matrix!$1:$1,0)),"")</f>
        <v/>
      </c>
      <c r="N125" s="13">
        <f t="array" ref="N125">IFERROR(INDEX(Unified_Matrix!$A:$ZZ,ROW(A122),MATCH("Req_OVR_Max",Unified_Matrix!$1:$1,0)),"")</f>
        <v/>
      </c>
      <c r="O125" s="25">
        <f t="array" ref="O125">IFERROR(INDEX(Unified_Matrix!$A:$ZZ,ROW(A122),MATCH("Req_Other",Unified_Matrix!$1:$1,0)),"")</f>
        <v/>
      </c>
    </row>
    <row r="126" ht="68.25" customHeight="1">
      <c r="H126" s="13">
        <f t="array" ref="H126">IFERROR(INDEX(Unified_Matrix!$A:$ZZ,ROW(A123),MATCH("Max "&amp;$H$3,Unified_Matrix!$1:$1,0)),"")</f>
        <v/>
      </c>
      <c r="I126" s="25">
        <f t="array" ref="I126">IFERROR(INDEX(Unified_Matrix!$A:$ZZ,ROW(A123),MATCH("Evolution_Name",Unified_Matrix!$1:$1,0)),"")</f>
        <v/>
      </c>
      <c r="J126" s="13">
        <f>IF(H126="","",IF(H126=0,"",IF(H126=$Z$32,1,IF(H126=$Z$33,2,IF(H126=$Z$34,3,"")))))</f>
        <v/>
      </c>
      <c r="K126" s="13">
        <f t="array" ref="K126">IFERROR(INDEX(Unified_Matrix!$A:$ZZ,ROW(A123),MATCH("+ OVR",Unified_Matrix!$1:$1,0)),"")</f>
        <v/>
      </c>
      <c r="L126" s="13">
        <f t="array" ref="L126">IFERROR(INDEX(Unified_Matrix!$A:$ZZ,ROW(A123),MATCH("Max OVR",Unified_Matrix!$1:$1,0)),"")</f>
        <v/>
      </c>
      <c r="M126" s="13">
        <f t="array" ref="M126">IFERROR(INDEX(Unified_Matrix!$A:$ZZ,ROW(A123),MATCH("Req_Position",Unified_Matrix!$1:$1,0)),"")</f>
        <v/>
      </c>
      <c r="N126" s="13">
        <f t="array" ref="N126">IFERROR(INDEX(Unified_Matrix!$A:$ZZ,ROW(A123),MATCH("Req_OVR_Max",Unified_Matrix!$1:$1,0)),"")</f>
        <v/>
      </c>
      <c r="O126" s="25">
        <f t="array" ref="O126">IFERROR(INDEX(Unified_Matrix!$A:$ZZ,ROW(A123),MATCH("Req_Other",Unified_Matrix!$1:$1,0)),"")</f>
        <v/>
      </c>
    </row>
    <row r="127" ht="68.25" customHeight="1">
      <c r="H127" s="13">
        <f t="array" ref="H127">IFERROR(INDEX(Unified_Matrix!$A:$ZZ,ROW(A124),MATCH("Max "&amp;$H$3,Unified_Matrix!$1:$1,0)),"")</f>
        <v/>
      </c>
      <c r="I127" s="25">
        <f t="array" ref="I127">IFERROR(INDEX(Unified_Matrix!$A:$ZZ,ROW(A124),MATCH("Evolution_Name",Unified_Matrix!$1:$1,0)),"")</f>
        <v/>
      </c>
      <c r="J127" s="13">
        <f>IF(H127="","",IF(H127=0,"",IF(H127=$Z$32,1,IF(H127=$Z$33,2,IF(H127=$Z$34,3,"")))))</f>
        <v/>
      </c>
      <c r="K127" s="13">
        <f t="array" ref="K127">IFERROR(INDEX(Unified_Matrix!$A:$ZZ,ROW(A124),MATCH("+ OVR",Unified_Matrix!$1:$1,0)),"")</f>
        <v/>
      </c>
      <c r="L127" s="13">
        <f t="array" ref="L127">IFERROR(INDEX(Unified_Matrix!$A:$ZZ,ROW(A124),MATCH("Max OVR",Unified_Matrix!$1:$1,0)),"")</f>
        <v/>
      </c>
      <c r="M127" s="13">
        <f t="array" ref="M127">IFERROR(INDEX(Unified_Matrix!$A:$ZZ,ROW(A124),MATCH("Req_Position",Unified_Matrix!$1:$1,0)),"")</f>
        <v/>
      </c>
      <c r="N127" s="13">
        <f t="array" ref="N127">IFERROR(INDEX(Unified_Matrix!$A:$ZZ,ROW(A124),MATCH("Req_OVR_Max",Unified_Matrix!$1:$1,0)),"")</f>
        <v/>
      </c>
      <c r="O127" s="25">
        <f t="array" ref="O127">IFERROR(INDEX(Unified_Matrix!$A:$ZZ,ROW(A124),MATCH("Req_Other",Unified_Matrix!$1:$1,0)),"")</f>
        <v/>
      </c>
    </row>
    <row r="128" ht="68.25" customHeight="1">
      <c r="H128" s="13">
        <f t="array" ref="H128">IFERROR(INDEX(Unified_Matrix!$A:$ZZ,ROW(A125),MATCH("Max "&amp;$H$3,Unified_Matrix!$1:$1,0)),"")</f>
        <v/>
      </c>
      <c r="I128" s="25">
        <f t="array" ref="I128">IFERROR(INDEX(Unified_Matrix!$A:$ZZ,ROW(A125),MATCH("Evolution_Name",Unified_Matrix!$1:$1,0)),"")</f>
        <v/>
      </c>
      <c r="J128" s="13">
        <f>IF(H128="","",IF(H128=0,"",IF(H128=$Z$32,1,IF(H128=$Z$33,2,IF(H128=$Z$34,3,"")))))</f>
        <v/>
      </c>
      <c r="K128" s="13">
        <f t="array" ref="K128">IFERROR(INDEX(Unified_Matrix!$A:$ZZ,ROW(A125),MATCH("+ OVR",Unified_Matrix!$1:$1,0)),"")</f>
        <v/>
      </c>
      <c r="L128" s="13">
        <f t="array" ref="L128">IFERROR(INDEX(Unified_Matrix!$A:$ZZ,ROW(A125),MATCH("Max OVR",Unified_Matrix!$1:$1,0)),"")</f>
        <v/>
      </c>
      <c r="M128" s="13">
        <f t="array" ref="M128">IFERROR(INDEX(Unified_Matrix!$A:$ZZ,ROW(A125),MATCH("Req_Position",Unified_Matrix!$1:$1,0)),"")</f>
        <v/>
      </c>
      <c r="N128" s="13">
        <f t="array" ref="N128">IFERROR(INDEX(Unified_Matrix!$A:$ZZ,ROW(A125),MATCH("Req_OVR_Max",Unified_Matrix!$1:$1,0)),"")</f>
        <v/>
      </c>
      <c r="O128" s="25">
        <f t="array" ref="O128">IFERROR(INDEX(Unified_Matrix!$A:$ZZ,ROW(A125),MATCH("Req_Other",Unified_Matrix!$1:$1,0)),"")</f>
        <v/>
      </c>
    </row>
    <row r="129" ht="68.25" customHeight="1">
      <c r="H129" s="13">
        <f t="array" ref="H129">IFERROR(INDEX(Unified_Matrix!$A:$ZZ,ROW(A126),MATCH("Max "&amp;$H$3,Unified_Matrix!$1:$1,0)),"")</f>
        <v/>
      </c>
      <c r="I129" s="25">
        <f t="array" ref="I129">IFERROR(INDEX(Unified_Matrix!$A:$ZZ,ROW(A126),MATCH("Evolution_Name",Unified_Matrix!$1:$1,0)),"")</f>
        <v/>
      </c>
      <c r="J129" s="13">
        <f>IF(H129="","",IF(H129=0,"",IF(H129=$Z$32,1,IF(H129=$Z$33,2,IF(H129=$Z$34,3,"")))))</f>
        <v/>
      </c>
      <c r="K129" s="13">
        <f t="array" ref="K129">IFERROR(INDEX(Unified_Matrix!$A:$ZZ,ROW(A126),MATCH("+ OVR",Unified_Matrix!$1:$1,0)),"")</f>
        <v/>
      </c>
      <c r="L129" s="13">
        <f t="array" ref="L129">IFERROR(INDEX(Unified_Matrix!$A:$ZZ,ROW(A126),MATCH("Max OVR",Unified_Matrix!$1:$1,0)),"")</f>
        <v/>
      </c>
      <c r="M129" s="13">
        <f t="array" ref="M129">IFERROR(INDEX(Unified_Matrix!$A:$ZZ,ROW(A126),MATCH("Req_Position",Unified_Matrix!$1:$1,0)),"")</f>
        <v/>
      </c>
      <c r="N129" s="13">
        <f t="array" ref="N129">IFERROR(INDEX(Unified_Matrix!$A:$ZZ,ROW(A126),MATCH("Req_OVR_Max",Unified_Matrix!$1:$1,0)),"")</f>
        <v/>
      </c>
      <c r="O129" s="25">
        <f t="array" ref="O129">IFERROR(INDEX(Unified_Matrix!$A:$ZZ,ROW(A126),MATCH("Req_Other",Unified_Matrix!$1:$1,0)),"")</f>
        <v/>
      </c>
    </row>
    <row r="130" ht="68.25" customHeight="1">
      <c r="H130" s="13">
        <f t="array" ref="H130">IFERROR(INDEX(Unified_Matrix!$A:$ZZ,ROW(A127),MATCH("Max "&amp;$H$3,Unified_Matrix!$1:$1,0)),"")</f>
        <v/>
      </c>
      <c r="I130" s="25">
        <f t="array" ref="I130">IFERROR(INDEX(Unified_Matrix!$A:$ZZ,ROW(A127),MATCH("Evolution_Name",Unified_Matrix!$1:$1,0)),"")</f>
        <v/>
      </c>
      <c r="J130" s="13">
        <f>IF(H130="","",IF(H130=0,"",IF(H130=$Z$32,1,IF(H130=$Z$33,2,IF(H130=$Z$34,3,"")))))</f>
        <v/>
      </c>
      <c r="K130" s="13">
        <f t="array" ref="K130">IFERROR(INDEX(Unified_Matrix!$A:$ZZ,ROW(A127),MATCH("+ OVR",Unified_Matrix!$1:$1,0)),"")</f>
        <v/>
      </c>
      <c r="L130" s="13">
        <f t="array" ref="L130">IFERROR(INDEX(Unified_Matrix!$A:$ZZ,ROW(A127),MATCH("Max OVR",Unified_Matrix!$1:$1,0)),"")</f>
        <v/>
      </c>
      <c r="M130" s="13">
        <f t="array" ref="M130">IFERROR(INDEX(Unified_Matrix!$A:$ZZ,ROW(A127),MATCH("Req_Position",Unified_Matrix!$1:$1,0)),"")</f>
        <v/>
      </c>
      <c r="N130" s="13">
        <f t="array" ref="N130">IFERROR(INDEX(Unified_Matrix!$A:$ZZ,ROW(A127),MATCH("Req_OVR_Max",Unified_Matrix!$1:$1,0)),"")</f>
        <v/>
      </c>
      <c r="O130" s="25">
        <f t="array" ref="O130">IFERROR(INDEX(Unified_Matrix!$A:$ZZ,ROW(A127),MATCH("Req_Other",Unified_Matrix!$1:$1,0)),"")</f>
        <v/>
      </c>
    </row>
    <row r="131" ht="68.25" customHeight="1">
      <c r="H131" s="13">
        <f t="array" ref="H131">IFERROR(INDEX(Unified_Matrix!$A:$ZZ,ROW(A128),MATCH("Max "&amp;$H$3,Unified_Matrix!$1:$1,0)),"")</f>
        <v/>
      </c>
      <c r="I131" s="25">
        <f t="array" ref="I131">IFERROR(INDEX(Unified_Matrix!$A:$ZZ,ROW(A128),MATCH("Evolution_Name",Unified_Matrix!$1:$1,0)),"")</f>
        <v/>
      </c>
      <c r="J131" s="13">
        <f>IF(H131="","",IF(H131=0,"",IF(H131=$Z$32,1,IF(H131=$Z$33,2,IF(H131=$Z$34,3,"")))))</f>
        <v/>
      </c>
      <c r="K131" s="13">
        <f t="array" ref="K131">IFERROR(INDEX(Unified_Matrix!$A:$ZZ,ROW(A128),MATCH("+ OVR",Unified_Matrix!$1:$1,0)),"")</f>
        <v/>
      </c>
      <c r="L131" s="13">
        <f t="array" ref="L131">IFERROR(INDEX(Unified_Matrix!$A:$ZZ,ROW(A128),MATCH("Max OVR",Unified_Matrix!$1:$1,0)),"")</f>
        <v/>
      </c>
      <c r="M131" s="13">
        <f t="array" ref="M131">IFERROR(INDEX(Unified_Matrix!$A:$ZZ,ROW(A128),MATCH("Req_Position",Unified_Matrix!$1:$1,0)),"")</f>
        <v/>
      </c>
      <c r="N131" s="13">
        <f t="array" ref="N131">IFERROR(INDEX(Unified_Matrix!$A:$ZZ,ROW(A128),MATCH("Req_OVR_Max",Unified_Matrix!$1:$1,0)),"")</f>
        <v/>
      </c>
      <c r="O131" s="25">
        <f t="array" ref="O131">IFERROR(INDEX(Unified_Matrix!$A:$ZZ,ROW(A128),MATCH("Req_Other",Unified_Matrix!$1:$1,0)),"")</f>
        <v/>
      </c>
    </row>
    <row r="132" ht="68.25" customHeight="1">
      <c r="H132" s="13">
        <f t="array" ref="H132">IFERROR(INDEX(Unified_Matrix!$A:$ZZ,ROW(A129),MATCH("Max "&amp;$H$3,Unified_Matrix!$1:$1,0)),"")</f>
        <v/>
      </c>
      <c r="I132" s="25">
        <f t="array" ref="I132">IFERROR(INDEX(Unified_Matrix!$A:$ZZ,ROW(A129),MATCH("Evolution_Name",Unified_Matrix!$1:$1,0)),"")</f>
        <v/>
      </c>
      <c r="J132" s="13">
        <f>IF(H132="","",IF(H132=0,"",IF(H132=$Z$32,1,IF(H132=$Z$33,2,IF(H132=$Z$34,3,"")))))</f>
        <v/>
      </c>
      <c r="K132" s="13">
        <f t="array" ref="K132">IFERROR(INDEX(Unified_Matrix!$A:$ZZ,ROW(A129),MATCH("+ OVR",Unified_Matrix!$1:$1,0)),"")</f>
        <v/>
      </c>
      <c r="L132" s="13">
        <f t="array" ref="L132">IFERROR(INDEX(Unified_Matrix!$A:$ZZ,ROW(A129),MATCH("Max OVR",Unified_Matrix!$1:$1,0)),"")</f>
        <v/>
      </c>
      <c r="M132" s="13">
        <f t="array" ref="M132">IFERROR(INDEX(Unified_Matrix!$A:$ZZ,ROW(A129),MATCH("Req_Position",Unified_Matrix!$1:$1,0)),"")</f>
        <v/>
      </c>
      <c r="N132" s="13">
        <f t="array" ref="N132">IFERROR(INDEX(Unified_Matrix!$A:$ZZ,ROW(A129),MATCH("Req_OVR_Max",Unified_Matrix!$1:$1,0)),"")</f>
        <v/>
      </c>
      <c r="O132" s="25">
        <f t="array" ref="O132">IFERROR(INDEX(Unified_Matrix!$A:$ZZ,ROW(A129),MATCH("Req_Other",Unified_Matrix!$1:$1,0)),"")</f>
        <v/>
      </c>
    </row>
    <row r="133" ht="68.25" customHeight="1">
      <c r="H133" s="13">
        <f t="array" ref="H133">IFERROR(INDEX(Unified_Matrix!$A:$ZZ,ROW(A130),MATCH("Max "&amp;$H$3,Unified_Matrix!$1:$1,0)),"")</f>
        <v/>
      </c>
      <c r="I133" s="25">
        <f t="array" ref="I133">IFERROR(INDEX(Unified_Matrix!$A:$ZZ,ROW(A130),MATCH("Evolution_Name",Unified_Matrix!$1:$1,0)),"")</f>
        <v/>
      </c>
      <c r="J133" s="13">
        <f>IF(H133="","",IF(H133=0,"",IF(H133=$Z$32,1,IF(H133=$Z$33,2,IF(H133=$Z$34,3,"")))))</f>
        <v/>
      </c>
      <c r="K133" s="13">
        <f t="array" ref="K133">IFERROR(INDEX(Unified_Matrix!$A:$ZZ,ROW(A130),MATCH("+ OVR",Unified_Matrix!$1:$1,0)),"")</f>
        <v/>
      </c>
      <c r="L133" s="13">
        <f t="array" ref="L133">IFERROR(INDEX(Unified_Matrix!$A:$ZZ,ROW(A130),MATCH("Max OVR",Unified_Matrix!$1:$1,0)),"")</f>
        <v/>
      </c>
      <c r="M133" s="13">
        <f t="array" ref="M133">IFERROR(INDEX(Unified_Matrix!$A:$ZZ,ROW(A130),MATCH("Req_Position",Unified_Matrix!$1:$1,0)),"")</f>
        <v/>
      </c>
      <c r="N133" s="13">
        <f t="array" ref="N133">IFERROR(INDEX(Unified_Matrix!$A:$ZZ,ROW(A130),MATCH("Req_OVR_Max",Unified_Matrix!$1:$1,0)),"")</f>
        <v/>
      </c>
      <c r="O133" s="25">
        <f t="array" ref="O133">IFERROR(INDEX(Unified_Matrix!$A:$ZZ,ROW(A130),MATCH("Req_Other",Unified_Matrix!$1:$1,0)),"")</f>
        <v/>
      </c>
    </row>
    <row r="134" ht="68.25" customHeight="1">
      <c r="H134" s="13">
        <f t="array" ref="H134">IFERROR(INDEX(Unified_Matrix!$A:$ZZ,ROW(A131),MATCH("Max "&amp;$H$3,Unified_Matrix!$1:$1,0)),"")</f>
        <v/>
      </c>
      <c r="I134" s="25">
        <f t="array" ref="I134">IFERROR(INDEX(Unified_Matrix!$A:$ZZ,ROW(A131),MATCH("Evolution_Name",Unified_Matrix!$1:$1,0)),"")</f>
        <v/>
      </c>
      <c r="J134" s="13">
        <f>IF(H134="","",IF(H134=0,"",IF(H134=$Z$32,1,IF(H134=$Z$33,2,IF(H134=$Z$34,3,"")))))</f>
        <v/>
      </c>
      <c r="K134" s="13">
        <f t="array" ref="K134">IFERROR(INDEX(Unified_Matrix!$A:$ZZ,ROW(A131),MATCH("+ OVR",Unified_Matrix!$1:$1,0)),"")</f>
        <v/>
      </c>
      <c r="L134" s="13">
        <f t="array" ref="L134">IFERROR(INDEX(Unified_Matrix!$A:$ZZ,ROW(A131),MATCH("Max OVR",Unified_Matrix!$1:$1,0)),"")</f>
        <v/>
      </c>
      <c r="M134" s="13">
        <f t="array" ref="M134">IFERROR(INDEX(Unified_Matrix!$A:$ZZ,ROW(A131),MATCH("Req_Position",Unified_Matrix!$1:$1,0)),"")</f>
        <v/>
      </c>
      <c r="N134" s="13">
        <f t="array" ref="N134">IFERROR(INDEX(Unified_Matrix!$A:$ZZ,ROW(A131),MATCH("Req_OVR_Max",Unified_Matrix!$1:$1,0)),"")</f>
        <v/>
      </c>
      <c r="O134" s="25">
        <f t="array" ref="O134">IFERROR(INDEX(Unified_Matrix!$A:$ZZ,ROW(A131),MATCH("Req_Other",Unified_Matrix!$1:$1,0)),"")</f>
        <v/>
      </c>
    </row>
    <row r="135" ht="68.25" customHeight="1">
      <c r="H135" s="13">
        <f t="array" ref="H135">IFERROR(INDEX(Unified_Matrix!$A:$ZZ,ROW(A132),MATCH("Max "&amp;$H$3,Unified_Matrix!$1:$1,0)),"")</f>
        <v/>
      </c>
      <c r="I135" s="25">
        <f t="array" ref="I135">IFERROR(INDEX(Unified_Matrix!$A:$ZZ,ROW(A132),MATCH("Evolution_Name",Unified_Matrix!$1:$1,0)),"")</f>
        <v/>
      </c>
      <c r="J135" s="13">
        <f>IF(H135="","",IF(H135=0,"",IF(H135=$Z$32,1,IF(H135=$Z$33,2,IF(H135=$Z$34,3,"")))))</f>
        <v/>
      </c>
      <c r="K135" s="13">
        <f t="array" ref="K135">IFERROR(INDEX(Unified_Matrix!$A:$ZZ,ROW(A132),MATCH("+ OVR",Unified_Matrix!$1:$1,0)),"")</f>
        <v/>
      </c>
      <c r="L135" s="13">
        <f t="array" ref="L135">IFERROR(INDEX(Unified_Matrix!$A:$ZZ,ROW(A132),MATCH("Max OVR",Unified_Matrix!$1:$1,0)),"")</f>
        <v/>
      </c>
      <c r="M135" s="13">
        <f t="array" ref="M135">IFERROR(INDEX(Unified_Matrix!$A:$ZZ,ROW(A132),MATCH("Req_Position",Unified_Matrix!$1:$1,0)),"")</f>
        <v/>
      </c>
      <c r="N135" s="13">
        <f t="array" ref="N135">IFERROR(INDEX(Unified_Matrix!$A:$ZZ,ROW(A132),MATCH("Req_OVR_Max",Unified_Matrix!$1:$1,0)),"")</f>
        <v/>
      </c>
      <c r="O135" s="25">
        <f t="array" ref="O135">IFERROR(INDEX(Unified_Matrix!$A:$ZZ,ROW(A132),MATCH("Req_Other",Unified_Matrix!$1:$1,0)),"")</f>
        <v/>
      </c>
    </row>
    <row r="136" ht="68.25" customHeight="1">
      <c r="H136" s="13">
        <f t="array" ref="H136">IFERROR(INDEX(Unified_Matrix!$A:$ZZ,ROW(A133),MATCH("Max "&amp;$H$3,Unified_Matrix!$1:$1,0)),"")</f>
        <v/>
      </c>
      <c r="I136" s="25">
        <f t="array" ref="I136">IFERROR(INDEX(Unified_Matrix!$A:$ZZ,ROW(A133),MATCH("Evolution_Name",Unified_Matrix!$1:$1,0)),"")</f>
        <v/>
      </c>
      <c r="J136" s="13">
        <f>IF(H136="","",IF(H136=0,"",IF(H136=$Z$32,1,IF(H136=$Z$33,2,IF(H136=$Z$34,3,"")))))</f>
        <v/>
      </c>
      <c r="K136" s="13">
        <f t="array" ref="K136">IFERROR(INDEX(Unified_Matrix!$A:$ZZ,ROW(A133),MATCH("+ OVR",Unified_Matrix!$1:$1,0)),"")</f>
        <v/>
      </c>
      <c r="L136" s="13">
        <f t="array" ref="L136">IFERROR(INDEX(Unified_Matrix!$A:$ZZ,ROW(A133),MATCH("Max OVR",Unified_Matrix!$1:$1,0)),"")</f>
        <v/>
      </c>
      <c r="M136" s="13">
        <f t="array" ref="M136">IFERROR(INDEX(Unified_Matrix!$A:$ZZ,ROW(A133),MATCH("Req_Position",Unified_Matrix!$1:$1,0)),"")</f>
        <v/>
      </c>
      <c r="N136" s="13">
        <f t="array" ref="N136">IFERROR(INDEX(Unified_Matrix!$A:$ZZ,ROW(A133),MATCH("Req_OVR_Max",Unified_Matrix!$1:$1,0)),"")</f>
        <v/>
      </c>
      <c r="O136" s="25">
        <f t="array" ref="O136">IFERROR(INDEX(Unified_Matrix!$A:$ZZ,ROW(A133),MATCH("Req_Other",Unified_Matrix!$1:$1,0)),"")</f>
        <v/>
      </c>
    </row>
    <row r="137" ht="68.25" customHeight="1">
      <c r="H137" s="13">
        <f t="array" ref="H137">IFERROR(INDEX(Unified_Matrix!$A:$ZZ,ROW(A134),MATCH("Max "&amp;$H$3,Unified_Matrix!$1:$1,0)),"")</f>
        <v/>
      </c>
      <c r="I137" s="25">
        <f t="array" ref="I137">IFERROR(INDEX(Unified_Matrix!$A:$ZZ,ROW(A134),MATCH("Evolution_Name",Unified_Matrix!$1:$1,0)),"")</f>
        <v/>
      </c>
      <c r="J137" s="13">
        <f>IF(H137="","",IF(H137=0,"",IF(H137=$Z$32,1,IF(H137=$Z$33,2,IF(H137=$Z$34,3,"")))))</f>
        <v/>
      </c>
      <c r="K137" s="13">
        <f t="array" ref="K137">IFERROR(INDEX(Unified_Matrix!$A:$ZZ,ROW(A134),MATCH("+ OVR",Unified_Matrix!$1:$1,0)),"")</f>
        <v/>
      </c>
      <c r="L137" s="13">
        <f t="array" ref="L137">IFERROR(INDEX(Unified_Matrix!$A:$ZZ,ROW(A134),MATCH("Max OVR",Unified_Matrix!$1:$1,0)),"")</f>
        <v/>
      </c>
      <c r="M137" s="13">
        <f t="array" ref="M137">IFERROR(INDEX(Unified_Matrix!$A:$ZZ,ROW(A134),MATCH("Req_Position",Unified_Matrix!$1:$1,0)),"")</f>
        <v/>
      </c>
      <c r="N137" s="13">
        <f t="array" ref="N137">IFERROR(INDEX(Unified_Matrix!$A:$ZZ,ROW(A134),MATCH("Req_OVR_Max",Unified_Matrix!$1:$1,0)),"")</f>
        <v/>
      </c>
      <c r="O137" s="25">
        <f t="array" ref="O137">IFERROR(INDEX(Unified_Matrix!$A:$ZZ,ROW(A134),MATCH("Req_Other",Unified_Matrix!$1:$1,0)),"")</f>
        <v/>
      </c>
    </row>
    <row r="138" ht="68.25" customHeight="1">
      <c r="H138" s="13">
        <f t="array" ref="H138">IFERROR(INDEX(Unified_Matrix!$A:$ZZ,ROW(A135),MATCH("Max "&amp;$H$3,Unified_Matrix!$1:$1,0)),"")</f>
        <v/>
      </c>
      <c r="I138" s="25">
        <f t="array" ref="I138">IFERROR(INDEX(Unified_Matrix!$A:$ZZ,ROW(A135),MATCH("Evolution_Name",Unified_Matrix!$1:$1,0)),"")</f>
        <v/>
      </c>
      <c r="J138" s="13">
        <f>IF(H138="","",IF(H138=0,"",IF(H138=$Z$32,1,IF(H138=$Z$33,2,IF(H138=$Z$34,3,"")))))</f>
        <v/>
      </c>
      <c r="K138" s="13">
        <f t="array" ref="K138">IFERROR(INDEX(Unified_Matrix!$A:$ZZ,ROW(A135),MATCH("+ OVR",Unified_Matrix!$1:$1,0)),"")</f>
        <v/>
      </c>
      <c r="L138" s="13">
        <f t="array" ref="L138">IFERROR(INDEX(Unified_Matrix!$A:$ZZ,ROW(A135),MATCH("Max OVR",Unified_Matrix!$1:$1,0)),"")</f>
        <v/>
      </c>
      <c r="M138" s="13">
        <f t="array" ref="M138">IFERROR(INDEX(Unified_Matrix!$A:$ZZ,ROW(A135),MATCH("Req_Position",Unified_Matrix!$1:$1,0)),"")</f>
        <v/>
      </c>
      <c r="N138" s="13">
        <f t="array" ref="N138">IFERROR(INDEX(Unified_Matrix!$A:$ZZ,ROW(A135),MATCH("Req_OVR_Max",Unified_Matrix!$1:$1,0)),"")</f>
        <v/>
      </c>
      <c r="O138" s="25">
        <f t="array" ref="O138">IFERROR(INDEX(Unified_Matrix!$A:$ZZ,ROW(A135),MATCH("Req_Other",Unified_Matrix!$1:$1,0)),"")</f>
        <v/>
      </c>
    </row>
    <row r="139" ht="68.25" customHeight="1">
      <c r="H139" s="13">
        <f t="array" ref="H139">IFERROR(INDEX(Unified_Matrix!$A:$ZZ,ROW(A136),MATCH("Max "&amp;$H$3,Unified_Matrix!$1:$1,0)),"")</f>
        <v/>
      </c>
      <c r="I139" s="25">
        <f t="array" ref="I139">IFERROR(INDEX(Unified_Matrix!$A:$ZZ,ROW(A136),MATCH("Evolution_Name",Unified_Matrix!$1:$1,0)),"")</f>
        <v/>
      </c>
      <c r="J139" s="13">
        <f>IF(H139="","",IF(H139=0,"",IF(H139=$Z$32,1,IF(H139=$Z$33,2,IF(H139=$Z$34,3,"")))))</f>
        <v/>
      </c>
      <c r="K139" s="13">
        <f t="array" ref="K139">IFERROR(INDEX(Unified_Matrix!$A:$ZZ,ROW(A136),MATCH("+ OVR",Unified_Matrix!$1:$1,0)),"")</f>
        <v/>
      </c>
      <c r="L139" s="13">
        <f t="array" ref="L139">IFERROR(INDEX(Unified_Matrix!$A:$ZZ,ROW(A136),MATCH("Max OVR",Unified_Matrix!$1:$1,0)),"")</f>
        <v/>
      </c>
      <c r="M139" s="13">
        <f t="array" ref="M139">IFERROR(INDEX(Unified_Matrix!$A:$ZZ,ROW(A136),MATCH("Req_Position",Unified_Matrix!$1:$1,0)),"")</f>
        <v/>
      </c>
      <c r="N139" s="13">
        <f t="array" ref="N139">IFERROR(INDEX(Unified_Matrix!$A:$ZZ,ROW(A136),MATCH("Req_OVR_Max",Unified_Matrix!$1:$1,0)),"")</f>
        <v/>
      </c>
      <c r="O139" s="25">
        <f t="array" ref="O139">IFERROR(INDEX(Unified_Matrix!$A:$ZZ,ROW(A136),MATCH("Req_Other",Unified_Matrix!$1:$1,0)),"")</f>
        <v/>
      </c>
    </row>
    <row r="140" ht="68.25" customHeight="1">
      <c r="H140" s="13">
        <f t="array" ref="H140">IFERROR(INDEX(Unified_Matrix!$A:$ZZ,ROW(A137),MATCH("Max "&amp;$H$3,Unified_Matrix!$1:$1,0)),"")</f>
        <v/>
      </c>
      <c r="I140" s="25">
        <f t="array" ref="I140">IFERROR(INDEX(Unified_Matrix!$A:$ZZ,ROW(A137),MATCH("Evolution_Name",Unified_Matrix!$1:$1,0)),"")</f>
        <v/>
      </c>
      <c r="J140" s="13">
        <f>IF(H140="","",IF(H140=0,"",IF(H140=$Z$32,1,IF(H140=$Z$33,2,IF(H140=$Z$34,3,"")))))</f>
        <v/>
      </c>
      <c r="K140" s="13">
        <f t="array" ref="K140">IFERROR(INDEX(Unified_Matrix!$A:$ZZ,ROW(A137),MATCH("+ OVR",Unified_Matrix!$1:$1,0)),"")</f>
        <v/>
      </c>
      <c r="L140" s="13">
        <f t="array" ref="L140">IFERROR(INDEX(Unified_Matrix!$A:$ZZ,ROW(A137),MATCH("Max OVR",Unified_Matrix!$1:$1,0)),"")</f>
        <v/>
      </c>
      <c r="M140" s="13">
        <f t="array" ref="M140">IFERROR(INDEX(Unified_Matrix!$A:$ZZ,ROW(A137),MATCH("Req_Position",Unified_Matrix!$1:$1,0)),"")</f>
        <v/>
      </c>
      <c r="N140" s="13">
        <f t="array" ref="N140">IFERROR(INDEX(Unified_Matrix!$A:$ZZ,ROW(A137),MATCH("Req_OVR_Max",Unified_Matrix!$1:$1,0)),"")</f>
        <v/>
      </c>
      <c r="O140" s="25">
        <f t="array" ref="O140">IFERROR(INDEX(Unified_Matrix!$A:$ZZ,ROW(A137),MATCH("Req_Other",Unified_Matrix!$1:$1,0)),"")</f>
        <v/>
      </c>
    </row>
    <row r="141" ht="68.25" customHeight="1">
      <c r="H141" s="13">
        <f t="array" ref="H141">IFERROR(INDEX(Unified_Matrix!$A:$ZZ,ROW(A138),MATCH("Max "&amp;$H$3,Unified_Matrix!$1:$1,0)),"")</f>
        <v/>
      </c>
      <c r="I141" s="25">
        <f t="array" ref="I141">IFERROR(INDEX(Unified_Matrix!$A:$ZZ,ROW(A138),MATCH("Evolution_Name",Unified_Matrix!$1:$1,0)),"")</f>
        <v/>
      </c>
      <c r="J141" s="13">
        <f>IF(H141="","",IF(H141=0,"",IF(H141=$Z$32,1,IF(H141=$Z$33,2,IF(H141=$Z$34,3,"")))))</f>
        <v/>
      </c>
      <c r="K141" s="13">
        <f t="array" ref="K141">IFERROR(INDEX(Unified_Matrix!$A:$ZZ,ROW(A138),MATCH("+ OVR",Unified_Matrix!$1:$1,0)),"")</f>
        <v/>
      </c>
      <c r="L141" s="13">
        <f t="array" ref="L141">IFERROR(INDEX(Unified_Matrix!$A:$ZZ,ROW(A138),MATCH("Max OVR",Unified_Matrix!$1:$1,0)),"")</f>
        <v/>
      </c>
      <c r="M141" s="13">
        <f t="array" ref="M141">IFERROR(INDEX(Unified_Matrix!$A:$ZZ,ROW(A138),MATCH("Req_Position",Unified_Matrix!$1:$1,0)),"")</f>
        <v/>
      </c>
      <c r="N141" s="13">
        <f t="array" ref="N141">IFERROR(INDEX(Unified_Matrix!$A:$ZZ,ROW(A138),MATCH("Req_OVR_Max",Unified_Matrix!$1:$1,0)),"")</f>
        <v/>
      </c>
      <c r="O141" s="25">
        <f t="array" ref="O141">IFERROR(INDEX(Unified_Matrix!$A:$ZZ,ROW(A138),MATCH("Req_Other",Unified_Matrix!$1:$1,0)),"")</f>
        <v/>
      </c>
    </row>
    <row r="142" ht="68.25" customHeight="1">
      <c r="H142" s="13">
        <f t="array" ref="H142">IFERROR(INDEX(Unified_Matrix!$A:$ZZ,ROW(A139),MATCH("Max "&amp;$H$3,Unified_Matrix!$1:$1,0)),"")</f>
        <v/>
      </c>
      <c r="I142" s="25">
        <f t="array" ref="I142">IFERROR(INDEX(Unified_Matrix!$A:$ZZ,ROW(A139),MATCH("Evolution_Name",Unified_Matrix!$1:$1,0)),"")</f>
        <v/>
      </c>
      <c r="J142" s="13">
        <f>IF(H142="","",IF(H142=0,"",IF(H142=$Z$32,1,IF(H142=$Z$33,2,IF(H142=$Z$34,3,"")))))</f>
        <v/>
      </c>
      <c r="K142" s="13">
        <f t="array" ref="K142">IFERROR(INDEX(Unified_Matrix!$A:$ZZ,ROW(A139),MATCH("+ OVR",Unified_Matrix!$1:$1,0)),"")</f>
        <v/>
      </c>
      <c r="L142" s="13">
        <f t="array" ref="L142">IFERROR(INDEX(Unified_Matrix!$A:$ZZ,ROW(A139),MATCH("Max OVR",Unified_Matrix!$1:$1,0)),"")</f>
        <v/>
      </c>
      <c r="M142" s="13">
        <f t="array" ref="M142">IFERROR(INDEX(Unified_Matrix!$A:$ZZ,ROW(A139),MATCH("Req_Position",Unified_Matrix!$1:$1,0)),"")</f>
        <v/>
      </c>
      <c r="N142" s="13">
        <f t="array" ref="N142">IFERROR(INDEX(Unified_Matrix!$A:$ZZ,ROW(A139),MATCH("Req_OVR_Max",Unified_Matrix!$1:$1,0)),"")</f>
        <v/>
      </c>
      <c r="O142" s="25">
        <f t="array" ref="O142">IFERROR(INDEX(Unified_Matrix!$A:$ZZ,ROW(A139),MATCH("Req_Other",Unified_Matrix!$1:$1,0)),"")</f>
        <v/>
      </c>
    </row>
    <row r="143" ht="68.25" customHeight="1">
      <c r="H143" s="13">
        <f t="array" ref="H143">IFERROR(INDEX(Unified_Matrix!$A:$ZZ,ROW(A140),MATCH("Max "&amp;$H$3,Unified_Matrix!$1:$1,0)),"")</f>
        <v/>
      </c>
      <c r="I143" s="25">
        <f t="array" ref="I143">IFERROR(INDEX(Unified_Matrix!$A:$ZZ,ROW(A140),MATCH("Evolution_Name",Unified_Matrix!$1:$1,0)),"")</f>
        <v/>
      </c>
      <c r="J143" s="13">
        <f>IF(H143="","",IF(H143=0,"",IF(H143=$Z$32,1,IF(H143=$Z$33,2,IF(H143=$Z$34,3,"")))))</f>
        <v/>
      </c>
      <c r="K143" s="13">
        <f t="array" ref="K143">IFERROR(INDEX(Unified_Matrix!$A:$ZZ,ROW(A140),MATCH("+ OVR",Unified_Matrix!$1:$1,0)),"")</f>
        <v/>
      </c>
      <c r="L143" s="13">
        <f t="array" ref="L143">IFERROR(INDEX(Unified_Matrix!$A:$ZZ,ROW(A140),MATCH("Max OVR",Unified_Matrix!$1:$1,0)),"")</f>
        <v/>
      </c>
      <c r="M143" s="13">
        <f t="array" ref="M143">IFERROR(INDEX(Unified_Matrix!$A:$ZZ,ROW(A140),MATCH("Req_Position",Unified_Matrix!$1:$1,0)),"")</f>
        <v/>
      </c>
      <c r="N143" s="13">
        <f t="array" ref="N143">IFERROR(INDEX(Unified_Matrix!$A:$ZZ,ROW(A140),MATCH("Req_OVR_Max",Unified_Matrix!$1:$1,0)),"")</f>
        <v/>
      </c>
      <c r="O143" s="25">
        <f t="array" ref="O143">IFERROR(INDEX(Unified_Matrix!$A:$ZZ,ROW(A140),MATCH("Req_Other",Unified_Matrix!$1:$1,0)),"")</f>
        <v/>
      </c>
    </row>
    <row r="144" ht="68.25" customHeight="1">
      <c r="H144" s="13">
        <f t="array" ref="H144">IFERROR(INDEX(Unified_Matrix!$A:$ZZ,ROW(A141),MATCH("Max "&amp;$H$3,Unified_Matrix!$1:$1,0)),"")</f>
        <v/>
      </c>
      <c r="I144" s="25">
        <f t="array" ref="I144">IFERROR(INDEX(Unified_Matrix!$A:$ZZ,ROW(A141),MATCH("Evolution_Name",Unified_Matrix!$1:$1,0)),"")</f>
        <v/>
      </c>
      <c r="J144" s="13">
        <f>IF(H144="","",IF(H144=0,"",IF(H144=$Z$32,1,IF(H144=$Z$33,2,IF(H144=$Z$34,3,"")))))</f>
        <v/>
      </c>
      <c r="K144" s="13">
        <f t="array" ref="K144">IFERROR(INDEX(Unified_Matrix!$A:$ZZ,ROW(A141),MATCH("+ OVR",Unified_Matrix!$1:$1,0)),"")</f>
        <v/>
      </c>
      <c r="L144" s="13">
        <f t="array" ref="L144">IFERROR(INDEX(Unified_Matrix!$A:$ZZ,ROW(A141),MATCH("Max OVR",Unified_Matrix!$1:$1,0)),"")</f>
        <v/>
      </c>
      <c r="M144" s="13">
        <f t="array" ref="M144">IFERROR(INDEX(Unified_Matrix!$A:$ZZ,ROW(A141),MATCH("Req_Position",Unified_Matrix!$1:$1,0)),"")</f>
        <v/>
      </c>
      <c r="N144" s="13">
        <f t="array" ref="N144">IFERROR(INDEX(Unified_Matrix!$A:$ZZ,ROW(A141),MATCH("Req_OVR_Max",Unified_Matrix!$1:$1,0)),"")</f>
        <v/>
      </c>
      <c r="O144" s="25">
        <f t="array" ref="O144">IFERROR(INDEX(Unified_Matrix!$A:$ZZ,ROW(A141),MATCH("Req_Other",Unified_Matrix!$1:$1,0)),"")</f>
        <v/>
      </c>
    </row>
    <row r="145" ht="68.25" customHeight="1">
      <c r="H145" s="13">
        <f t="array" ref="H145">IFERROR(INDEX(Unified_Matrix!$A:$ZZ,ROW(A142),MATCH("Max "&amp;$H$3,Unified_Matrix!$1:$1,0)),"")</f>
        <v/>
      </c>
      <c r="I145" s="25">
        <f t="array" ref="I145">IFERROR(INDEX(Unified_Matrix!$A:$ZZ,ROW(A142),MATCH("Evolution_Name",Unified_Matrix!$1:$1,0)),"")</f>
        <v/>
      </c>
      <c r="J145" s="13">
        <f>IF(H145="","",IF(H145=0,"",IF(H145=$Z$32,1,IF(H145=$Z$33,2,IF(H145=$Z$34,3,"")))))</f>
        <v/>
      </c>
      <c r="K145" s="13">
        <f t="array" ref="K145">IFERROR(INDEX(Unified_Matrix!$A:$ZZ,ROW(A142),MATCH("+ OVR",Unified_Matrix!$1:$1,0)),"")</f>
        <v/>
      </c>
      <c r="L145" s="13">
        <f t="array" ref="L145">IFERROR(INDEX(Unified_Matrix!$A:$ZZ,ROW(A142),MATCH("Max OVR",Unified_Matrix!$1:$1,0)),"")</f>
        <v/>
      </c>
      <c r="M145" s="13">
        <f t="array" ref="M145">IFERROR(INDEX(Unified_Matrix!$A:$ZZ,ROW(A142),MATCH("Req_Position",Unified_Matrix!$1:$1,0)),"")</f>
        <v/>
      </c>
      <c r="N145" s="13">
        <f t="array" ref="N145">IFERROR(INDEX(Unified_Matrix!$A:$ZZ,ROW(A142),MATCH("Req_OVR_Max",Unified_Matrix!$1:$1,0)),"")</f>
        <v/>
      </c>
      <c r="O145" s="25">
        <f t="array" ref="O145">IFERROR(INDEX(Unified_Matrix!$A:$ZZ,ROW(A142),MATCH("Req_Other",Unified_Matrix!$1:$1,0)),"")</f>
        <v/>
      </c>
    </row>
    <row r="146" ht="68.25" customHeight="1">
      <c r="H146" s="13">
        <f t="array" ref="H146">IFERROR(INDEX(Unified_Matrix!$A:$ZZ,ROW(A143),MATCH("Max "&amp;$H$3,Unified_Matrix!$1:$1,0)),"")</f>
        <v/>
      </c>
      <c r="I146" s="25">
        <f t="array" ref="I146">IFERROR(INDEX(Unified_Matrix!$A:$ZZ,ROW(A143),MATCH("Evolution_Name",Unified_Matrix!$1:$1,0)),"")</f>
        <v/>
      </c>
      <c r="J146" s="13">
        <f>IF(H146="","",IF(H146=0,"",IF(H146=$Z$32,1,IF(H146=$Z$33,2,IF(H146=$Z$34,3,"")))))</f>
        <v/>
      </c>
      <c r="K146" s="13">
        <f t="array" ref="K146">IFERROR(INDEX(Unified_Matrix!$A:$ZZ,ROW(A143),MATCH("+ OVR",Unified_Matrix!$1:$1,0)),"")</f>
        <v/>
      </c>
      <c r="L146" s="13">
        <f t="array" ref="L146">IFERROR(INDEX(Unified_Matrix!$A:$ZZ,ROW(A143),MATCH("Max OVR",Unified_Matrix!$1:$1,0)),"")</f>
        <v/>
      </c>
      <c r="M146" s="13">
        <f t="array" ref="M146">IFERROR(INDEX(Unified_Matrix!$A:$ZZ,ROW(A143),MATCH("Req_Position",Unified_Matrix!$1:$1,0)),"")</f>
        <v/>
      </c>
      <c r="N146" s="13">
        <f t="array" ref="N146">IFERROR(INDEX(Unified_Matrix!$A:$ZZ,ROW(A143),MATCH("Req_OVR_Max",Unified_Matrix!$1:$1,0)),"")</f>
        <v/>
      </c>
      <c r="O146" s="25">
        <f t="array" ref="O146">IFERROR(INDEX(Unified_Matrix!$A:$ZZ,ROW(A143),MATCH("Req_Other",Unified_Matrix!$1:$1,0)),"")</f>
        <v/>
      </c>
    </row>
    <row r="147" ht="68.25" customHeight="1">
      <c r="H147" s="13">
        <f t="array" ref="H147">IFERROR(INDEX(Unified_Matrix!$A:$ZZ,ROW(A144),MATCH("Max "&amp;$H$3,Unified_Matrix!$1:$1,0)),"")</f>
        <v/>
      </c>
      <c r="I147" s="25">
        <f t="array" ref="I147">IFERROR(INDEX(Unified_Matrix!$A:$ZZ,ROW(A144),MATCH("Evolution_Name",Unified_Matrix!$1:$1,0)),"")</f>
        <v/>
      </c>
      <c r="J147" s="13">
        <f>IF(H147="","",IF(H147=0,"",IF(H147=$Z$32,1,IF(H147=$Z$33,2,IF(H147=$Z$34,3,"")))))</f>
        <v/>
      </c>
      <c r="K147" s="13">
        <f t="array" ref="K147">IFERROR(INDEX(Unified_Matrix!$A:$ZZ,ROW(A144),MATCH("+ OVR",Unified_Matrix!$1:$1,0)),"")</f>
        <v/>
      </c>
      <c r="L147" s="13">
        <f t="array" ref="L147">IFERROR(INDEX(Unified_Matrix!$A:$ZZ,ROW(A144),MATCH("Max OVR",Unified_Matrix!$1:$1,0)),"")</f>
        <v/>
      </c>
      <c r="M147" s="13">
        <f t="array" ref="M147">IFERROR(INDEX(Unified_Matrix!$A:$ZZ,ROW(A144),MATCH("Req_Position",Unified_Matrix!$1:$1,0)),"")</f>
        <v/>
      </c>
      <c r="N147" s="13">
        <f t="array" ref="N147">IFERROR(INDEX(Unified_Matrix!$A:$ZZ,ROW(A144),MATCH("Req_OVR_Max",Unified_Matrix!$1:$1,0)),"")</f>
        <v/>
      </c>
      <c r="O147" s="25">
        <f t="array" ref="O147">IFERROR(INDEX(Unified_Matrix!$A:$ZZ,ROW(A144),MATCH("Req_Other",Unified_Matrix!$1:$1,0)),"")</f>
        <v/>
      </c>
    </row>
    <row r="148" ht="68.25" customHeight="1">
      <c r="H148" s="13">
        <f t="array" ref="H148">IFERROR(INDEX(Unified_Matrix!$A:$ZZ,ROW(A145),MATCH("Max "&amp;$H$3,Unified_Matrix!$1:$1,0)),"")</f>
        <v/>
      </c>
      <c r="I148" s="25">
        <f t="array" ref="I148">IFERROR(INDEX(Unified_Matrix!$A:$ZZ,ROW(A145),MATCH("Evolution_Name",Unified_Matrix!$1:$1,0)),"")</f>
        <v/>
      </c>
      <c r="J148" s="13">
        <f>IF(H148="","",IF(H148=0,"",IF(H148=$Z$32,1,IF(H148=$Z$33,2,IF(H148=$Z$34,3,"")))))</f>
        <v/>
      </c>
      <c r="K148" s="13">
        <f t="array" ref="K148">IFERROR(INDEX(Unified_Matrix!$A:$ZZ,ROW(A145),MATCH("+ OVR",Unified_Matrix!$1:$1,0)),"")</f>
        <v/>
      </c>
      <c r="L148" s="13">
        <f t="array" ref="L148">IFERROR(INDEX(Unified_Matrix!$A:$ZZ,ROW(A145),MATCH("Max OVR",Unified_Matrix!$1:$1,0)),"")</f>
        <v/>
      </c>
      <c r="M148" s="13">
        <f t="array" ref="M148">IFERROR(INDEX(Unified_Matrix!$A:$ZZ,ROW(A145),MATCH("Req_Position",Unified_Matrix!$1:$1,0)),"")</f>
        <v/>
      </c>
      <c r="N148" s="13">
        <f t="array" ref="N148">IFERROR(INDEX(Unified_Matrix!$A:$ZZ,ROW(A145),MATCH("Req_OVR_Max",Unified_Matrix!$1:$1,0)),"")</f>
        <v/>
      </c>
      <c r="O148" s="25">
        <f t="array" ref="O148">IFERROR(INDEX(Unified_Matrix!$A:$ZZ,ROW(A145),MATCH("Req_Other",Unified_Matrix!$1:$1,0)),"")</f>
        <v/>
      </c>
    </row>
    <row r="149" ht="68.25" customHeight="1">
      <c r="H149" s="13">
        <f t="array" ref="H149">IFERROR(INDEX(Unified_Matrix!$A:$ZZ,ROW(A146),MATCH("Max "&amp;$H$3,Unified_Matrix!$1:$1,0)),"")</f>
        <v/>
      </c>
      <c r="I149" s="25">
        <f t="array" ref="I149">IFERROR(INDEX(Unified_Matrix!$A:$ZZ,ROW(A146),MATCH("Evolution_Name",Unified_Matrix!$1:$1,0)),"")</f>
        <v/>
      </c>
      <c r="J149" s="13">
        <f>IF(H149="","",IF(H149=0,"",IF(H149=$Z$32,1,IF(H149=$Z$33,2,IF(H149=$Z$34,3,"")))))</f>
        <v/>
      </c>
      <c r="K149" s="13">
        <f t="array" ref="K149">IFERROR(INDEX(Unified_Matrix!$A:$ZZ,ROW(A146),MATCH("+ OVR",Unified_Matrix!$1:$1,0)),"")</f>
        <v/>
      </c>
      <c r="L149" s="13">
        <f t="array" ref="L149">IFERROR(INDEX(Unified_Matrix!$A:$ZZ,ROW(A146),MATCH("Max OVR",Unified_Matrix!$1:$1,0)),"")</f>
        <v/>
      </c>
      <c r="M149" s="13">
        <f t="array" ref="M149">IFERROR(INDEX(Unified_Matrix!$A:$ZZ,ROW(A146),MATCH("Req_Position",Unified_Matrix!$1:$1,0)),"")</f>
        <v/>
      </c>
      <c r="N149" s="13">
        <f t="array" ref="N149">IFERROR(INDEX(Unified_Matrix!$A:$ZZ,ROW(A146),MATCH("Req_OVR_Max",Unified_Matrix!$1:$1,0)),"")</f>
        <v/>
      </c>
      <c r="O149" s="25">
        <f t="array" ref="O149">IFERROR(INDEX(Unified_Matrix!$A:$ZZ,ROW(A146),MATCH("Req_Other",Unified_Matrix!$1:$1,0)),"")</f>
        <v/>
      </c>
    </row>
    <row r="150" ht="68.25" customHeight="1">
      <c r="H150" s="13">
        <f t="array" ref="H150">IFERROR(INDEX(Unified_Matrix!$A:$ZZ,ROW(A147),MATCH("Max "&amp;$H$3,Unified_Matrix!$1:$1,0)),"")</f>
        <v/>
      </c>
      <c r="I150" s="25">
        <f t="array" ref="I150">IFERROR(INDEX(Unified_Matrix!$A:$ZZ,ROW(A147),MATCH("Evolution_Name",Unified_Matrix!$1:$1,0)),"")</f>
        <v/>
      </c>
      <c r="J150" s="13">
        <f>IF(H150="","",IF(H150=0,"",IF(H150=$Z$32,1,IF(H150=$Z$33,2,IF(H150=$Z$34,3,"")))))</f>
        <v/>
      </c>
      <c r="K150" s="13">
        <f t="array" ref="K150">IFERROR(INDEX(Unified_Matrix!$A:$ZZ,ROW(A147),MATCH("+ OVR",Unified_Matrix!$1:$1,0)),"")</f>
        <v/>
      </c>
      <c r="L150" s="13">
        <f t="array" ref="L150">IFERROR(INDEX(Unified_Matrix!$A:$ZZ,ROW(A147),MATCH("Max OVR",Unified_Matrix!$1:$1,0)),"")</f>
        <v/>
      </c>
      <c r="M150" s="13">
        <f t="array" ref="M150">IFERROR(INDEX(Unified_Matrix!$A:$ZZ,ROW(A147),MATCH("Req_Position",Unified_Matrix!$1:$1,0)),"")</f>
        <v/>
      </c>
      <c r="N150" s="13">
        <f t="array" ref="N150">IFERROR(INDEX(Unified_Matrix!$A:$ZZ,ROW(A147),MATCH("Req_OVR_Max",Unified_Matrix!$1:$1,0)),"")</f>
        <v/>
      </c>
      <c r="O150" s="25">
        <f t="array" ref="O150">IFERROR(INDEX(Unified_Matrix!$A:$ZZ,ROW(A147),MATCH("Req_Other",Unified_Matrix!$1:$1,0)),"")</f>
        <v/>
      </c>
    </row>
    <row r="151" ht="68.25" customHeight="1">
      <c r="H151" s="13">
        <f t="array" ref="H151">IFERROR(INDEX(Unified_Matrix!$A:$ZZ,ROW(A148),MATCH("Max "&amp;$H$3,Unified_Matrix!$1:$1,0)),"")</f>
        <v/>
      </c>
      <c r="I151" s="25">
        <f t="array" ref="I151">IFERROR(INDEX(Unified_Matrix!$A:$ZZ,ROW(A148),MATCH("Evolution_Name",Unified_Matrix!$1:$1,0)),"")</f>
        <v/>
      </c>
      <c r="J151" s="13">
        <f>IF(H151="","",IF(H151=0,"",IF(H151=$Z$32,1,IF(H151=$Z$33,2,IF(H151=$Z$34,3,"")))))</f>
        <v/>
      </c>
      <c r="K151" s="13">
        <f t="array" ref="K151">IFERROR(INDEX(Unified_Matrix!$A:$ZZ,ROW(A148),MATCH("+ OVR",Unified_Matrix!$1:$1,0)),"")</f>
        <v/>
      </c>
      <c r="L151" s="13">
        <f t="array" ref="L151">IFERROR(INDEX(Unified_Matrix!$A:$ZZ,ROW(A148),MATCH("Max OVR",Unified_Matrix!$1:$1,0)),"")</f>
        <v/>
      </c>
      <c r="M151" s="13">
        <f t="array" ref="M151">IFERROR(INDEX(Unified_Matrix!$A:$ZZ,ROW(A148),MATCH("Req_Position",Unified_Matrix!$1:$1,0)),"")</f>
        <v/>
      </c>
      <c r="N151" s="13">
        <f t="array" ref="N151">IFERROR(INDEX(Unified_Matrix!$A:$ZZ,ROW(A148),MATCH("Req_OVR_Max",Unified_Matrix!$1:$1,0)),"")</f>
        <v/>
      </c>
      <c r="O151" s="25">
        <f t="array" ref="O151">IFERROR(INDEX(Unified_Matrix!$A:$ZZ,ROW(A148),MATCH("Req_Other",Unified_Matrix!$1:$1,0)),"")</f>
        <v/>
      </c>
    </row>
    <row r="152" ht="68.25" customHeight="1">
      <c r="H152" s="13">
        <f t="array" ref="H152">IFERROR(INDEX(Unified_Matrix!$A:$ZZ,ROW(A149),MATCH("Max "&amp;$H$3,Unified_Matrix!$1:$1,0)),"")</f>
        <v/>
      </c>
      <c r="I152" s="25">
        <f t="array" ref="I152">IFERROR(INDEX(Unified_Matrix!$A:$ZZ,ROW(A149),MATCH("Evolution_Name",Unified_Matrix!$1:$1,0)),"")</f>
        <v/>
      </c>
      <c r="J152" s="13">
        <f>IF(H152="","",IF(H152=0,"",IF(H152=$Z$32,1,IF(H152=$Z$33,2,IF(H152=$Z$34,3,"")))))</f>
        <v/>
      </c>
      <c r="K152" s="13">
        <f t="array" ref="K152">IFERROR(INDEX(Unified_Matrix!$A:$ZZ,ROW(A149),MATCH("+ OVR",Unified_Matrix!$1:$1,0)),"")</f>
        <v/>
      </c>
      <c r="L152" s="13">
        <f t="array" ref="L152">IFERROR(INDEX(Unified_Matrix!$A:$ZZ,ROW(A149),MATCH("Max OVR",Unified_Matrix!$1:$1,0)),"")</f>
        <v/>
      </c>
      <c r="M152" s="13">
        <f t="array" ref="M152">IFERROR(INDEX(Unified_Matrix!$A:$ZZ,ROW(A149),MATCH("Req_Position",Unified_Matrix!$1:$1,0)),"")</f>
        <v/>
      </c>
      <c r="N152" s="13">
        <f t="array" ref="N152">IFERROR(INDEX(Unified_Matrix!$A:$ZZ,ROW(A149),MATCH("Req_OVR_Max",Unified_Matrix!$1:$1,0)),"")</f>
        <v/>
      </c>
      <c r="O152" s="25">
        <f t="array" ref="O152">IFERROR(INDEX(Unified_Matrix!$A:$ZZ,ROW(A149),MATCH("Req_Other",Unified_Matrix!$1:$1,0)),"")</f>
        <v/>
      </c>
    </row>
    <row r="153" ht="68.25" customHeight="1">
      <c r="H153" s="13">
        <f t="array" ref="H153">IFERROR(INDEX(Unified_Matrix!$A:$ZZ,ROW(A150),MATCH("Max "&amp;$H$3,Unified_Matrix!$1:$1,0)),"")</f>
        <v/>
      </c>
      <c r="I153" s="25">
        <f t="array" ref="I153">IFERROR(INDEX(Unified_Matrix!$A:$ZZ,ROW(A150),MATCH("Evolution_Name",Unified_Matrix!$1:$1,0)),"")</f>
        <v/>
      </c>
      <c r="J153" s="13">
        <f>IF(H153="","",IF(H153=0,"",IF(H153=$Z$32,1,IF(H153=$Z$33,2,IF(H153=$Z$34,3,"")))))</f>
        <v/>
      </c>
      <c r="K153" s="13">
        <f t="array" ref="K153">IFERROR(INDEX(Unified_Matrix!$A:$ZZ,ROW(A150),MATCH("+ OVR",Unified_Matrix!$1:$1,0)),"")</f>
        <v/>
      </c>
      <c r="L153" s="13">
        <f t="array" ref="L153">IFERROR(INDEX(Unified_Matrix!$A:$ZZ,ROW(A150),MATCH("Max OVR",Unified_Matrix!$1:$1,0)),"")</f>
        <v/>
      </c>
      <c r="M153" s="13">
        <f t="array" ref="M153">IFERROR(INDEX(Unified_Matrix!$A:$ZZ,ROW(A150),MATCH("Req_Position",Unified_Matrix!$1:$1,0)),"")</f>
        <v/>
      </c>
      <c r="N153" s="13">
        <f t="array" ref="N153">IFERROR(INDEX(Unified_Matrix!$A:$ZZ,ROW(A150),MATCH("Req_OVR_Max",Unified_Matrix!$1:$1,0)),"")</f>
        <v/>
      </c>
      <c r="O153" s="25">
        <f t="array" ref="O153">IFERROR(INDEX(Unified_Matrix!$A:$ZZ,ROW(A150),MATCH("Req_Other",Unified_Matrix!$1:$1,0)),"")</f>
        <v/>
      </c>
    </row>
    <row r="154" ht="68.25" customHeight="1">
      <c r="H154" s="13">
        <f t="array" ref="H154">IFERROR(INDEX(Unified_Matrix!$A:$ZZ,ROW(A151),MATCH("Max "&amp;$H$3,Unified_Matrix!$1:$1,0)),"")</f>
        <v/>
      </c>
      <c r="I154" s="25">
        <f t="array" ref="I154">IFERROR(INDEX(Unified_Matrix!$A:$ZZ,ROW(A151),MATCH("Evolution_Name",Unified_Matrix!$1:$1,0)),"")</f>
        <v/>
      </c>
      <c r="J154" s="13">
        <f>IF(H154="","",IF(H154=0,"",IF(H154=$Z$32,1,IF(H154=$Z$33,2,IF(H154=$Z$34,3,"")))))</f>
        <v/>
      </c>
      <c r="K154" s="13">
        <f t="array" ref="K154">IFERROR(INDEX(Unified_Matrix!$A:$ZZ,ROW(A151),MATCH("+ OVR",Unified_Matrix!$1:$1,0)),"")</f>
        <v/>
      </c>
      <c r="L154" s="13">
        <f t="array" ref="L154">IFERROR(INDEX(Unified_Matrix!$A:$ZZ,ROW(A151),MATCH("Max OVR",Unified_Matrix!$1:$1,0)),"")</f>
        <v/>
      </c>
      <c r="M154" s="13">
        <f t="array" ref="M154">IFERROR(INDEX(Unified_Matrix!$A:$ZZ,ROW(A151),MATCH("Req_Position",Unified_Matrix!$1:$1,0)),"")</f>
        <v/>
      </c>
      <c r="N154" s="13">
        <f t="array" ref="N154">IFERROR(INDEX(Unified_Matrix!$A:$ZZ,ROW(A151),MATCH("Req_OVR_Max",Unified_Matrix!$1:$1,0)),"")</f>
        <v/>
      </c>
      <c r="O154" s="25">
        <f t="array" ref="O154">IFERROR(INDEX(Unified_Matrix!$A:$ZZ,ROW(A151),MATCH("Req_Other",Unified_Matrix!$1:$1,0)),"")</f>
        <v/>
      </c>
    </row>
    <row r="155" ht="68.25" customHeight="1">
      <c r="H155" s="13">
        <f t="array" ref="H155">IFERROR(INDEX(Unified_Matrix!$A:$ZZ,ROW(A152),MATCH("Max "&amp;$H$3,Unified_Matrix!$1:$1,0)),"")</f>
        <v/>
      </c>
      <c r="I155" s="25">
        <f t="array" ref="I155">IFERROR(INDEX(Unified_Matrix!$A:$ZZ,ROW(A152),MATCH("Evolution_Name",Unified_Matrix!$1:$1,0)),"")</f>
        <v/>
      </c>
      <c r="J155" s="13">
        <f>IF(H155="","",IF(H155=0,"",IF(H155=$Z$32,1,IF(H155=$Z$33,2,IF(H155=$Z$34,3,"")))))</f>
        <v/>
      </c>
      <c r="K155" s="13">
        <f t="array" ref="K155">IFERROR(INDEX(Unified_Matrix!$A:$ZZ,ROW(A152),MATCH("+ OVR",Unified_Matrix!$1:$1,0)),"")</f>
        <v/>
      </c>
      <c r="L155" s="13">
        <f t="array" ref="L155">IFERROR(INDEX(Unified_Matrix!$A:$ZZ,ROW(A152),MATCH("Max OVR",Unified_Matrix!$1:$1,0)),"")</f>
        <v/>
      </c>
      <c r="M155" s="13">
        <f t="array" ref="M155">IFERROR(INDEX(Unified_Matrix!$A:$ZZ,ROW(A152),MATCH("Req_Position",Unified_Matrix!$1:$1,0)),"")</f>
        <v/>
      </c>
      <c r="N155" s="13">
        <f t="array" ref="N155">IFERROR(INDEX(Unified_Matrix!$A:$ZZ,ROW(A152),MATCH("Req_OVR_Max",Unified_Matrix!$1:$1,0)),"")</f>
        <v/>
      </c>
      <c r="O155" s="25">
        <f t="array" ref="O155">IFERROR(INDEX(Unified_Matrix!$A:$ZZ,ROW(A152),MATCH("Req_Other",Unified_Matrix!$1:$1,0)),"")</f>
        <v/>
      </c>
    </row>
    <row r="156" ht="68.25" customHeight="1">
      <c r="H156" s="13">
        <f t="array" ref="H156">IFERROR(INDEX(Unified_Matrix!$A:$ZZ,ROW(A153),MATCH("Max "&amp;$H$3,Unified_Matrix!$1:$1,0)),"")</f>
        <v/>
      </c>
      <c r="I156" s="25">
        <f t="array" ref="I156">IFERROR(INDEX(Unified_Matrix!$A:$ZZ,ROW(A153),MATCH("Evolution_Name",Unified_Matrix!$1:$1,0)),"")</f>
        <v/>
      </c>
      <c r="J156" s="13">
        <f>IF(H156="","",IF(H156=0,"",IF(H156=$Z$32,1,IF(H156=$Z$33,2,IF(H156=$Z$34,3,"")))))</f>
        <v/>
      </c>
      <c r="K156" s="13">
        <f t="array" ref="K156">IFERROR(INDEX(Unified_Matrix!$A:$ZZ,ROW(A153),MATCH("+ OVR",Unified_Matrix!$1:$1,0)),"")</f>
        <v/>
      </c>
      <c r="L156" s="13">
        <f t="array" ref="L156">IFERROR(INDEX(Unified_Matrix!$A:$ZZ,ROW(A153),MATCH("Max OVR",Unified_Matrix!$1:$1,0)),"")</f>
        <v/>
      </c>
      <c r="M156" s="13">
        <f t="array" ref="M156">IFERROR(INDEX(Unified_Matrix!$A:$ZZ,ROW(A153),MATCH("Req_Position",Unified_Matrix!$1:$1,0)),"")</f>
        <v/>
      </c>
      <c r="N156" s="13">
        <f t="array" ref="N156">IFERROR(INDEX(Unified_Matrix!$A:$ZZ,ROW(A153),MATCH("Req_OVR_Max",Unified_Matrix!$1:$1,0)),"")</f>
        <v/>
      </c>
      <c r="O156" s="25">
        <f t="array" ref="O156">IFERROR(INDEX(Unified_Matrix!$A:$ZZ,ROW(A153),MATCH("Req_Other",Unified_Matrix!$1:$1,0)),"")</f>
        <v/>
      </c>
    </row>
    <row r="157" ht="68.25" customHeight="1">
      <c r="H157" s="13">
        <f t="array" ref="H157">IFERROR(INDEX(Unified_Matrix!$A:$ZZ,ROW(A154),MATCH("Max "&amp;$H$3,Unified_Matrix!$1:$1,0)),"")</f>
        <v/>
      </c>
      <c r="I157" s="25">
        <f t="array" ref="I157">IFERROR(INDEX(Unified_Matrix!$A:$ZZ,ROW(A154),MATCH("Evolution_Name",Unified_Matrix!$1:$1,0)),"")</f>
        <v/>
      </c>
      <c r="J157" s="13">
        <f>IF(H157="","",IF(H157=0,"",IF(H157=$Z$32,1,IF(H157=$Z$33,2,IF(H157=$Z$34,3,"")))))</f>
        <v/>
      </c>
      <c r="K157" s="13">
        <f t="array" ref="K157">IFERROR(INDEX(Unified_Matrix!$A:$ZZ,ROW(A154),MATCH("+ OVR",Unified_Matrix!$1:$1,0)),"")</f>
        <v/>
      </c>
      <c r="L157" s="13">
        <f t="array" ref="L157">IFERROR(INDEX(Unified_Matrix!$A:$ZZ,ROW(A154),MATCH("Max OVR",Unified_Matrix!$1:$1,0)),"")</f>
        <v/>
      </c>
      <c r="M157" s="13">
        <f t="array" ref="M157">IFERROR(INDEX(Unified_Matrix!$A:$ZZ,ROW(A154),MATCH("Req_Position",Unified_Matrix!$1:$1,0)),"")</f>
        <v/>
      </c>
      <c r="N157" s="13">
        <f t="array" ref="N157">IFERROR(INDEX(Unified_Matrix!$A:$ZZ,ROW(A154),MATCH("Req_OVR_Max",Unified_Matrix!$1:$1,0)),"")</f>
        <v/>
      </c>
      <c r="O157" s="25">
        <f t="array" ref="O157">IFERROR(INDEX(Unified_Matrix!$A:$ZZ,ROW(A154),MATCH("Req_Other",Unified_Matrix!$1:$1,0)),"")</f>
        <v/>
      </c>
    </row>
    <row r="158" ht="68.25" customHeight="1">
      <c r="H158" s="13">
        <f t="array" ref="H158">IFERROR(INDEX(Unified_Matrix!$A:$ZZ,ROW(A155),MATCH("Max "&amp;$H$3,Unified_Matrix!$1:$1,0)),"")</f>
        <v/>
      </c>
      <c r="I158" s="25">
        <f t="array" ref="I158">IFERROR(INDEX(Unified_Matrix!$A:$ZZ,ROW(A155),MATCH("Evolution_Name",Unified_Matrix!$1:$1,0)),"")</f>
        <v/>
      </c>
      <c r="J158" s="13">
        <f>IF(H158="","",IF(H158=0,"",IF(H158=$Z$32,1,IF(H158=$Z$33,2,IF(H158=$Z$34,3,"")))))</f>
        <v/>
      </c>
      <c r="K158" s="13">
        <f t="array" ref="K158">IFERROR(INDEX(Unified_Matrix!$A:$ZZ,ROW(A155),MATCH("+ OVR",Unified_Matrix!$1:$1,0)),"")</f>
        <v/>
      </c>
      <c r="L158" s="13">
        <f t="array" ref="L158">IFERROR(INDEX(Unified_Matrix!$A:$ZZ,ROW(A155),MATCH("Max OVR",Unified_Matrix!$1:$1,0)),"")</f>
        <v/>
      </c>
      <c r="M158" s="13">
        <f t="array" ref="M158">IFERROR(INDEX(Unified_Matrix!$A:$ZZ,ROW(A155),MATCH("Req_Position",Unified_Matrix!$1:$1,0)),"")</f>
        <v/>
      </c>
      <c r="N158" s="13">
        <f t="array" ref="N158">IFERROR(INDEX(Unified_Matrix!$A:$ZZ,ROW(A155),MATCH("Req_OVR_Max",Unified_Matrix!$1:$1,0)),"")</f>
        <v/>
      </c>
      <c r="O158" s="25">
        <f t="array" ref="O158">IFERROR(INDEX(Unified_Matrix!$A:$ZZ,ROW(A155),MATCH("Req_Other",Unified_Matrix!$1:$1,0)),"")</f>
        <v/>
      </c>
    </row>
    <row r="159" ht="68.25" customHeight="1">
      <c r="H159" s="13">
        <f t="array" ref="H159">IFERROR(INDEX(Unified_Matrix!$A:$ZZ,ROW(A156),MATCH("Max "&amp;$H$3,Unified_Matrix!$1:$1,0)),"")</f>
        <v/>
      </c>
      <c r="I159" s="25">
        <f t="array" ref="I159">IFERROR(INDEX(Unified_Matrix!$A:$ZZ,ROW(A156),MATCH("Evolution_Name",Unified_Matrix!$1:$1,0)),"")</f>
        <v/>
      </c>
      <c r="J159" s="13">
        <f>IF(H159="","",IF(H159=0,"",IF(H159=$Z$32,1,IF(H159=$Z$33,2,IF(H159=$Z$34,3,"")))))</f>
        <v/>
      </c>
      <c r="K159" s="13">
        <f t="array" ref="K159">IFERROR(INDEX(Unified_Matrix!$A:$ZZ,ROW(A156),MATCH("+ OVR",Unified_Matrix!$1:$1,0)),"")</f>
        <v/>
      </c>
      <c r="L159" s="13">
        <f t="array" ref="L159">IFERROR(INDEX(Unified_Matrix!$A:$ZZ,ROW(A156),MATCH("Max OVR",Unified_Matrix!$1:$1,0)),"")</f>
        <v/>
      </c>
      <c r="M159" s="13">
        <f t="array" ref="M159">IFERROR(INDEX(Unified_Matrix!$A:$ZZ,ROW(A156),MATCH("Req_Position",Unified_Matrix!$1:$1,0)),"")</f>
        <v/>
      </c>
      <c r="N159" s="13">
        <f t="array" ref="N159">IFERROR(INDEX(Unified_Matrix!$A:$ZZ,ROW(A156),MATCH("Req_OVR_Max",Unified_Matrix!$1:$1,0)),"")</f>
        <v/>
      </c>
      <c r="O159" s="25">
        <f t="array" ref="O159">IFERROR(INDEX(Unified_Matrix!$A:$ZZ,ROW(A156),MATCH("Req_Other",Unified_Matrix!$1:$1,0)),"")</f>
        <v/>
      </c>
    </row>
    <row r="160" ht="68.25" customHeight="1">
      <c r="H160" s="13">
        <f t="array" ref="H160">IFERROR(INDEX(Unified_Matrix!$A:$ZZ,ROW(A157),MATCH("Max "&amp;$H$3,Unified_Matrix!$1:$1,0)),"")</f>
        <v/>
      </c>
      <c r="I160" s="25">
        <f t="array" ref="I160">IFERROR(INDEX(Unified_Matrix!$A:$ZZ,ROW(A157),MATCH("Evolution_Name",Unified_Matrix!$1:$1,0)),"")</f>
        <v/>
      </c>
      <c r="J160" s="13">
        <f>IF(H160="","",IF(H160=0,"",IF(H160=$Z$32,1,IF(H160=$Z$33,2,IF(H160=$Z$34,3,"")))))</f>
        <v/>
      </c>
      <c r="K160" s="13">
        <f t="array" ref="K160">IFERROR(INDEX(Unified_Matrix!$A:$ZZ,ROW(A157),MATCH("+ OVR",Unified_Matrix!$1:$1,0)),"")</f>
        <v/>
      </c>
      <c r="L160" s="13">
        <f t="array" ref="L160">IFERROR(INDEX(Unified_Matrix!$A:$ZZ,ROW(A157),MATCH("Max OVR",Unified_Matrix!$1:$1,0)),"")</f>
        <v/>
      </c>
      <c r="M160" s="13">
        <f t="array" ref="M160">IFERROR(INDEX(Unified_Matrix!$A:$ZZ,ROW(A157),MATCH("Req_Position",Unified_Matrix!$1:$1,0)),"")</f>
        <v/>
      </c>
      <c r="N160" s="13">
        <f t="array" ref="N160">IFERROR(INDEX(Unified_Matrix!$A:$ZZ,ROW(A157),MATCH("Req_OVR_Max",Unified_Matrix!$1:$1,0)),"")</f>
        <v/>
      </c>
      <c r="O160" s="25">
        <f t="array" ref="O160">IFERROR(INDEX(Unified_Matrix!$A:$ZZ,ROW(A157),MATCH("Req_Other",Unified_Matrix!$1:$1,0)),"")</f>
        <v/>
      </c>
    </row>
    <row r="161" ht="68.25" customHeight="1">
      <c r="H161" s="13">
        <f t="array" ref="H161">IFERROR(INDEX(Unified_Matrix!$A:$ZZ,ROW(A158),MATCH("Max "&amp;$H$3,Unified_Matrix!$1:$1,0)),"")</f>
        <v/>
      </c>
      <c r="I161" s="25">
        <f t="array" ref="I161">IFERROR(INDEX(Unified_Matrix!$A:$ZZ,ROW(A158),MATCH("Evolution_Name",Unified_Matrix!$1:$1,0)),"")</f>
        <v/>
      </c>
      <c r="J161" s="13">
        <f>IF(H161="","",IF(H161=0,"",IF(H161=$Z$32,1,IF(H161=$Z$33,2,IF(H161=$Z$34,3,"")))))</f>
        <v/>
      </c>
      <c r="K161" s="13">
        <f t="array" ref="K161">IFERROR(INDEX(Unified_Matrix!$A:$ZZ,ROW(A158),MATCH("+ OVR",Unified_Matrix!$1:$1,0)),"")</f>
        <v/>
      </c>
      <c r="L161" s="13">
        <f t="array" ref="L161">IFERROR(INDEX(Unified_Matrix!$A:$ZZ,ROW(A158),MATCH("Max OVR",Unified_Matrix!$1:$1,0)),"")</f>
        <v/>
      </c>
      <c r="M161" s="13">
        <f t="array" ref="M161">IFERROR(INDEX(Unified_Matrix!$A:$ZZ,ROW(A158),MATCH("Req_Position",Unified_Matrix!$1:$1,0)),"")</f>
        <v/>
      </c>
      <c r="N161" s="13">
        <f t="array" ref="N161">IFERROR(INDEX(Unified_Matrix!$A:$ZZ,ROW(A158),MATCH("Req_OVR_Max",Unified_Matrix!$1:$1,0)),"")</f>
        <v/>
      </c>
      <c r="O161" s="25">
        <f t="array" ref="O161">IFERROR(INDEX(Unified_Matrix!$A:$ZZ,ROW(A158),MATCH("Req_Other",Unified_Matrix!$1:$1,0)),"")</f>
        <v/>
      </c>
    </row>
    <row r="162" ht="68.25" customHeight="1">
      <c r="H162" s="13">
        <f t="array" ref="H162">IFERROR(INDEX(Unified_Matrix!$A:$ZZ,ROW(A159),MATCH("Max "&amp;$H$3,Unified_Matrix!$1:$1,0)),"")</f>
        <v/>
      </c>
      <c r="I162" s="25">
        <f t="array" ref="I162">IFERROR(INDEX(Unified_Matrix!$A:$ZZ,ROW(A159),MATCH("Evolution_Name",Unified_Matrix!$1:$1,0)),"")</f>
        <v/>
      </c>
      <c r="J162" s="13">
        <f>IF(H162="","",IF(H162=0,"",IF(H162=$Z$32,1,IF(H162=$Z$33,2,IF(H162=$Z$34,3,"")))))</f>
        <v/>
      </c>
      <c r="K162" s="13">
        <f t="array" ref="K162">IFERROR(INDEX(Unified_Matrix!$A:$ZZ,ROW(A159),MATCH("+ OVR",Unified_Matrix!$1:$1,0)),"")</f>
        <v/>
      </c>
      <c r="L162" s="13">
        <f t="array" ref="L162">IFERROR(INDEX(Unified_Matrix!$A:$ZZ,ROW(A159),MATCH("Max OVR",Unified_Matrix!$1:$1,0)),"")</f>
        <v/>
      </c>
      <c r="M162" s="13">
        <f t="array" ref="M162">IFERROR(INDEX(Unified_Matrix!$A:$ZZ,ROW(A159),MATCH("Req_Position",Unified_Matrix!$1:$1,0)),"")</f>
        <v/>
      </c>
      <c r="N162" s="13">
        <f t="array" ref="N162">IFERROR(INDEX(Unified_Matrix!$A:$ZZ,ROW(A159),MATCH("Req_OVR_Max",Unified_Matrix!$1:$1,0)),"")</f>
        <v/>
      </c>
      <c r="O162" s="25">
        <f t="array" ref="O162">IFERROR(INDEX(Unified_Matrix!$A:$ZZ,ROW(A159),MATCH("Req_Other",Unified_Matrix!$1:$1,0)),"")</f>
        <v/>
      </c>
    </row>
    <row r="163" ht="68.25" customHeight="1">
      <c r="H163" s="13">
        <f t="array" ref="H163">IFERROR(INDEX(Unified_Matrix!$A:$ZZ,ROW(A160),MATCH("Max "&amp;$H$3,Unified_Matrix!$1:$1,0)),"")</f>
        <v/>
      </c>
      <c r="I163" s="25">
        <f t="array" ref="I163">IFERROR(INDEX(Unified_Matrix!$A:$ZZ,ROW(A160),MATCH("Evolution_Name",Unified_Matrix!$1:$1,0)),"")</f>
        <v/>
      </c>
      <c r="J163" s="13">
        <f>IF(H163="","",IF(H163=0,"",IF(H163=$Z$32,1,IF(H163=$Z$33,2,IF(H163=$Z$34,3,"")))))</f>
        <v/>
      </c>
      <c r="K163" s="13">
        <f t="array" ref="K163">IFERROR(INDEX(Unified_Matrix!$A:$ZZ,ROW(A160),MATCH("+ OVR",Unified_Matrix!$1:$1,0)),"")</f>
        <v/>
      </c>
      <c r="L163" s="13">
        <f t="array" ref="L163">IFERROR(INDEX(Unified_Matrix!$A:$ZZ,ROW(A160),MATCH("Max OVR",Unified_Matrix!$1:$1,0)),"")</f>
        <v/>
      </c>
      <c r="M163" s="13">
        <f t="array" ref="M163">IFERROR(INDEX(Unified_Matrix!$A:$ZZ,ROW(A160),MATCH("Req_Position",Unified_Matrix!$1:$1,0)),"")</f>
        <v/>
      </c>
      <c r="N163" s="13">
        <f t="array" ref="N163">IFERROR(INDEX(Unified_Matrix!$A:$ZZ,ROW(A160),MATCH("Req_OVR_Max",Unified_Matrix!$1:$1,0)),"")</f>
        <v/>
      </c>
      <c r="O163" s="25">
        <f t="array" ref="O163">IFERROR(INDEX(Unified_Matrix!$A:$ZZ,ROW(A160),MATCH("Req_Other",Unified_Matrix!$1:$1,0)),"")</f>
        <v/>
      </c>
    </row>
    <row r="164" ht="68.25" customHeight="1">
      <c r="H164" s="13">
        <f t="array" ref="H164">IFERROR(INDEX(Unified_Matrix!$A:$ZZ,ROW(A161),MATCH("Max "&amp;$H$3,Unified_Matrix!$1:$1,0)),"")</f>
        <v/>
      </c>
      <c r="I164" s="25">
        <f t="array" ref="I164">IFERROR(INDEX(Unified_Matrix!$A:$ZZ,ROW(A161),MATCH("Evolution_Name",Unified_Matrix!$1:$1,0)),"")</f>
        <v/>
      </c>
      <c r="J164" s="13">
        <f>IF(H164="","",IF(H164=0,"",IF(H164=$Z$32,1,IF(H164=$Z$33,2,IF(H164=$Z$34,3,"")))))</f>
        <v/>
      </c>
      <c r="K164" s="13">
        <f t="array" ref="K164">IFERROR(INDEX(Unified_Matrix!$A:$ZZ,ROW(A161),MATCH("+ OVR",Unified_Matrix!$1:$1,0)),"")</f>
        <v/>
      </c>
      <c r="L164" s="13">
        <f t="array" ref="L164">IFERROR(INDEX(Unified_Matrix!$A:$ZZ,ROW(A161),MATCH("Max OVR",Unified_Matrix!$1:$1,0)),"")</f>
        <v/>
      </c>
      <c r="M164" s="13">
        <f t="array" ref="M164">IFERROR(INDEX(Unified_Matrix!$A:$ZZ,ROW(A161),MATCH("Req_Position",Unified_Matrix!$1:$1,0)),"")</f>
        <v/>
      </c>
      <c r="N164" s="13">
        <f t="array" ref="N164">IFERROR(INDEX(Unified_Matrix!$A:$ZZ,ROW(A161),MATCH("Req_OVR_Max",Unified_Matrix!$1:$1,0)),"")</f>
        <v/>
      </c>
      <c r="O164" s="25">
        <f t="array" ref="O164">IFERROR(INDEX(Unified_Matrix!$A:$ZZ,ROW(A161),MATCH("Req_Other",Unified_Matrix!$1:$1,0)),"")</f>
        <v/>
      </c>
    </row>
    <row r="165" ht="68.25" customHeight="1">
      <c r="H165" s="13">
        <f t="array" ref="H165">IFERROR(INDEX(Unified_Matrix!$A:$ZZ,ROW(A162),MATCH("Max "&amp;$H$3,Unified_Matrix!$1:$1,0)),"")</f>
        <v/>
      </c>
      <c r="I165" s="25">
        <f t="array" ref="I165">IFERROR(INDEX(Unified_Matrix!$A:$ZZ,ROW(A162),MATCH("Evolution_Name",Unified_Matrix!$1:$1,0)),"")</f>
        <v/>
      </c>
      <c r="J165" s="13">
        <f>IF(H165="","",IF(H165=0,"",IF(H165=$Z$32,1,IF(H165=$Z$33,2,IF(H165=$Z$34,3,"")))))</f>
        <v/>
      </c>
      <c r="K165" s="13">
        <f t="array" ref="K165">IFERROR(INDEX(Unified_Matrix!$A:$ZZ,ROW(A162),MATCH("+ OVR",Unified_Matrix!$1:$1,0)),"")</f>
        <v/>
      </c>
      <c r="L165" s="13">
        <f t="array" ref="L165">IFERROR(INDEX(Unified_Matrix!$A:$ZZ,ROW(A162),MATCH("Max OVR",Unified_Matrix!$1:$1,0)),"")</f>
        <v/>
      </c>
      <c r="M165" s="13">
        <f t="array" ref="M165">IFERROR(INDEX(Unified_Matrix!$A:$ZZ,ROW(A162),MATCH("Req_Position",Unified_Matrix!$1:$1,0)),"")</f>
        <v/>
      </c>
      <c r="N165" s="13">
        <f t="array" ref="N165">IFERROR(INDEX(Unified_Matrix!$A:$ZZ,ROW(A162),MATCH("Req_OVR_Max",Unified_Matrix!$1:$1,0)),"")</f>
        <v/>
      </c>
      <c r="O165" s="25">
        <f t="array" ref="O165">IFERROR(INDEX(Unified_Matrix!$A:$ZZ,ROW(A162),MATCH("Req_Other",Unified_Matrix!$1:$1,0)),"")</f>
        <v/>
      </c>
    </row>
    <row r="166" ht="68.25" customHeight="1">
      <c r="H166" s="13">
        <f t="array" ref="H166">IFERROR(INDEX(Unified_Matrix!$A:$ZZ,ROW(A163),MATCH("Max "&amp;$H$3,Unified_Matrix!$1:$1,0)),"")</f>
        <v/>
      </c>
      <c r="I166" s="25">
        <f t="array" ref="I166">IFERROR(INDEX(Unified_Matrix!$A:$ZZ,ROW(A163),MATCH("Evolution_Name",Unified_Matrix!$1:$1,0)),"")</f>
        <v/>
      </c>
      <c r="J166" s="13">
        <f>IF(H166="","",IF(H166=0,"",IF(H166=$Z$32,1,IF(H166=$Z$33,2,IF(H166=$Z$34,3,"")))))</f>
        <v/>
      </c>
      <c r="K166" s="13">
        <f t="array" ref="K166">IFERROR(INDEX(Unified_Matrix!$A:$ZZ,ROW(A163),MATCH("+ OVR",Unified_Matrix!$1:$1,0)),"")</f>
        <v/>
      </c>
      <c r="L166" s="13">
        <f t="array" ref="L166">IFERROR(INDEX(Unified_Matrix!$A:$ZZ,ROW(A163),MATCH("Max OVR",Unified_Matrix!$1:$1,0)),"")</f>
        <v/>
      </c>
      <c r="M166" s="13">
        <f t="array" ref="M166">IFERROR(INDEX(Unified_Matrix!$A:$ZZ,ROW(A163),MATCH("Req_Position",Unified_Matrix!$1:$1,0)),"")</f>
        <v/>
      </c>
      <c r="N166" s="13">
        <f t="array" ref="N166">IFERROR(INDEX(Unified_Matrix!$A:$ZZ,ROW(A163),MATCH("Req_OVR_Max",Unified_Matrix!$1:$1,0)),"")</f>
        <v/>
      </c>
      <c r="O166" s="25">
        <f t="array" ref="O166">IFERROR(INDEX(Unified_Matrix!$A:$ZZ,ROW(A163),MATCH("Req_Other",Unified_Matrix!$1:$1,0)),"")</f>
        <v/>
      </c>
    </row>
    <row r="167" ht="68.25" customHeight="1">
      <c r="H167" s="13">
        <f t="array" ref="H167">IFERROR(INDEX(Unified_Matrix!$A:$ZZ,ROW(A164),MATCH("Max "&amp;$H$3,Unified_Matrix!$1:$1,0)),"")</f>
        <v/>
      </c>
      <c r="I167" s="25">
        <f t="array" ref="I167">IFERROR(INDEX(Unified_Matrix!$A:$ZZ,ROW(A164),MATCH("Evolution_Name",Unified_Matrix!$1:$1,0)),"")</f>
        <v/>
      </c>
      <c r="J167" s="13">
        <f>IF(H167="","",IF(H167=0,"",IF(H167=$Z$32,1,IF(H167=$Z$33,2,IF(H167=$Z$34,3,"")))))</f>
        <v/>
      </c>
      <c r="K167" s="13">
        <f t="array" ref="K167">IFERROR(INDEX(Unified_Matrix!$A:$ZZ,ROW(A164),MATCH("+ OVR",Unified_Matrix!$1:$1,0)),"")</f>
        <v/>
      </c>
      <c r="L167" s="13">
        <f t="array" ref="L167">IFERROR(INDEX(Unified_Matrix!$A:$ZZ,ROW(A164),MATCH("Max OVR",Unified_Matrix!$1:$1,0)),"")</f>
        <v/>
      </c>
      <c r="M167" s="13">
        <f t="array" ref="M167">IFERROR(INDEX(Unified_Matrix!$A:$ZZ,ROW(A164),MATCH("Req_Position",Unified_Matrix!$1:$1,0)),"")</f>
        <v/>
      </c>
      <c r="N167" s="13">
        <f t="array" ref="N167">IFERROR(INDEX(Unified_Matrix!$A:$ZZ,ROW(A164),MATCH("Req_OVR_Max",Unified_Matrix!$1:$1,0)),"")</f>
        <v/>
      </c>
      <c r="O167" s="25">
        <f t="array" ref="O167">IFERROR(INDEX(Unified_Matrix!$A:$ZZ,ROW(A164),MATCH("Req_Other",Unified_Matrix!$1:$1,0)),"")</f>
        <v/>
      </c>
    </row>
    <row r="168" ht="68.25" customHeight="1">
      <c r="H168" s="13">
        <f t="array" ref="H168">IFERROR(INDEX(Unified_Matrix!$A:$ZZ,ROW(A165),MATCH("Max "&amp;$H$3,Unified_Matrix!$1:$1,0)),"")</f>
        <v/>
      </c>
      <c r="I168" s="25">
        <f t="array" ref="I168">IFERROR(INDEX(Unified_Matrix!$A:$ZZ,ROW(A165),MATCH("Evolution_Name",Unified_Matrix!$1:$1,0)),"")</f>
        <v/>
      </c>
      <c r="J168" s="13">
        <f>IF(H168="","",IF(H168=0,"",IF(H168=$Z$32,1,IF(H168=$Z$33,2,IF(H168=$Z$34,3,"")))))</f>
        <v/>
      </c>
      <c r="K168" s="13">
        <f t="array" ref="K168">IFERROR(INDEX(Unified_Matrix!$A:$ZZ,ROW(A165),MATCH("+ OVR",Unified_Matrix!$1:$1,0)),"")</f>
        <v/>
      </c>
      <c r="L168" s="13">
        <f t="array" ref="L168">IFERROR(INDEX(Unified_Matrix!$A:$ZZ,ROW(A165),MATCH("Max OVR",Unified_Matrix!$1:$1,0)),"")</f>
        <v/>
      </c>
      <c r="M168" s="13">
        <f t="array" ref="M168">IFERROR(INDEX(Unified_Matrix!$A:$ZZ,ROW(A165),MATCH("Req_Position",Unified_Matrix!$1:$1,0)),"")</f>
        <v/>
      </c>
      <c r="N168" s="13">
        <f t="array" ref="N168">IFERROR(INDEX(Unified_Matrix!$A:$ZZ,ROW(A165),MATCH("Req_OVR_Max",Unified_Matrix!$1:$1,0)),"")</f>
        <v/>
      </c>
      <c r="O168" s="25">
        <f t="array" ref="O168">IFERROR(INDEX(Unified_Matrix!$A:$ZZ,ROW(A165),MATCH("Req_Other",Unified_Matrix!$1:$1,0)),"")</f>
        <v/>
      </c>
    </row>
    <row r="169" ht="68.25" customHeight="1">
      <c r="H169" s="13">
        <f t="array" ref="H169">IFERROR(INDEX(Unified_Matrix!$A:$ZZ,ROW(A166),MATCH("Max "&amp;$H$3,Unified_Matrix!$1:$1,0)),"")</f>
        <v/>
      </c>
      <c r="I169" s="25">
        <f t="array" ref="I169">IFERROR(INDEX(Unified_Matrix!$A:$ZZ,ROW(A166),MATCH("Evolution_Name",Unified_Matrix!$1:$1,0)),"")</f>
        <v/>
      </c>
      <c r="J169" s="13">
        <f>IF(H169="","",IF(H169=0,"",IF(H169=$Z$32,1,IF(H169=$Z$33,2,IF(H169=$Z$34,3,"")))))</f>
        <v/>
      </c>
      <c r="K169" s="13">
        <f t="array" ref="K169">IFERROR(INDEX(Unified_Matrix!$A:$ZZ,ROW(A166),MATCH("+ OVR",Unified_Matrix!$1:$1,0)),"")</f>
        <v/>
      </c>
      <c r="L169" s="13">
        <f t="array" ref="L169">IFERROR(INDEX(Unified_Matrix!$A:$ZZ,ROW(A166),MATCH("Max OVR",Unified_Matrix!$1:$1,0)),"")</f>
        <v/>
      </c>
      <c r="M169" s="13">
        <f t="array" ref="M169">IFERROR(INDEX(Unified_Matrix!$A:$ZZ,ROW(A166),MATCH("Req_Position",Unified_Matrix!$1:$1,0)),"")</f>
        <v/>
      </c>
      <c r="N169" s="13">
        <f t="array" ref="N169">IFERROR(INDEX(Unified_Matrix!$A:$ZZ,ROW(A166),MATCH("Req_OVR_Max",Unified_Matrix!$1:$1,0)),"")</f>
        <v/>
      </c>
      <c r="O169" s="25">
        <f t="array" ref="O169">IFERROR(INDEX(Unified_Matrix!$A:$ZZ,ROW(A166),MATCH("Req_Other",Unified_Matrix!$1:$1,0)),"")</f>
        <v/>
      </c>
    </row>
    <row r="170" ht="68.25" customHeight="1">
      <c r="H170" s="13">
        <f t="array" ref="H170">IFERROR(INDEX(Unified_Matrix!$A:$ZZ,ROW(A167),MATCH("Max "&amp;$H$3,Unified_Matrix!$1:$1,0)),"")</f>
        <v/>
      </c>
      <c r="I170" s="25">
        <f t="array" ref="I170">IFERROR(INDEX(Unified_Matrix!$A:$ZZ,ROW(A167),MATCH("Evolution_Name",Unified_Matrix!$1:$1,0)),"")</f>
        <v/>
      </c>
      <c r="J170" s="13">
        <f>IF(H170="","",IF(H170=0,"",IF(H170=$Z$32,1,IF(H170=$Z$33,2,IF(H170=$Z$34,3,"")))))</f>
        <v/>
      </c>
      <c r="K170" s="13">
        <f t="array" ref="K170">IFERROR(INDEX(Unified_Matrix!$A:$ZZ,ROW(A167),MATCH("+ OVR",Unified_Matrix!$1:$1,0)),"")</f>
        <v/>
      </c>
      <c r="L170" s="13">
        <f t="array" ref="L170">IFERROR(INDEX(Unified_Matrix!$A:$ZZ,ROW(A167),MATCH("Max OVR",Unified_Matrix!$1:$1,0)),"")</f>
        <v/>
      </c>
      <c r="M170" s="13">
        <f t="array" ref="M170">IFERROR(INDEX(Unified_Matrix!$A:$ZZ,ROW(A167),MATCH("Req_Position",Unified_Matrix!$1:$1,0)),"")</f>
        <v/>
      </c>
      <c r="N170" s="13">
        <f t="array" ref="N170">IFERROR(INDEX(Unified_Matrix!$A:$ZZ,ROW(A167),MATCH("Req_OVR_Max",Unified_Matrix!$1:$1,0)),"")</f>
        <v/>
      </c>
      <c r="O170" s="25">
        <f t="array" ref="O170">IFERROR(INDEX(Unified_Matrix!$A:$ZZ,ROW(A167),MATCH("Req_Other",Unified_Matrix!$1:$1,0)),"")</f>
        <v/>
      </c>
    </row>
    <row r="171" ht="68.25" customHeight="1">
      <c r="H171" s="13">
        <f t="array" ref="H171">IFERROR(INDEX(Unified_Matrix!$A:$ZZ,ROW(A168),MATCH("Max "&amp;$H$3,Unified_Matrix!$1:$1,0)),"")</f>
        <v/>
      </c>
      <c r="I171" s="25">
        <f t="array" ref="I171">IFERROR(INDEX(Unified_Matrix!$A:$ZZ,ROW(A168),MATCH("Evolution_Name",Unified_Matrix!$1:$1,0)),"")</f>
        <v/>
      </c>
      <c r="J171" s="13">
        <f>IF(H171="","",IF(H171=0,"",IF(H171=$Z$32,1,IF(H171=$Z$33,2,IF(H171=$Z$34,3,"")))))</f>
        <v/>
      </c>
      <c r="K171" s="13">
        <f t="array" ref="K171">IFERROR(INDEX(Unified_Matrix!$A:$ZZ,ROW(A168),MATCH("+ OVR",Unified_Matrix!$1:$1,0)),"")</f>
        <v/>
      </c>
      <c r="L171" s="13">
        <f t="array" ref="L171">IFERROR(INDEX(Unified_Matrix!$A:$ZZ,ROW(A168),MATCH("Max OVR",Unified_Matrix!$1:$1,0)),"")</f>
        <v/>
      </c>
      <c r="M171" s="13">
        <f t="array" ref="M171">IFERROR(INDEX(Unified_Matrix!$A:$ZZ,ROW(A168),MATCH("Req_Position",Unified_Matrix!$1:$1,0)),"")</f>
        <v/>
      </c>
      <c r="N171" s="13">
        <f t="array" ref="N171">IFERROR(INDEX(Unified_Matrix!$A:$ZZ,ROW(A168),MATCH("Req_OVR_Max",Unified_Matrix!$1:$1,0)),"")</f>
        <v/>
      </c>
      <c r="O171" s="25">
        <f t="array" ref="O171">IFERROR(INDEX(Unified_Matrix!$A:$ZZ,ROW(A168),MATCH("Req_Other",Unified_Matrix!$1:$1,0)),"")</f>
        <v/>
      </c>
    </row>
    <row r="172" ht="68.25" customHeight="1">
      <c r="H172" s="13">
        <f t="array" ref="H172">IFERROR(INDEX(Unified_Matrix!$A:$ZZ,ROW(A169),MATCH("Max "&amp;$H$3,Unified_Matrix!$1:$1,0)),"")</f>
        <v/>
      </c>
      <c r="I172" s="25">
        <f t="array" ref="I172">IFERROR(INDEX(Unified_Matrix!$A:$ZZ,ROW(A169),MATCH("Evolution_Name",Unified_Matrix!$1:$1,0)),"")</f>
        <v/>
      </c>
      <c r="J172" s="13">
        <f>IF(H172="","",IF(H172=0,"",IF(H172=$Z$32,1,IF(H172=$Z$33,2,IF(H172=$Z$34,3,"")))))</f>
        <v/>
      </c>
      <c r="K172" s="13">
        <f t="array" ref="K172">IFERROR(INDEX(Unified_Matrix!$A:$ZZ,ROW(A169),MATCH("+ OVR",Unified_Matrix!$1:$1,0)),"")</f>
        <v/>
      </c>
      <c r="L172" s="13">
        <f t="array" ref="L172">IFERROR(INDEX(Unified_Matrix!$A:$ZZ,ROW(A169),MATCH("Max OVR",Unified_Matrix!$1:$1,0)),"")</f>
        <v/>
      </c>
      <c r="M172" s="13">
        <f t="array" ref="M172">IFERROR(INDEX(Unified_Matrix!$A:$ZZ,ROW(A169),MATCH("Req_Position",Unified_Matrix!$1:$1,0)),"")</f>
        <v/>
      </c>
      <c r="N172" s="13">
        <f t="array" ref="N172">IFERROR(INDEX(Unified_Matrix!$A:$ZZ,ROW(A169),MATCH("Req_OVR_Max",Unified_Matrix!$1:$1,0)),"")</f>
        <v/>
      </c>
      <c r="O172" s="25">
        <f t="array" ref="O172">IFERROR(INDEX(Unified_Matrix!$A:$ZZ,ROW(A169),MATCH("Req_Other",Unified_Matrix!$1:$1,0)),"")</f>
        <v/>
      </c>
    </row>
    <row r="173" ht="68.25" customHeight="1">
      <c r="H173" s="13">
        <f t="array" ref="H173">IFERROR(INDEX(Unified_Matrix!$A:$ZZ,ROW(A170),MATCH("Max "&amp;$H$3,Unified_Matrix!$1:$1,0)),"")</f>
        <v/>
      </c>
      <c r="I173" s="25">
        <f t="array" ref="I173">IFERROR(INDEX(Unified_Matrix!$A:$ZZ,ROW(A170),MATCH("Evolution_Name",Unified_Matrix!$1:$1,0)),"")</f>
        <v/>
      </c>
      <c r="J173" s="13">
        <f>IF(H173="","",IF(H173=0,"",IF(H173=$Z$32,1,IF(H173=$Z$33,2,IF(H173=$Z$34,3,"")))))</f>
        <v/>
      </c>
      <c r="K173" s="13">
        <f t="array" ref="K173">IFERROR(INDEX(Unified_Matrix!$A:$ZZ,ROW(A170),MATCH("+ OVR",Unified_Matrix!$1:$1,0)),"")</f>
        <v/>
      </c>
      <c r="L173" s="13">
        <f t="array" ref="L173">IFERROR(INDEX(Unified_Matrix!$A:$ZZ,ROW(A170),MATCH("Max OVR",Unified_Matrix!$1:$1,0)),"")</f>
        <v/>
      </c>
      <c r="M173" s="13">
        <f t="array" ref="M173">IFERROR(INDEX(Unified_Matrix!$A:$ZZ,ROW(A170),MATCH("Req_Position",Unified_Matrix!$1:$1,0)),"")</f>
        <v/>
      </c>
      <c r="N173" s="13">
        <f t="array" ref="N173">IFERROR(INDEX(Unified_Matrix!$A:$ZZ,ROW(A170),MATCH("Req_OVR_Max",Unified_Matrix!$1:$1,0)),"")</f>
        <v/>
      </c>
      <c r="O173" s="25">
        <f t="array" ref="O173">IFERROR(INDEX(Unified_Matrix!$A:$ZZ,ROW(A170),MATCH("Req_Other",Unified_Matrix!$1:$1,0)),"")</f>
        <v/>
      </c>
    </row>
    <row r="174" ht="68.25" customHeight="1">
      <c r="H174" s="13">
        <f t="array" ref="H174">IFERROR(INDEX(Unified_Matrix!$A:$ZZ,ROW(A171),MATCH("Max "&amp;$H$3,Unified_Matrix!$1:$1,0)),"")</f>
        <v/>
      </c>
      <c r="I174" s="25">
        <f t="array" ref="I174">IFERROR(INDEX(Unified_Matrix!$A:$ZZ,ROW(A171),MATCH("Evolution_Name",Unified_Matrix!$1:$1,0)),"")</f>
        <v/>
      </c>
      <c r="J174" s="13">
        <f>IF(H174="","",IF(H174=0,"",IF(H174=$Z$32,1,IF(H174=$Z$33,2,IF(H174=$Z$34,3,"")))))</f>
        <v/>
      </c>
      <c r="K174" s="13">
        <f t="array" ref="K174">IFERROR(INDEX(Unified_Matrix!$A:$ZZ,ROW(A171),MATCH("+ OVR",Unified_Matrix!$1:$1,0)),"")</f>
        <v/>
      </c>
      <c r="L174" s="13">
        <f t="array" ref="L174">IFERROR(INDEX(Unified_Matrix!$A:$ZZ,ROW(A171),MATCH("Max OVR",Unified_Matrix!$1:$1,0)),"")</f>
        <v/>
      </c>
      <c r="M174" s="13">
        <f t="array" ref="M174">IFERROR(INDEX(Unified_Matrix!$A:$ZZ,ROW(A171),MATCH("Req_Position",Unified_Matrix!$1:$1,0)),"")</f>
        <v/>
      </c>
      <c r="N174" s="13">
        <f t="array" ref="N174">IFERROR(INDEX(Unified_Matrix!$A:$ZZ,ROW(A171),MATCH("Req_OVR_Max",Unified_Matrix!$1:$1,0)),"")</f>
        <v/>
      </c>
      <c r="O174" s="25">
        <f t="array" ref="O174">IFERROR(INDEX(Unified_Matrix!$A:$ZZ,ROW(A171),MATCH("Req_Other",Unified_Matrix!$1:$1,0)),"")</f>
        <v/>
      </c>
    </row>
    <row r="175" ht="68.25" customHeight="1">
      <c r="H175" s="13">
        <f t="array" ref="H175">IFERROR(INDEX(Unified_Matrix!$A:$ZZ,ROW(A172),MATCH("Max "&amp;$H$3,Unified_Matrix!$1:$1,0)),"")</f>
        <v/>
      </c>
      <c r="I175" s="25">
        <f t="array" ref="I175">IFERROR(INDEX(Unified_Matrix!$A:$ZZ,ROW(A172),MATCH("Evolution_Name",Unified_Matrix!$1:$1,0)),"")</f>
        <v/>
      </c>
      <c r="J175" s="13">
        <f>IF(H175="","",IF(H175=0,"",IF(H175=$Z$32,1,IF(H175=$Z$33,2,IF(H175=$Z$34,3,"")))))</f>
        <v/>
      </c>
      <c r="K175" s="13">
        <f t="array" ref="K175">IFERROR(INDEX(Unified_Matrix!$A:$ZZ,ROW(A172),MATCH("+ OVR",Unified_Matrix!$1:$1,0)),"")</f>
        <v/>
      </c>
      <c r="L175" s="13">
        <f t="array" ref="L175">IFERROR(INDEX(Unified_Matrix!$A:$ZZ,ROW(A172),MATCH("Max OVR",Unified_Matrix!$1:$1,0)),"")</f>
        <v/>
      </c>
      <c r="M175" s="13">
        <f t="array" ref="M175">IFERROR(INDEX(Unified_Matrix!$A:$ZZ,ROW(A172),MATCH("Req_Position",Unified_Matrix!$1:$1,0)),"")</f>
        <v/>
      </c>
      <c r="N175" s="13">
        <f t="array" ref="N175">IFERROR(INDEX(Unified_Matrix!$A:$ZZ,ROW(A172),MATCH("Req_OVR_Max",Unified_Matrix!$1:$1,0)),"")</f>
        <v/>
      </c>
      <c r="O175" s="25">
        <f t="array" ref="O175">IFERROR(INDEX(Unified_Matrix!$A:$ZZ,ROW(A172),MATCH("Req_Other",Unified_Matrix!$1:$1,0)),"")</f>
        <v/>
      </c>
    </row>
    <row r="176" ht="68.25" customHeight="1">
      <c r="H176" s="13">
        <f t="array" ref="H176">IFERROR(INDEX(Unified_Matrix!$A:$ZZ,ROW(A173),MATCH("Max "&amp;$H$3,Unified_Matrix!$1:$1,0)),"")</f>
        <v/>
      </c>
      <c r="I176" s="25">
        <f t="array" ref="I176">IFERROR(INDEX(Unified_Matrix!$A:$ZZ,ROW(A173),MATCH("Evolution_Name",Unified_Matrix!$1:$1,0)),"")</f>
        <v/>
      </c>
      <c r="J176" s="13">
        <f>IF(H176="","",IF(H176=0,"",IF(H176=$Z$32,1,IF(H176=$Z$33,2,IF(H176=$Z$34,3,"")))))</f>
        <v/>
      </c>
      <c r="K176" s="13">
        <f t="array" ref="K176">IFERROR(INDEX(Unified_Matrix!$A:$ZZ,ROW(A173),MATCH("+ OVR",Unified_Matrix!$1:$1,0)),"")</f>
        <v/>
      </c>
      <c r="L176" s="13">
        <f t="array" ref="L176">IFERROR(INDEX(Unified_Matrix!$A:$ZZ,ROW(A173),MATCH("Max OVR",Unified_Matrix!$1:$1,0)),"")</f>
        <v/>
      </c>
      <c r="M176" s="13">
        <f t="array" ref="M176">IFERROR(INDEX(Unified_Matrix!$A:$ZZ,ROW(A173),MATCH("Req_Position",Unified_Matrix!$1:$1,0)),"")</f>
        <v/>
      </c>
      <c r="N176" s="13">
        <f t="array" ref="N176">IFERROR(INDEX(Unified_Matrix!$A:$ZZ,ROW(A173),MATCH("Req_OVR_Max",Unified_Matrix!$1:$1,0)),"")</f>
        <v/>
      </c>
      <c r="O176" s="25">
        <f t="array" ref="O176">IFERROR(INDEX(Unified_Matrix!$A:$ZZ,ROW(A173),MATCH("Req_Other",Unified_Matrix!$1:$1,0)),"")</f>
        <v/>
      </c>
    </row>
    <row r="177" ht="68.25" customHeight="1">
      <c r="H177" s="13">
        <f t="array" ref="H177">IFERROR(INDEX(Unified_Matrix!$A:$ZZ,ROW(A174),MATCH("Max "&amp;$H$3,Unified_Matrix!$1:$1,0)),"")</f>
        <v/>
      </c>
      <c r="I177" s="25">
        <f t="array" ref="I177">IFERROR(INDEX(Unified_Matrix!$A:$ZZ,ROW(A174),MATCH("Evolution_Name",Unified_Matrix!$1:$1,0)),"")</f>
        <v/>
      </c>
      <c r="J177" s="13">
        <f>IF(H177="","",IF(H177=0,"",IF(H177=$Z$32,1,IF(H177=$Z$33,2,IF(H177=$Z$34,3,"")))))</f>
        <v/>
      </c>
      <c r="K177" s="13">
        <f t="array" ref="K177">IFERROR(INDEX(Unified_Matrix!$A:$ZZ,ROW(A174),MATCH("+ OVR",Unified_Matrix!$1:$1,0)),"")</f>
        <v/>
      </c>
      <c r="L177" s="13">
        <f t="array" ref="L177">IFERROR(INDEX(Unified_Matrix!$A:$ZZ,ROW(A174),MATCH("Max OVR",Unified_Matrix!$1:$1,0)),"")</f>
        <v/>
      </c>
      <c r="M177" s="13">
        <f t="array" ref="M177">IFERROR(INDEX(Unified_Matrix!$A:$ZZ,ROW(A174),MATCH("Req_Position",Unified_Matrix!$1:$1,0)),"")</f>
        <v/>
      </c>
      <c r="N177" s="13">
        <f t="array" ref="N177">IFERROR(INDEX(Unified_Matrix!$A:$ZZ,ROW(A174),MATCH("Req_OVR_Max",Unified_Matrix!$1:$1,0)),"")</f>
        <v/>
      </c>
      <c r="O177" s="25">
        <f t="array" ref="O177">IFERROR(INDEX(Unified_Matrix!$A:$ZZ,ROW(A174),MATCH("Req_Other",Unified_Matrix!$1:$1,0)),"")</f>
        <v/>
      </c>
    </row>
    <row r="178" ht="68.25" customHeight="1">
      <c r="H178" s="13">
        <f t="array" ref="H178">IFERROR(INDEX(Unified_Matrix!$A:$ZZ,ROW(A175),MATCH("Max "&amp;$H$3,Unified_Matrix!$1:$1,0)),"")</f>
        <v/>
      </c>
      <c r="I178" s="25">
        <f t="array" ref="I178">IFERROR(INDEX(Unified_Matrix!$A:$ZZ,ROW(A175),MATCH("Evolution_Name",Unified_Matrix!$1:$1,0)),"")</f>
        <v/>
      </c>
      <c r="J178" s="13">
        <f>IF(H178="","",IF(H178=0,"",IF(H178=$Z$32,1,IF(H178=$Z$33,2,IF(H178=$Z$34,3,"")))))</f>
        <v/>
      </c>
      <c r="K178" s="13">
        <f t="array" ref="K178">IFERROR(INDEX(Unified_Matrix!$A:$ZZ,ROW(A175),MATCH("+ OVR",Unified_Matrix!$1:$1,0)),"")</f>
        <v/>
      </c>
      <c r="L178" s="13">
        <f t="array" ref="L178">IFERROR(INDEX(Unified_Matrix!$A:$ZZ,ROW(A175),MATCH("Max OVR",Unified_Matrix!$1:$1,0)),"")</f>
        <v/>
      </c>
      <c r="M178" s="13">
        <f t="array" ref="M178">IFERROR(INDEX(Unified_Matrix!$A:$ZZ,ROW(A175),MATCH("Req_Position",Unified_Matrix!$1:$1,0)),"")</f>
        <v/>
      </c>
      <c r="N178" s="13">
        <f t="array" ref="N178">IFERROR(INDEX(Unified_Matrix!$A:$ZZ,ROW(A175),MATCH("Req_OVR_Max",Unified_Matrix!$1:$1,0)),"")</f>
        <v/>
      </c>
      <c r="O178" s="25">
        <f t="array" ref="O178">IFERROR(INDEX(Unified_Matrix!$A:$ZZ,ROW(A175),MATCH("Req_Other",Unified_Matrix!$1:$1,0)),"")</f>
        <v/>
      </c>
    </row>
    <row r="179" ht="68.25" customHeight="1">
      <c r="H179" s="13">
        <f t="array" ref="H179">IFERROR(INDEX(Unified_Matrix!$A:$ZZ,ROW(A176),MATCH("Max "&amp;$H$3,Unified_Matrix!$1:$1,0)),"")</f>
        <v/>
      </c>
      <c r="I179" s="25">
        <f t="array" ref="I179">IFERROR(INDEX(Unified_Matrix!$A:$ZZ,ROW(A176),MATCH("Evolution_Name",Unified_Matrix!$1:$1,0)),"")</f>
        <v/>
      </c>
      <c r="J179" s="13">
        <f>IF(H179="","",IF(H179=0,"",IF(H179=$Z$32,1,IF(H179=$Z$33,2,IF(H179=$Z$34,3,"")))))</f>
        <v/>
      </c>
      <c r="K179" s="13">
        <f t="array" ref="K179">IFERROR(INDEX(Unified_Matrix!$A:$ZZ,ROW(A176),MATCH("+ OVR",Unified_Matrix!$1:$1,0)),"")</f>
        <v/>
      </c>
      <c r="L179" s="13">
        <f t="array" ref="L179">IFERROR(INDEX(Unified_Matrix!$A:$ZZ,ROW(A176),MATCH("Max OVR",Unified_Matrix!$1:$1,0)),"")</f>
        <v/>
      </c>
      <c r="M179" s="13">
        <f t="array" ref="M179">IFERROR(INDEX(Unified_Matrix!$A:$ZZ,ROW(A176),MATCH("Req_Position",Unified_Matrix!$1:$1,0)),"")</f>
        <v/>
      </c>
      <c r="N179" s="13">
        <f t="array" ref="N179">IFERROR(INDEX(Unified_Matrix!$A:$ZZ,ROW(A176),MATCH("Req_OVR_Max",Unified_Matrix!$1:$1,0)),"")</f>
        <v/>
      </c>
      <c r="O179" s="25">
        <f t="array" ref="O179">IFERROR(INDEX(Unified_Matrix!$A:$ZZ,ROW(A176),MATCH("Req_Other",Unified_Matrix!$1:$1,0)),"")</f>
        <v/>
      </c>
    </row>
    <row r="180" ht="68.25" customHeight="1">
      <c r="H180" s="13">
        <f t="array" ref="H180">IFERROR(INDEX(Unified_Matrix!$A:$ZZ,ROW(A177),MATCH("Max "&amp;$H$3,Unified_Matrix!$1:$1,0)),"")</f>
        <v/>
      </c>
      <c r="I180" s="25">
        <f t="array" ref="I180">IFERROR(INDEX(Unified_Matrix!$A:$ZZ,ROW(A177),MATCH("Evolution_Name",Unified_Matrix!$1:$1,0)),"")</f>
        <v/>
      </c>
      <c r="J180" s="13">
        <f>IF(H180="","",IF(H180=0,"",IF(H180=$Z$32,1,IF(H180=$Z$33,2,IF(H180=$Z$34,3,"")))))</f>
        <v/>
      </c>
      <c r="K180" s="13">
        <f t="array" ref="K180">IFERROR(INDEX(Unified_Matrix!$A:$ZZ,ROW(A177),MATCH("+ OVR",Unified_Matrix!$1:$1,0)),"")</f>
        <v/>
      </c>
      <c r="L180" s="13">
        <f t="array" ref="L180">IFERROR(INDEX(Unified_Matrix!$A:$ZZ,ROW(A177),MATCH("Max OVR",Unified_Matrix!$1:$1,0)),"")</f>
        <v/>
      </c>
      <c r="M180" s="13">
        <f t="array" ref="M180">IFERROR(INDEX(Unified_Matrix!$A:$ZZ,ROW(A177),MATCH("Req_Position",Unified_Matrix!$1:$1,0)),"")</f>
        <v/>
      </c>
      <c r="N180" s="13">
        <f t="array" ref="N180">IFERROR(INDEX(Unified_Matrix!$A:$ZZ,ROW(A177),MATCH("Req_OVR_Max",Unified_Matrix!$1:$1,0)),"")</f>
        <v/>
      </c>
      <c r="O180" s="25">
        <f t="array" ref="O180">IFERROR(INDEX(Unified_Matrix!$A:$ZZ,ROW(A177),MATCH("Req_Other",Unified_Matrix!$1:$1,0)),"")</f>
        <v/>
      </c>
    </row>
    <row r="181" ht="68.25" customHeight="1">
      <c r="H181" s="13">
        <f t="array" ref="H181">IFERROR(INDEX(Unified_Matrix!$A:$ZZ,ROW(A178),MATCH("Max "&amp;$H$3,Unified_Matrix!$1:$1,0)),"")</f>
        <v/>
      </c>
      <c r="I181" s="25">
        <f t="array" ref="I181">IFERROR(INDEX(Unified_Matrix!$A:$ZZ,ROW(A178),MATCH("Evolution_Name",Unified_Matrix!$1:$1,0)),"")</f>
        <v/>
      </c>
      <c r="J181" s="13">
        <f>IF(H181="","",IF(H181=0,"",IF(H181=$Z$32,1,IF(H181=$Z$33,2,IF(H181=$Z$34,3,"")))))</f>
        <v/>
      </c>
      <c r="K181" s="13">
        <f t="array" ref="K181">IFERROR(INDEX(Unified_Matrix!$A:$ZZ,ROW(A178),MATCH("+ OVR",Unified_Matrix!$1:$1,0)),"")</f>
        <v/>
      </c>
      <c r="L181" s="13">
        <f t="array" ref="L181">IFERROR(INDEX(Unified_Matrix!$A:$ZZ,ROW(A178),MATCH("Max OVR",Unified_Matrix!$1:$1,0)),"")</f>
        <v/>
      </c>
      <c r="M181" s="13">
        <f t="array" ref="M181">IFERROR(INDEX(Unified_Matrix!$A:$ZZ,ROW(A178),MATCH("Req_Position",Unified_Matrix!$1:$1,0)),"")</f>
        <v/>
      </c>
      <c r="N181" s="13">
        <f t="array" ref="N181">IFERROR(INDEX(Unified_Matrix!$A:$ZZ,ROW(A178),MATCH("Req_OVR_Max",Unified_Matrix!$1:$1,0)),"")</f>
        <v/>
      </c>
      <c r="O181" s="25">
        <f t="array" ref="O181">IFERROR(INDEX(Unified_Matrix!$A:$ZZ,ROW(A178),MATCH("Req_Other",Unified_Matrix!$1:$1,0)),"")</f>
        <v/>
      </c>
    </row>
    <row r="182" ht="68.25" customHeight="1">
      <c r="H182" s="13">
        <f t="array" ref="H182">IFERROR(INDEX(Unified_Matrix!$A:$ZZ,ROW(A179),MATCH("Max "&amp;$H$3,Unified_Matrix!$1:$1,0)),"")</f>
        <v/>
      </c>
      <c r="I182" s="25">
        <f t="array" ref="I182">IFERROR(INDEX(Unified_Matrix!$A:$ZZ,ROW(A179),MATCH("Evolution_Name",Unified_Matrix!$1:$1,0)),"")</f>
        <v/>
      </c>
      <c r="J182" s="13">
        <f>IF(H182="","",IF(H182=0,"",IF(H182=$Z$32,1,IF(H182=$Z$33,2,IF(H182=$Z$34,3,"")))))</f>
        <v/>
      </c>
      <c r="K182" s="13">
        <f t="array" ref="K182">IFERROR(INDEX(Unified_Matrix!$A:$ZZ,ROW(A179),MATCH("+ OVR",Unified_Matrix!$1:$1,0)),"")</f>
        <v/>
      </c>
      <c r="L182" s="13">
        <f t="array" ref="L182">IFERROR(INDEX(Unified_Matrix!$A:$ZZ,ROW(A179),MATCH("Max OVR",Unified_Matrix!$1:$1,0)),"")</f>
        <v/>
      </c>
      <c r="M182" s="13">
        <f t="array" ref="M182">IFERROR(INDEX(Unified_Matrix!$A:$ZZ,ROW(A179),MATCH("Req_Position",Unified_Matrix!$1:$1,0)),"")</f>
        <v/>
      </c>
      <c r="N182" s="13">
        <f t="array" ref="N182">IFERROR(INDEX(Unified_Matrix!$A:$ZZ,ROW(A179),MATCH("Req_OVR_Max",Unified_Matrix!$1:$1,0)),"")</f>
        <v/>
      </c>
      <c r="O182" s="25">
        <f t="array" ref="O182">IFERROR(INDEX(Unified_Matrix!$A:$ZZ,ROW(A179),MATCH("Req_Other",Unified_Matrix!$1:$1,0)),"")</f>
        <v/>
      </c>
    </row>
    <row r="183" ht="68.25" customHeight="1">
      <c r="H183" s="13">
        <f t="array" ref="H183">IFERROR(INDEX(Unified_Matrix!$A:$ZZ,ROW(A180),MATCH("Max "&amp;$H$3,Unified_Matrix!$1:$1,0)),"")</f>
        <v/>
      </c>
      <c r="I183" s="25">
        <f t="array" ref="I183">IFERROR(INDEX(Unified_Matrix!$A:$ZZ,ROW(A180),MATCH("Evolution_Name",Unified_Matrix!$1:$1,0)),"")</f>
        <v/>
      </c>
      <c r="J183" s="13">
        <f>IF(H183="","",IF(H183=0,"",IF(H183=$Z$32,1,IF(H183=$Z$33,2,IF(H183=$Z$34,3,"")))))</f>
        <v/>
      </c>
      <c r="K183" s="13">
        <f t="array" ref="K183">IFERROR(INDEX(Unified_Matrix!$A:$ZZ,ROW(A180),MATCH("+ OVR",Unified_Matrix!$1:$1,0)),"")</f>
        <v/>
      </c>
      <c r="L183" s="13">
        <f t="array" ref="L183">IFERROR(INDEX(Unified_Matrix!$A:$ZZ,ROW(A180),MATCH("Max OVR",Unified_Matrix!$1:$1,0)),"")</f>
        <v/>
      </c>
      <c r="M183" s="13">
        <f t="array" ref="M183">IFERROR(INDEX(Unified_Matrix!$A:$ZZ,ROW(A180),MATCH("Req_Position",Unified_Matrix!$1:$1,0)),"")</f>
        <v/>
      </c>
      <c r="N183" s="13">
        <f t="array" ref="N183">IFERROR(INDEX(Unified_Matrix!$A:$ZZ,ROW(A180),MATCH("Req_OVR_Max",Unified_Matrix!$1:$1,0)),"")</f>
        <v/>
      </c>
      <c r="O183" s="25">
        <f t="array" ref="O183">IFERROR(INDEX(Unified_Matrix!$A:$ZZ,ROW(A180),MATCH("Req_Other",Unified_Matrix!$1:$1,0)),"")</f>
        <v/>
      </c>
    </row>
    <row r="184" ht="68.25" customHeight="1">
      <c r="H184" s="13">
        <f t="array" ref="H184">IFERROR(INDEX(Unified_Matrix!$A:$ZZ,ROW(A181),MATCH("Max "&amp;$H$3,Unified_Matrix!$1:$1,0)),"")</f>
        <v/>
      </c>
      <c r="I184" s="25">
        <f t="array" ref="I184">IFERROR(INDEX(Unified_Matrix!$A:$ZZ,ROW(A181),MATCH("Evolution_Name",Unified_Matrix!$1:$1,0)),"")</f>
        <v/>
      </c>
      <c r="J184" s="13">
        <f>IF(H184="","",IF(H184=0,"",IF(H184=$Z$32,1,IF(H184=$Z$33,2,IF(H184=$Z$34,3,"")))))</f>
        <v/>
      </c>
      <c r="K184" s="13">
        <f t="array" ref="K184">IFERROR(INDEX(Unified_Matrix!$A:$ZZ,ROW(A181),MATCH("+ OVR",Unified_Matrix!$1:$1,0)),"")</f>
        <v/>
      </c>
      <c r="L184" s="13">
        <f t="array" ref="L184">IFERROR(INDEX(Unified_Matrix!$A:$ZZ,ROW(A181),MATCH("Max OVR",Unified_Matrix!$1:$1,0)),"")</f>
        <v/>
      </c>
      <c r="M184" s="13">
        <f t="array" ref="M184">IFERROR(INDEX(Unified_Matrix!$A:$ZZ,ROW(A181),MATCH("Req_Position",Unified_Matrix!$1:$1,0)),"")</f>
        <v/>
      </c>
      <c r="N184" s="13">
        <f t="array" ref="N184">IFERROR(INDEX(Unified_Matrix!$A:$ZZ,ROW(A181),MATCH("Req_OVR_Max",Unified_Matrix!$1:$1,0)),"")</f>
        <v/>
      </c>
      <c r="O184" s="25">
        <f t="array" ref="O184">IFERROR(INDEX(Unified_Matrix!$A:$ZZ,ROW(A181),MATCH("Req_Other",Unified_Matrix!$1:$1,0)),"")</f>
        <v/>
      </c>
    </row>
    <row r="185" ht="68.25" customHeight="1">
      <c r="H185" s="13">
        <f t="array" ref="H185">IFERROR(INDEX(Unified_Matrix!$A:$ZZ,ROW(A182),MATCH("Max "&amp;$H$3,Unified_Matrix!$1:$1,0)),"")</f>
        <v/>
      </c>
      <c r="I185" s="25">
        <f t="array" ref="I185">IFERROR(INDEX(Unified_Matrix!$A:$ZZ,ROW(A182),MATCH("Evolution_Name",Unified_Matrix!$1:$1,0)),"")</f>
        <v/>
      </c>
      <c r="J185" s="13">
        <f>IF(H185="","",IF(H185=0,"",IF(H185=$Z$32,1,IF(H185=$Z$33,2,IF(H185=$Z$34,3,"")))))</f>
        <v/>
      </c>
      <c r="K185" s="13">
        <f t="array" ref="K185">IFERROR(INDEX(Unified_Matrix!$A:$ZZ,ROW(A182),MATCH("+ OVR",Unified_Matrix!$1:$1,0)),"")</f>
        <v/>
      </c>
      <c r="L185" s="13">
        <f t="array" ref="L185">IFERROR(INDEX(Unified_Matrix!$A:$ZZ,ROW(A182),MATCH("Max OVR",Unified_Matrix!$1:$1,0)),"")</f>
        <v/>
      </c>
      <c r="M185" s="13">
        <f t="array" ref="M185">IFERROR(INDEX(Unified_Matrix!$A:$ZZ,ROW(A182),MATCH("Req_Position",Unified_Matrix!$1:$1,0)),"")</f>
        <v/>
      </c>
      <c r="N185" s="13">
        <f t="array" ref="N185">IFERROR(INDEX(Unified_Matrix!$A:$ZZ,ROW(A182),MATCH("Req_OVR_Max",Unified_Matrix!$1:$1,0)),"")</f>
        <v/>
      </c>
      <c r="O185" s="25">
        <f t="array" ref="O185">IFERROR(INDEX(Unified_Matrix!$A:$ZZ,ROW(A182),MATCH("Req_Other",Unified_Matrix!$1:$1,0)),"")</f>
        <v/>
      </c>
    </row>
    <row r="186" ht="68.25" customHeight="1">
      <c r="H186" s="13">
        <f t="array" ref="H186">IFERROR(INDEX(Unified_Matrix!$A:$ZZ,ROW(A183),MATCH("Max "&amp;$H$3,Unified_Matrix!$1:$1,0)),"")</f>
        <v/>
      </c>
      <c r="I186" s="25">
        <f t="array" ref="I186">IFERROR(INDEX(Unified_Matrix!$A:$ZZ,ROW(A183),MATCH("Evolution_Name",Unified_Matrix!$1:$1,0)),"")</f>
        <v/>
      </c>
      <c r="J186" s="13">
        <f>IF(H186="","",IF(H186=0,"",IF(H186=$Z$32,1,IF(H186=$Z$33,2,IF(H186=$Z$34,3,"")))))</f>
        <v/>
      </c>
      <c r="K186" s="13">
        <f t="array" ref="K186">IFERROR(INDEX(Unified_Matrix!$A:$ZZ,ROW(A183),MATCH("+ OVR",Unified_Matrix!$1:$1,0)),"")</f>
        <v/>
      </c>
      <c r="L186" s="13">
        <f t="array" ref="L186">IFERROR(INDEX(Unified_Matrix!$A:$ZZ,ROW(A183),MATCH("Max OVR",Unified_Matrix!$1:$1,0)),"")</f>
        <v/>
      </c>
      <c r="M186" s="13">
        <f t="array" ref="M186">IFERROR(INDEX(Unified_Matrix!$A:$ZZ,ROW(A183),MATCH("Req_Position",Unified_Matrix!$1:$1,0)),"")</f>
        <v/>
      </c>
      <c r="N186" s="13">
        <f t="array" ref="N186">IFERROR(INDEX(Unified_Matrix!$A:$ZZ,ROW(A183),MATCH("Req_OVR_Max",Unified_Matrix!$1:$1,0)),"")</f>
        <v/>
      </c>
      <c r="O186" s="25">
        <f t="array" ref="O186">IFERROR(INDEX(Unified_Matrix!$A:$ZZ,ROW(A183),MATCH("Req_Other",Unified_Matrix!$1:$1,0)),"")</f>
        <v/>
      </c>
    </row>
    <row r="187" ht="68.25" customHeight="1">
      <c r="H187" s="13">
        <f t="array" ref="H187">IFERROR(INDEX(Unified_Matrix!$A:$ZZ,ROW(A184),MATCH("Max "&amp;$H$3,Unified_Matrix!$1:$1,0)),"")</f>
        <v/>
      </c>
      <c r="I187" s="25">
        <f t="array" ref="I187">IFERROR(INDEX(Unified_Matrix!$A:$ZZ,ROW(A184),MATCH("Evolution_Name",Unified_Matrix!$1:$1,0)),"")</f>
        <v/>
      </c>
      <c r="J187" s="13">
        <f>IF(H187="","",IF(H187=0,"",IF(H187=$Z$32,1,IF(H187=$Z$33,2,IF(H187=$Z$34,3,"")))))</f>
        <v/>
      </c>
      <c r="K187" s="13">
        <f t="array" ref="K187">IFERROR(INDEX(Unified_Matrix!$A:$ZZ,ROW(A184),MATCH("+ OVR",Unified_Matrix!$1:$1,0)),"")</f>
        <v/>
      </c>
      <c r="L187" s="13">
        <f t="array" ref="L187">IFERROR(INDEX(Unified_Matrix!$A:$ZZ,ROW(A184),MATCH("Max OVR",Unified_Matrix!$1:$1,0)),"")</f>
        <v/>
      </c>
      <c r="M187" s="13">
        <f t="array" ref="M187">IFERROR(INDEX(Unified_Matrix!$A:$ZZ,ROW(A184),MATCH("Req_Position",Unified_Matrix!$1:$1,0)),"")</f>
        <v/>
      </c>
      <c r="N187" s="13">
        <f t="array" ref="N187">IFERROR(INDEX(Unified_Matrix!$A:$ZZ,ROW(A184),MATCH("Req_OVR_Max",Unified_Matrix!$1:$1,0)),"")</f>
        <v/>
      </c>
      <c r="O187" s="25">
        <f t="array" ref="O187">IFERROR(INDEX(Unified_Matrix!$A:$ZZ,ROW(A184),MATCH("Req_Other",Unified_Matrix!$1:$1,0)),"")</f>
        <v/>
      </c>
    </row>
    <row r="188" ht="68.25" customHeight="1">
      <c r="H188" s="13">
        <f t="array" ref="H188">IFERROR(INDEX(Unified_Matrix!$A:$ZZ,ROW(A185),MATCH("Max "&amp;$H$3,Unified_Matrix!$1:$1,0)),"")</f>
        <v/>
      </c>
      <c r="I188" s="25">
        <f t="array" ref="I188">IFERROR(INDEX(Unified_Matrix!$A:$ZZ,ROW(A185),MATCH("Evolution_Name",Unified_Matrix!$1:$1,0)),"")</f>
        <v/>
      </c>
      <c r="J188" s="13">
        <f>IF(H188="","",IF(H188=0,"",IF(H188=$Z$32,1,IF(H188=$Z$33,2,IF(H188=$Z$34,3,"")))))</f>
        <v/>
      </c>
      <c r="K188" s="13">
        <f t="array" ref="K188">IFERROR(INDEX(Unified_Matrix!$A:$ZZ,ROW(A185),MATCH("+ OVR",Unified_Matrix!$1:$1,0)),"")</f>
        <v/>
      </c>
      <c r="L188" s="13">
        <f t="array" ref="L188">IFERROR(INDEX(Unified_Matrix!$A:$ZZ,ROW(A185),MATCH("Max OVR",Unified_Matrix!$1:$1,0)),"")</f>
        <v/>
      </c>
      <c r="M188" s="13">
        <f t="array" ref="M188">IFERROR(INDEX(Unified_Matrix!$A:$ZZ,ROW(A185),MATCH("Req_Position",Unified_Matrix!$1:$1,0)),"")</f>
        <v/>
      </c>
      <c r="N188" s="13">
        <f t="array" ref="N188">IFERROR(INDEX(Unified_Matrix!$A:$ZZ,ROW(A185),MATCH("Req_OVR_Max",Unified_Matrix!$1:$1,0)),"")</f>
        <v/>
      </c>
      <c r="O188" s="25">
        <f t="array" ref="O188">IFERROR(INDEX(Unified_Matrix!$A:$ZZ,ROW(A185),MATCH("Req_Other",Unified_Matrix!$1:$1,0)),"")</f>
        <v/>
      </c>
    </row>
    <row r="189" ht="68.25" customHeight="1">
      <c r="H189" s="13">
        <f t="array" ref="H189">IFERROR(INDEX(Unified_Matrix!$A:$ZZ,ROW(A186),MATCH("Max "&amp;$H$3,Unified_Matrix!$1:$1,0)),"")</f>
        <v/>
      </c>
      <c r="I189" s="25">
        <f t="array" ref="I189">IFERROR(INDEX(Unified_Matrix!$A:$ZZ,ROW(A186),MATCH("Evolution_Name",Unified_Matrix!$1:$1,0)),"")</f>
        <v/>
      </c>
      <c r="J189" s="13">
        <f>IF(H189="","",IF(H189=0,"",IF(H189=$Z$32,1,IF(H189=$Z$33,2,IF(H189=$Z$34,3,"")))))</f>
        <v/>
      </c>
      <c r="K189" s="13">
        <f t="array" ref="K189">IFERROR(INDEX(Unified_Matrix!$A:$ZZ,ROW(A186),MATCH("+ OVR",Unified_Matrix!$1:$1,0)),"")</f>
        <v/>
      </c>
      <c r="L189" s="13">
        <f t="array" ref="L189">IFERROR(INDEX(Unified_Matrix!$A:$ZZ,ROW(A186),MATCH("Max OVR",Unified_Matrix!$1:$1,0)),"")</f>
        <v/>
      </c>
      <c r="M189" s="13">
        <f t="array" ref="M189">IFERROR(INDEX(Unified_Matrix!$A:$ZZ,ROW(A186),MATCH("Req_Position",Unified_Matrix!$1:$1,0)),"")</f>
        <v/>
      </c>
      <c r="N189" s="13">
        <f t="array" ref="N189">IFERROR(INDEX(Unified_Matrix!$A:$ZZ,ROW(A186),MATCH("Req_OVR_Max",Unified_Matrix!$1:$1,0)),"")</f>
        <v/>
      </c>
      <c r="O189" s="25">
        <f t="array" ref="O189">IFERROR(INDEX(Unified_Matrix!$A:$ZZ,ROW(A186),MATCH("Req_Other",Unified_Matrix!$1:$1,0)),"")</f>
        <v/>
      </c>
    </row>
    <row r="190" ht="68.25" customHeight="1">
      <c r="H190" s="13">
        <f t="array" ref="H190">IFERROR(INDEX(Unified_Matrix!$A:$ZZ,ROW(A187),MATCH("Max "&amp;$H$3,Unified_Matrix!$1:$1,0)),"")</f>
        <v/>
      </c>
      <c r="I190" s="25">
        <f t="array" ref="I190">IFERROR(INDEX(Unified_Matrix!$A:$ZZ,ROW(A187),MATCH("Evolution_Name",Unified_Matrix!$1:$1,0)),"")</f>
        <v/>
      </c>
      <c r="J190" s="13">
        <f>IF(H190="","",IF(H190=0,"",IF(H190=$Z$32,1,IF(H190=$Z$33,2,IF(H190=$Z$34,3,"")))))</f>
        <v/>
      </c>
      <c r="K190" s="13">
        <f t="array" ref="K190">IFERROR(INDEX(Unified_Matrix!$A:$ZZ,ROW(A187),MATCH("+ OVR",Unified_Matrix!$1:$1,0)),"")</f>
        <v/>
      </c>
      <c r="L190" s="13">
        <f t="array" ref="L190">IFERROR(INDEX(Unified_Matrix!$A:$ZZ,ROW(A187),MATCH("Max OVR",Unified_Matrix!$1:$1,0)),"")</f>
        <v/>
      </c>
      <c r="M190" s="13">
        <f t="array" ref="M190">IFERROR(INDEX(Unified_Matrix!$A:$ZZ,ROW(A187),MATCH("Req_Position",Unified_Matrix!$1:$1,0)),"")</f>
        <v/>
      </c>
      <c r="N190" s="13">
        <f t="array" ref="N190">IFERROR(INDEX(Unified_Matrix!$A:$ZZ,ROW(A187),MATCH("Req_OVR_Max",Unified_Matrix!$1:$1,0)),"")</f>
        <v/>
      </c>
      <c r="O190" s="25">
        <f t="array" ref="O190">IFERROR(INDEX(Unified_Matrix!$A:$ZZ,ROW(A187),MATCH("Req_Other",Unified_Matrix!$1:$1,0)),"")</f>
        <v/>
      </c>
    </row>
    <row r="191" ht="68.25" customHeight="1">
      <c r="H191" s="13">
        <f t="array" ref="H191">IFERROR(INDEX(Unified_Matrix!$A:$ZZ,ROW(A188),MATCH("Max "&amp;$H$3,Unified_Matrix!$1:$1,0)),"")</f>
        <v/>
      </c>
      <c r="I191" s="25">
        <f t="array" ref="I191">IFERROR(INDEX(Unified_Matrix!$A:$ZZ,ROW(A188),MATCH("Evolution_Name",Unified_Matrix!$1:$1,0)),"")</f>
        <v/>
      </c>
      <c r="J191" s="13">
        <f>IF(H191="","",IF(H191=0,"",IF(H191=$Z$32,1,IF(H191=$Z$33,2,IF(H191=$Z$34,3,"")))))</f>
        <v/>
      </c>
      <c r="K191" s="13">
        <f t="array" ref="K191">IFERROR(INDEX(Unified_Matrix!$A:$ZZ,ROW(A188),MATCH("+ OVR",Unified_Matrix!$1:$1,0)),"")</f>
        <v/>
      </c>
      <c r="L191" s="13">
        <f t="array" ref="L191">IFERROR(INDEX(Unified_Matrix!$A:$ZZ,ROW(A188),MATCH("Max OVR",Unified_Matrix!$1:$1,0)),"")</f>
        <v/>
      </c>
      <c r="M191" s="13">
        <f t="array" ref="M191">IFERROR(INDEX(Unified_Matrix!$A:$ZZ,ROW(A188),MATCH("Req_Position",Unified_Matrix!$1:$1,0)),"")</f>
        <v/>
      </c>
      <c r="N191" s="13">
        <f t="array" ref="N191">IFERROR(INDEX(Unified_Matrix!$A:$ZZ,ROW(A188),MATCH("Req_OVR_Max",Unified_Matrix!$1:$1,0)),"")</f>
        <v/>
      </c>
      <c r="O191" s="25">
        <f t="array" ref="O191">IFERROR(INDEX(Unified_Matrix!$A:$ZZ,ROW(A188),MATCH("Req_Other",Unified_Matrix!$1:$1,0)),"")</f>
        <v/>
      </c>
    </row>
    <row r="192" ht="68.25" customHeight="1">
      <c r="H192" s="13">
        <f t="array" ref="H192">IFERROR(INDEX(Unified_Matrix!$A:$ZZ,ROW(A189),MATCH("Max "&amp;$H$3,Unified_Matrix!$1:$1,0)),"")</f>
        <v/>
      </c>
      <c r="I192" s="25">
        <f t="array" ref="I192">IFERROR(INDEX(Unified_Matrix!$A:$ZZ,ROW(A189),MATCH("Evolution_Name",Unified_Matrix!$1:$1,0)),"")</f>
        <v/>
      </c>
      <c r="J192" s="13">
        <f>IF(H192="","",IF(H192=0,"",IF(H192=$Z$32,1,IF(H192=$Z$33,2,IF(H192=$Z$34,3,"")))))</f>
        <v/>
      </c>
      <c r="K192" s="13">
        <f t="array" ref="K192">IFERROR(INDEX(Unified_Matrix!$A:$ZZ,ROW(A189),MATCH("+ OVR",Unified_Matrix!$1:$1,0)),"")</f>
        <v/>
      </c>
      <c r="L192" s="13">
        <f t="array" ref="L192">IFERROR(INDEX(Unified_Matrix!$A:$ZZ,ROW(A189),MATCH("Max OVR",Unified_Matrix!$1:$1,0)),"")</f>
        <v/>
      </c>
      <c r="M192" s="13">
        <f t="array" ref="M192">IFERROR(INDEX(Unified_Matrix!$A:$ZZ,ROW(A189),MATCH("Req_Position",Unified_Matrix!$1:$1,0)),"")</f>
        <v/>
      </c>
      <c r="N192" s="13">
        <f t="array" ref="N192">IFERROR(INDEX(Unified_Matrix!$A:$ZZ,ROW(A189),MATCH("Req_OVR_Max",Unified_Matrix!$1:$1,0)),"")</f>
        <v/>
      </c>
      <c r="O192" s="25">
        <f t="array" ref="O192">IFERROR(INDEX(Unified_Matrix!$A:$ZZ,ROW(A189),MATCH("Req_Other",Unified_Matrix!$1:$1,0)),"")</f>
        <v/>
      </c>
    </row>
    <row r="193" ht="68.25" customHeight="1">
      <c r="H193" s="13">
        <f t="array" ref="H193">IFERROR(INDEX(Unified_Matrix!$A:$ZZ,ROW(A190),MATCH("Max "&amp;$H$3,Unified_Matrix!$1:$1,0)),"")</f>
        <v/>
      </c>
      <c r="I193" s="25">
        <f t="array" ref="I193">IFERROR(INDEX(Unified_Matrix!$A:$ZZ,ROW(A190),MATCH("Evolution_Name",Unified_Matrix!$1:$1,0)),"")</f>
        <v/>
      </c>
      <c r="J193" s="13">
        <f>IF(H193="","",IF(H193=0,"",IF(H193=$Z$32,1,IF(H193=$Z$33,2,IF(H193=$Z$34,3,"")))))</f>
        <v/>
      </c>
      <c r="K193" s="13">
        <f t="array" ref="K193">IFERROR(INDEX(Unified_Matrix!$A:$ZZ,ROW(A190),MATCH("+ OVR",Unified_Matrix!$1:$1,0)),"")</f>
        <v/>
      </c>
      <c r="L193" s="13">
        <f t="array" ref="L193">IFERROR(INDEX(Unified_Matrix!$A:$ZZ,ROW(A190),MATCH("Max OVR",Unified_Matrix!$1:$1,0)),"")</f>
        <v/>
      </c>
      <c r="M193" s="13">
        <f t="array" ref="M193">IFERROR(INDEX(Unified_Matrix!$A:$ZZ,ROW(A190),MATCH("Req_Position",Unified_Matrix!$1:$1,0)),"")</f>
        <v/>
      </c>
      <c r="N193" s="13">
        <f t="array" ref="N193">IFERROR(INDEX(Unified_Matrix!$A:$ZZ,ROW(A190),MATCH("Req_OVR_Max",Unified_Matrix!$1:$1,0)),"")</f>
        <v/>
      </c>
      <c r="O193" s="25">
        <f t="array" ref="O193">IFERROR(INDEX(Unified_Matrix!$A:$ZZ,ROW(A190),MATCH("Req_Other",Unified_Matrix!$1:$1,0)),"")</f>
        <v/>
      </c>
    </row>
    <row r="194" ht="68.25" customHeight="1">
      <c r="H194" s="13">
        <f t="array" ref="H194">IFERROR(INDEX(Unified_Matrix!$A:$ZZ,ROW(A191),MATCH("Max "&amp;$H$3,Unified_Matrix!$1:$1,0)),"")</f>
        <v/>
      </c>
      <c r="I194" s="25">
        <f t="array" ref="I194">IFERROR(INDEX(Unified_Matrix!$A:$ZZ,ROW(A191),MATCH("Evolution_Name",Unified_Matrix!$1:$1,0)),"")</f>
        <v/>
      </c>
      <c r="J194" s="13">
        <f>IF(H194="","",IF(H194=0,"",IF(H194=$Z$32,1,IF(H194=$Z$33,2,IF(H194=$Z$34,3,"")))))</f>
        <v/>
      </c>
      <c r="K194" s="13">
        <f t="array" ref="K194">IFERROR(INDEX(Unified_Matrix!$A:$ZZ,ROW(A191),MATCH("+ OVR",Unified_Matrix!$1:$1,0)),"")</f>
        <v/>
      </c>
      <c r="L194" s="13">
        <f t="array" ref="L194">IFERROR(INDEX(Unified_Matrix!$A:$ZZ,ROW(A191),MATCH("Max OVR",Unified_Matrix!$1:$1,0)),"")</f>
        <v/>
      </c>
      <c r="M194" s="13">
        <f t="array" ref="M194">IFERROR(INDEX(Unified_Matrix!$A:$ZZ,ROW(A191),MATCH("Req_Position",Unified_Matrix!$1:$1,0)),"")</f>
        <v/>
      </c>
      <c r="N194" s="13">
        <f t="array" ref="N194">IFERROR(INDEX(Unified_Matrix!$A:$ZZ,ROW(A191),MATCH("Req_OVR_Max",Unified_Matrix!$1:$1,0)),"")</f>
        <v/>
      </c>
      <c r="O194" s="25">
        <f t="array" ref="O194">IFERROR(INDEX(Unified_Matrix!$A:$ZZ,ROW(A191),MATCH("Req_Other",Unified_Matrix!$1:$1,0)),"")</f>
        <v/>
      </c>
    </row>
    <row r="195" ht="68.25" customHeight="1">
      <c r="H195" s="13">
        <f t="array" ref="H195">IFERROR(INDEX(Unified_Matrix!$A:$ZZ,ROW(A192),MATCH("Max "&amp;$H$3,Unified_Matrix!$1:$1,0)),"")</f>
        <v/>
      </c>
      <c r="I195" s="25">
        <f t="array" ref="I195">IFERROR(INDEX(Unified_Matrix!$A:$ZZ,ROW(A192),MATCH("Evolution_Name",Unified_Matrix!$1:$1,0)),"")</f>
        <v/>
      </c>
      <c r="J195" s="13">
        <f>IF(H195="","",IF(H195=0,"",IF(H195=$Z$32,1,IF(H195=$Z$33,2,IF(H195=$Z$34,3,"")))))</f>
        <v/>
      </c>
      <c r="K195" s="13">
        <f t="array" ref="K195">IFERROR(INDEX(Unified_Matrix!$A:$ZZ,ROW(A192),MATCH("+ OVR",Unified_Matrix!$1:$1,0)),"")</f>
        <v/>
      </c>
      <c r="L195" s="13">
        <f t="array" ref="L195">IFERROR(INDEX(Unified_Matrix!$A:$ZZ,ROW(A192),MATCH("Max OVR",Unified_Matrix!$1:$1,0)),"")</f>
        <v/>
      </c>
      <c r="M195" s="13">
        <f t="array" ref="M195">IFERROR(INDEX(Unified_Matrix!$A:$ZZ,ROW(A192),MATCH("Req_Position",Unified_Matrix!$1:$1,0)),"")</f>
        <v/>
      </c>
      <c r="N195" s="13">
        <f t="array" ref="N195">IFERROR(INDEX(Unified_Matrix!$A:$ZZ,ROW(A192),MATCH("Req_OVR_Max",Unified_Matrix!$1:$1,0)),"")</f>
        <v/>
      </c>
      <c r="O195" s="25">
        <f t="array" ref="O195">IFERROR(INDEX(Unified_Matrix!$A:$ZZ,ROW(A192),MATCH("Req_Other",Unified_Matrix!$1:$1,0)),"")</f>
        <v/>
      </c>
    </row>
    <row r="196" ht="68.25" customHeight="1">
      <c r="H196" s="13">
        <f t="array" ref="H196">IFERROR(INDEX(Unified_Matrix!$A:$ZZ,ROW(A193),MATCH("Max "&amp;$H$3,Unified_Matrix!$1:$1,0)),"")</f>
        <v/>
      </c>
      <c r="I196" s="25">
        <f t="array" ref="I196">IFERROR(INDEX(Unified_Matrix!$A:$ZZ,ROW(A193),MATCH("Evolution_Name",Unified_Matrix!$1:$1,0)),"")</f>
        <v/>
      </c>
      <c r="J196" s="13">
        <f>IF(H196="","",IF(H196=0,"",IF(H196=$Z$32,1,IF(H196=$Z$33,2,IF(H196=$Z$34,3,"")))))</f>
        <v/>
      </c>
      <c r="K196" s="13">
        <f t="array" ref="K196">IFERROR(INDEX(Unified_Matrix!$A:$ZZ,ROW(A193),MATCH("+ OVR",Unified_Matrix!$1:$1,0)),"")</f>
        <v/>
      </c>
      <c r="L196" s="13">
        <f t="array" ref="L196">IFERROR(INDEX(Unified_Matrix!$A:$ZZ,ROW(A193),MATCH("Max OVR",Unified_Matrix!$1:$1,0)),"")</f>
        <v/>
      </c>
      <c r="M196" s="13">
        <f t="array" ref="M196">IFERROR(INDEX(Unified_Matrix!$A:$ZZ,ROW(A193),MATCH("Req_Position",Unified_Matrix!$1:$1,0)),"")</f>
        <v/>
      </c>
      <c r="N196" s="13">
        <f t="array" ref="N196">IFERROR(INDEX(Unified_Matrix!$A:$ZZ,ROW(A193),MATCH("Req_OVR_Max",Unified_Matrix!$1:$1,0)),"")</f>
        <v/>
      </c>
      <c r="O196" s="25">
        <f t="array" ref="O196">IFERROR(INDEX(Unified_Matrix!$A:$ZZ,ROW(A193),MATCH("Req_Other",Unified_Matrix!$1:$1,0)),"")</f>
        <v/>
      </c>
    </row>
    <row r="197" ht="68.25" customHeight="1">
      <c r="H197" s="13">
        <f t="array" ref="H197">IFERROR(INDEX(Unified_Matrix!$A:$ZZ,ROW(A194),MATCH("Max "&amp;$H$3,Unified_Matrix!$1:$1,0)),"")</f>
        <v/>
      </c>
      <c r="I197" s="25">
        <f t="array" ref="I197">IFERROR(INDEX(Unified_Matrix!$A:$ZZ,ROW(A194),MATCH("Evolution_Name",Unified_Matrix!$1:$1,0)),"")</f>
        <v/>
      </c>
      <c r="J197" s="13">
        <f>IF(H197="","",IF(H197=0,"",IF(H197=$Z$32,1,IF(H197=$Z$33,2,IF(H197=$Z$34,3,"")))))</f>
        <v/>
      </c>
      <c r="K197" s="13">
        <f t="array" ref="K197">IFERROR(INDEX(Unified_Matrix!$A:$ZZ,ROW(A194),MATCH("+ OVR",Unified_Matrix!$1:$1,0)),"")</f>
        <v/>
      </c>
      <c r="L197" s="13">
        <f t="array" ref="L197">IFERROR(INDEX(Unified_Matrix!$A:$ZZ,ROW(A194),MATCH("Max OVR",Unified_Matrix!$1:$1,0)),"")</f>
        <v/>
      </c>
      <c r="M197" s="13">
        <f t="array" ref="M197">IFERROR(INDEX(Unified_Matrix!$A:$ZZ,ROW(A194),MATCH("Req_Position",Unified_Matrix!$1:$1,0)),"")</f>
        <v/>
      </c>
      <c r="N197" s="13">
        <f t="array" ref="N197">IFERROR(INDEX(Unified_Matrix!$A:$ZZ,ROW(A194),MATCH("Req_OVR_Max",Unified_Matrix!$1:$1,0)),"")</f>
        <v/>
      </c>
      <c r="O197" s="25">
        <f t="array" ref="O197">IFERROR(INDEX(Unified_Matrix!$A:$ZZ,ROW(A194),MATCH("Req_Other",Unified_Matrix!$1:$1,0)),"")</f>
        <v/>
      </c>
    </row>
    <row r="198" ht="68.25" customHeight="1">
      <c r="H198" s="13">
        <f t="array" ref="H198">IFERROR(INDEX(Unified_Matrix!$A:$ZZ,ROW(A195),MATCH("Max "&amp;$H$3,Unified_Matrix!$1:$1,0)),"")</f>
        <v/>
      </c>
      <c r="I198" s="25">
        <f t="array" ref="I198">IFERROR(INDEX(Unified_Matrix!$A:$ZZ,ROW(A195),MATCH("Evolution_Name",Unified_Matrix!$1:$1,0)),"")</f>
        <v/>
      </c>
      <c r="J198" s="13">
        <f>IF(H198="","",IF(H198=0,"",IF(H198=$Z$32,1,IF(H198=$Z$33,2,IF(H198=$Z$34,3,"")))))</f>
        <v/>
      </c>
      <c r="K198" s="13">
        <f t="array" ref="K198">IFERROR(INDEX(Unified_Matrix!$A:$ZZ,ROW(A195),MATCH("+ OVR",Unified_Matrix!$1:$1,0)),"")</f>
        <v/>
      </c>
      <c r="L198" s="13">
        <f t="array" ref="L198">IFERROR(INDEX(Unified_Matrix!$A:$ZZ,ROW(A195),MATCH("Max OVR",Unified_Matrix!$1:$1,0)),"")</f>
        <v/>
      </c>
      <c r="M198" s="13">
        <f t="array" ref="M198">IFERROR(INDEX(Unified_Matrix!$A:$ZZ,ROW(A195),MATCH("Req_Position",Unified_Matrix!$1:$1,0)),"")</f>
        <v/>
      </c>
      <c r="N198" s="13">
        <f t="array" ref="N198">IFERROR(INDEX(Unified_Matrix!$A:$ZZ,ROW(A195),MATCH("Req_OVR_Max",Unified_Matrix!$1:$1,0)),"")</f>
        <v/>
      </c>
      <c r="O198" s="25">
        <f t="array" ref="O198">IFERROR(INDEX(Unified_Matrix!$A:$ZZ,ROW(A195),MATCH("Req_Other",Unified_Matrix!$1:$1,0)),"")</f>
        <v/>
      </c>
    </row>
    <row r="199" ht="68.25" customHeight="1">
      <c r="H199" s="13">
        <f t="array" ref="H199">IFERROR(INDEX(Unified_Matrix!$A:$ZZ,ROW(A196),MATCH("Max "&amp;$H$3,Unified_Matrix!$1:$1,0)),"")</f>
        <v/>
      </c>
      <c r="I199" s="25">
        <f t="array" ref="I199">IFERROR(INDEX(Unified_Matrix!$A:$ZZ,ROW(A196),MATCH("Evolution_Name",Unified_Matrix!$1:$1,0)),"")</f>
        <v/>
      </c>
      <c r="J199" s="13">
        <f>IF(H199="","",IF(H199=0,"",IF(H199=$Z$32,1,IF(H199=$Z$33,2,IF(H199=$Z$34,3,"")))))</f>
        <v/>
      </c>
      <c r="K199" s="13">
        <f t="array" ref="K199">IFERROR(INDEX(Unified_Matrix!$A:$ZZ,ROW(A196),MATCH("+ OVR",Unified_Matrix!$1:$1,0)),"")</f>
        <v/>
      </c>
      <c r="L199" s="13">
        <f t="array" ref="L199">IFERROR(INDEX(Unified_Matrix!$A:$ZZ,ROW(A196),MATCH("Max OVR",Unified_Matrix!$1:$1,0)),"")</f>
        <v/>
      </c>
      <c r="M199" s="13">
        <f t="array" ref="M199">IFERROR(INDEX(Unified_Matrix!$A:$ZZ,ROW(A196),MATCH("Req_Position",Unified_Matrix!$1:$1,0)),"")</f>
        <v/>
      </c>
      <c r="N199" s="13">
        <f t="array" ref="N199">IFERROR(INDEX(Unified_Matrix!$A:$ZZ,ROW(A196),MATCH("Req_OVR_Max",Unified_Matrix!$1:$1,0)),"")</f>
        <v/>
      </c>
      <c r="O199" s="25">
        <f t="array" ref="O199">IFERROR(INDEX(Unified_Matrix!$A:$ZZ,ROW(A196),MATCH("Req_Other",Unified_Matrix!$1:$1,0)),"")</f>
        <v/>
      </c>
    </row>
    <row r="200" ht="68.25" customHeight="1">
      <c r="H200" s="13">
        <f t="array" ref="H200">IFERROR(INDEX(Unified_Matrix!$A:$ZZ,ROW(A197),MATCH("Max "&amp;$H$3,Unified_Matrix!$1:$1,0)),"")</f>
        <v/>
      </c>
      <c r="I200" s="25">
        <f t="array" ref="I200">IFERROR(INDEX(Unified_Matrix!$A:$ZZ,ROW(A197),MATCH("Evolution_Name",Unified_Matrix!$1:$1,0)),"")</f>
        <v/>
      </c>
      <c r="J200" s="13">
        <f>IF(H200="","",IF(H200=0,"",IF(H200=$Z$32,1,IF(H200=$Z$33,2,IF(H200=$Z$34,3,"")))))</f>
        <v/>
      </c>
      <c r="K200" s="13">
        <f t="array" ref="K200">IFERROR(INDEX(Unified_Matrix!$A:$ZZ,ROW(A197),MATCH("+ OVR",Unified_Matrix!$1:$1,0)),"")</f>
        <v/>
      </c>
      <c r="L200" s="13">
        <f t="array" ref="L200">IFERROR(INDEX(Unified_Matrix!$A:$ZZ,ROW(A197),MATCH("Max OVR",Unified_Matrix!$1:$1,0)),"")</f>
        <v/>
      </c>
      <c r="M200" s="13">
        <f t="array" ref="M200">IFERROR(INDEX(Unified_Matrix!$A:$ZZ,ROW(A197),MATCH("Req_Position",Unified_Matrix!$1:$1,0)),"")</f>
        <v/>
      </c>
      <c r="N200" s="13">
        <f t="array" ref="N200">IFERROR(INDEX(Unified_Matrix!$A:$ZZ,ROW(A197),MATCH("Req_OVR_Max",Unified_Matrix!$1:$1,0)),"")</f>
        <v/>
      </c>
      <c r="O200" s="25">
        <f t="array" ref="O200">IFERROR(INDEX(Unified_Matrix!$A:$ZZ,ROW(A197),MATCH("Req_Other",Unified_Matrix!$1:$1,0)),"")</f>
        <v/>
      </c>
    </row>
    <row r="201" ht="68.25" customHeight="1">
      <c r="H201" s="13">
        <f t="array" ref="H201">IFERROR(INDEX(Unified_Matrix!$A:$ZZ,ROW(A198),MATCH("Max "&amp;$H$3,Unified_Matrix!$1:$1,0)),"")</f>
        <v/>
      </c>
      <c r="I201" s="25">
        <f t="array" ref="I201">IFERROR(INDEX(Unified_Matrix!$A:$ZZ,ROW(A198),MATCH("Evolution_Name",Unified_Matrix!$1:$1,0)),"")</f>
        <v/>
      </c>
      <c r="J201" s="13">
        <f>IF(H201="","",IF(H201=0,"",IF(H201=$Z$32,1,IF(H201=$Z$33,2,IF(H201=$Z$34,3,"")))))</f>
        <v/>
      </c>
      <c r="K201" s="13">
        <f t="array" ref="K201">IFERROR(INDEX(Unified_Matrix!$A:$ZZ,ROW(A198),MATCH("+ OVR",Unified_Matrix!$1:$1,0)),"")</f>
        <v/>
      </c>
      <c r="L201" s="13">
        <f t="array" ref="L201">IFERROR(INDEX(Unified_Matrix!$A:$ZZ,ROW(A198),MATCH("Max OVR",Unified_Matrix!$1:$1,0)),"")</f>
        <v/>
      </c>
      <c r="M201" s="13">
        <f t="array" ref="M201">IFERROR(INDEX(Unified_Matrix!$A:$ZZ,ROW(A198),MATCH("Req_Position",Unified_Matrix!$1:$1,0)),"")</f>
        <v/>
      </c>
      <c r="N201" s="13">
        <f t="array" ref="N201">IFERROR(INDEX(Unified_Matrix!$A:$ZZ,ROW(A198),MATCH("Req_OVR_Max",Unified_Matrix!$1:$1,0)),"")</f>
        <v/>
      </c>
      <c r="O201" s="25">
        <f t="array" ref="O201">IFERROR(INDEX(Unified_Matrix!$A:$ZZ,ROW(A198),MATCH("Req_Other",Unified_Matrix!$1:$1,0)),"")</f>
        <v/>
      </c>
    </row>
    <row r="202" ht="68.25" customHeight="1">
      <c r="H202" s="13">
        <f t="array" ref="H202">IFERROR(INDEX(Unified_Matrix!$A:$ZZ,ROW(A199),MATCH("Max "&amp;$H$3,Unified_Matrix!$1:$1,0)),"")</f>
        <v/>
      </c>
      <c r="I202" s="25">
        <f t="array" ref="I202">IFERROR(INDEX(Unified_Matrix!$A:$ZZ,ROW(A199),MATCH("Evolution_Name",Unified_Matrix!$1:$1,0)),"")</f>
        <v/>
      </c>
      <c r="J202" s="13">
        <f>IF(H202="","",IF(H202=0,"",IF(H202=$Z$32,1,IF(H202=$Z$33,2,IF(H202=$Z$34,3,"")))))</f>
        <v/>
      </c>
      <c r="K202" s="13">
        <f t="array" ref="K202">IFERROR(INDEX(Unified_Matrix!$A:$ZZ,ROW(A199),MATCH("+ OVR",Unified_Matrix!$1:$1,0)),"")</f>
        <v/>
      </c>
      <c r="L202" s="13">
        <f t="array" ref="L202">IFERROR(INDEX(Unified_Matrix!$A:$ZZ,ROW(A199),MATCH("Max OVR",Unified_Matrix!$1:$1,0)),"")</f>
        <v/>
      </c>
      <c r="M202" s="13">
        <f t="array" ref="M202">IFERROR(INDEX(Unified_Matrix!$A:$ZZ,ROW(A199),MATCH("Req_Position",Unified_Matrix!$1:$1,0)),"")</f>
        <v/>
      </c>
      <c r="N202" s="13">
        <f t="array" ref="N202">IFERROR(INDEX(Unified_Matrix!$A:$ZZ,ROW(A199),MATCH("Req_OVR_Max",Unified_Matrix!$1:$1,0)),"")</f>
        <v/>
      </c>
      <c r="O202" s="25">
        <f t="array" ref="O202">IFERROR(INDEX(Unified_Matrix!$A:$ZZ,ROW(A199),MATCH("Req_Other",Unified_Matrix!$1:$1,0)),"")</f>
        <v/>
      </c>
    </row>
    <row r="203" ht="68.25" customHeight="1">
      <c r="H203" s="13">
        <f t="array" ref="H203">IFERROR(INDEX(Unified_Matrix!$A:$ZZ,ROW(A200),MATCH("Max "&amp;$H$3,Unified_Matrix!$1:$1,0)),"")</f>
        <v/>
      </c>
      <c r="I203" s="25">
        <f t="array" ref="I203">IFERROR(INDEX(Unified_Matrix!$A:$ZZ,ROW(A200),MATCH("Evolution_Name",Unified_Matrix!$1:$1,0)),"")</f>
        <v/>
      </c>
      <c r="J203" s="13">
        <f>IF(H203="","",IF(H203=0,"",IF(H203=$Z$32,1,IF(H203=$Z$33,2,IF(H203=$Z$34,3,"")))))</f>
        <v/>
      </c>
      <c r="K203" s="13">
        <f t="array" ref="K203">IFERROR(INDEX(Unified_Matrix!$A:$ZZ,ROW(A200),MATCH("+ OVR",Unified_Matrix!$1:$1,0)),"")</f>
        <v/>
      </c>
      <c r="L203" s="13">
        <f t="array" ref="L203">IFERROR(INDEX(Unified_Matrix!$A:$ZZ,ROW(A200),MATCH("Max OVR",Unified_Matrix!$1:$1,0)),"")</f>
        <v/>
      </c>
      <c r="M203" s="13">
        <f t="array" ref="M203">IFERROR(INDEX(Unified_Matrix!$A:$ZZ,ROW(A200),MATCH("Req_Position",Unified_Matrix!$1:$1,0)),"")</f>
        <v/>
      </c>
      <c r="N203" s="13">
        <f t="array" ref="N203">IFERROR(INDEX(Unified_Matrix!$A:$ZZ,ROW(A200),MATCH("Req_OVR_Max",Unified_Matrix!$1:$1,0)),"")</f>
        <v/>
      </c>
      <c r="O203" s="25">
        <f t="array" ref="O203">IFERROR(INDEX(Unified_Matrix!$A:$ZZ,ROW(A200),MATCH("Req_Other",Unified_Matrix!$1:$1,0)),"")</f>
        <v/>
      </c>
    </row>
    <row r="204" ht="68.25" customHeight="1">
      <c r="H204" s="13">
        <f t="array" ref="H204">IFERROR(INDEX(Unified_Matrix!$A:$ZZ,ROW(A201),MATCH("Max "&amp;$H$3,Unified_Matrix!$1:$1,0)),"")</f>
        <v/>
      </c>
      <c r="I204" s="25">
        <f t="array" ref="I204">IFERROR(INDEX(Unified_Matrix!$A:$ZZ,ROW(A201),MATCH("Evolution_Name",Unified_Matrix!$1:$1,0)),"")</f>
        <v/>
      </c>
      <c r="J204" s="13">
        <f>IF(H204="","",IF(H204=0,"",IF(H204=$Z$32,1,IF(H204=$Z$33,2,IF(H204=$Z$34,3,"")))))</f>
        <v/>
      </c>
      <c r="K204" s="13">
        <f t="array" ref="K204">IFERROR(INDEX(Unified_Matrix!$A:$ZZ,ROW(A201),MATCH("+ OVR",Unified_Matrix!$1:$1,0)),"")</f>
        <v/>
      </c>
      <c r="L204" s="13">
        <f t="array" ref="L204">IFERROR(INDEX(Unified_Matrix!$A:$ZZ,ROW(A201),MATCH("Max OVR",Unified_Matrix!$1:$1,0)),"")</f>
        <v/>
      </c>
      <c r="M204" s="13">
        <f t="array" ref="M204">IFERROR(INDEX(Unified_Matrix!$A:$ZZ,ROW(A201),MATCH("Req_Position",Unified_Matrix!$1:$1,0)),"")</f>
        <v/>
      </c>
      <c r="N204" s="13">
        <f t="array" ref="N204">IFERROR(INDEX(Unified_Matrix!$A:$ZZ,ROW(A201),MATCH("Req_OVR_Max",Unified_Matrix!$1:$1,0)),"")</f>
        <v/>
      </c>
      <c r="O204" s="25">
        <f t="array" ref="O204">IFERROR(INDEX(Unified_Matrix!$A:$ZZ,ROW(A201),MATCH("Req_Other",Unified_Matrix!$1:$1,0)),"")</f>
        <v/>
      </c>
    </row>
    <row r="205" ht="68.25" customHeight="1">
      <c r="H205" s="13">
        <f t="array" ref="H205">IFERROR(INDEX(Unified_Matrix!$A:$ZZ,ROW(A202),MATCH("Max "&amp;$H$3,Unified_Matrix!$1:$1,0)),"")</f>
        <v/>
      </c>
      <c r="I205" s="25">
        <f t="array" ref="I205">IFERROR(INDEX(Unified_Matrix!$A:$ZZ,ROW(A202),MATCH("Evolution_Name",Unified_Matrix!$1:$1,0)),"")</f>
        <v/>
      </c>
      <c r="J205" s="13">
        <f>IF(H205="","",IF(H205=0,"",IF(H205=$Z$32,1,IF(H205=$Z$33,2,IF(H205=$Z$34,3,"")))))</f>
        <v/>
      </c>
      <c r="K205" s="13">
        <f t="array" ref="K205">IFERROR(INDEX(Unified_Matrix!$A:$ZZ,ROW(A202),MATCH("+ OVR",Unified_Matrix!$1:$1,0)),"")</f>
        <v/>
      </c>
      <c r="L205" s="13">
        <f t="array" ref="L205">IFERROR(INDEX(Unified_Matrix!$A:$ZZ,ROW(A202),MATCH("Max OVR",Unified_Matrix!$1:$1,0)),"")</f>
        <v/>
      </c>
      <c r="M205" s="13">
        <f t="array" ref="M205">IFERROR(INDEX(Unified_Matrix!$A:$ZZ,ROW(A202),MATCH("Req_Position",Unified_Matrix!$1:$1,0)),"")</f>
        <v/>
      </c>
      <c r="N205" s="13">
        <f t="array" ref="N205">IFERROR(INDEX(Unified_Matrix!$A:$ZZ,ROW(A202),MATCH("Req_OVR_Max",Unified_Matrix!$1:$1,0)),"")</f>
        <v/>
      </c>
      <c r="O205" s="25">
        <f t="array" ref="O205">IFERROR(INDEX(Unified_Matrix!$A:$ZZ,ROW(A202),MATCH("Req_Other",Unified_Matrix!$1:$1,0)),"")</f>
        <v/>
      </c>
    </row>
    <row r="206" ht="68.25" customHeight="1">
      <c r="H206" s="13">
        <f t="array" ref="H206">IFERROR(INDEX(Unified_Matrix!$A:$ZZ,ROW(A203),MATCH("Max "&amp;$H$3,Unified_Matrix!$1:$1,0)),"")</f>
        <v/>
      </c>
      <c r="I206" s="25">
        <f t="array" ref="I206">IFERROR(INDEX(Unified_Matrix!$A:$ZZ,ROW(A203),MATCH("Evolution_Name",Unified_Matrix!$1:$1,0)),"")</f>
        <v/>
      </c>
      <c r="J206" s="13">
        <f>IF(H206="","",IF(H206=0,"",IF(H206=$Z$32,1,IF(H206=$Z$33,2,IF(H206=$Z$34,3,"")))))</f>
        <v/>
      </c>
      <c r="K206" s="13">
        <f t="array" ref="K206">IFERROR(INDEX(Unified_Matrix!$A:$ZZ,ROW(A203),MATCH("+ OVR",Unified_Matrix!$1:$1,0)),"")</f>
        <v/>
      </c>
      <c r="L206" s="13">
        <f t="array" ref="L206">IFERROR(INDEX(Unified_Matrix!$A:$ZZ,ROW(A203),MATCH("Max OVR",Unified_Matrix!$1:$1,0)),"")</f>
        <v/>
      </c>
      <c r="M206" s="13">
        <f t="array" ref="M206">IFERROR(INDEX(Unified_Matrix!$A:$ZZ,ROW(A203),MATCH("Req_Position",Unified_Matrix!$1:$1,0)),"")</f>
        <v/>
      </c>
      <c r="N206" s="13">
        <f t="array" ref="N206">IFERROR(INDEX(Unified_Matrix!$A:$ZZ,ROW(A203),MATCH("Req_OVR_Max",Unified_Matrix!$1:$1,0)),"")</f>
        <v/>
      </c>
      <c r="O206" s="25">
        <f t="array" ref="O206">IFERROR(INDEX(Unified_Matrix!$A:$ZZ,ROW(A203),MATCH("Req_Other",Unified_Matrix!$1:$1,0)),"")</f>
        <v/>
      </c>
    </row>
    <row r="207" ht="68.25" customHeight="1">
      <c r="H207" s="13">
        <f t="array" ref="H207">IFERROR(INDEX(Unified_Matrix!$A:$ZZ,ROW(A204),MATCH("Max "&amp;$H$3,Unified_Matrix!$1:$1,0)),"")</f>
        <v/>
      </c>
      <c r="I207" s="25">
        <f t="array" ref="I207">IFERROR(INDEX(Unified_Matrix!$A:$ZZ,ROW(A204),MATCH("Evolution_Name",Unified_Matrix!$1:$1,0)),"")</f>
        <v/>
      </c>
      <c r="J207" s="13">
        <f>IF(H207="","",IF(H207=0,"",IF(H207=$Z$32,1,IF(H207=$Z$33,2,IF(H207=$Z$34,3,"")))))</f>
        <v/>
      </c>
      <c r="K207" s="13">
        <f t="array" ref="K207">IFERROR(INDEX(Unified_Matrix!$A:$ZZ,ROW(A204),MATCH("+ OVR",Unified_Matrix!$1:$1,0)),"")</f>
        <v/>
      </c>
      <c r="L207" s="13">
        <f t="array" ref="L207">IFERROR(INDEX(Unified_Matrix!$A:$ZZ,ROW(A204),MATCH("Max OVR",Unified_Matrix!$1:$1,0)),"")</f>
        <v/>
      </c>
      <c r="M207" s="13">
        <f t="array" ref="M207">IFERROR(INDEX(Unified_Matrix!$A:$ZZ,ROW(A204),MATCH("Req_Position",Unified_Matrix!$1:$1,0)),"")</f>
        <v/>
      </c>
      <c r="N207" s="13">
        <f t="array" ref="N207">IFERROR(INDEX(Unified_Matrix!$A:$ZZ,ROW(A204),MATCH("Req_OVR_Max",Unified_Matrix!$1:$1,0)),"")</f>
        <v/>
      </c>
      <c r="O207" s="25">
        <f t="array" ref="O207">IFERROR(INDEX(Unified_Matrix!$A:$ZZ,ROW(A204),MATCH("Req_Other",Unified_Matrix!$1:$1,0)),"")</f>
        <v/>
      </c>
    </row>
    <row r="208" ht="68.25" customHeight="1">
      <c r="H208" s="13">
        <f t="array" ref="H208">IFERROR(INDEX(Unified_Matrix!$A:$ZZ,ROW(A205),MATCH("Max "&amp;$H$3,Unified_Matrix!$1:$1,0)),"")</f>
        <v/>
      </c>
      <c r="I208" s="25">
        <f t="array" ref="I208">IFERROR(INDEX(Unified_Matrix!$A:$ZZ,ROW(A205),MATCH("Evolution_Name",Unified_Matrix!$1:$1,0)),"")</f>
        <v/>
      </c>
      <c r="J208" s="13">
        <f>IF(H208="","",IF(H208=0,"",IF(H208=$Z$32,1,IF(H208=$Z$33,2,IF(H208=$Z$34,3,"")))))</f>
        <v/>
      </c>
      <c r="K208" s="13">
        <f t="array" ref="K208">IFERROR(INDEX(Unified_Matrix!$A:$ZZ,ROW(A205),MATCH("+ OVR",Unified_Matrix!$1:$1,0)),"")</f>
        <v/>
      </c>
      <c r="L208" s="13">
        <f t="array" ref="L208">IFERROR(INDEX(Unified_Matrix!$A:$ZZ,ROW(A205),MATCH("Max OVR",Unified_Matrix!$1:$1,0)),"")</f>
        <v/>
      </c>
      <c r="M208" s="13">
        <f t="array" ref="M208">IFERROR(INDEX(Unified_Matrix!$A:$ZZ,ROW(A205),MATCH("Req_Position",Unified_Matrix!$1:$1,0)),"")</f>
        <v/>
      </c>
      <c r="N208" s="13">
        <f t="array" ref="N208">IFERROR(INDEX(Unified_Matrix!$A:$ZZ,ROW(A205),MATCH("Req_OVR_Max",Unified_Matrix!$1:$1,0)),"")</f>
        <v/>
      </c>
      <c r="O208" s="25">
        <f t="array" ref="O208">IFERROR(INDEX(Unified_Matrix!$A:$ZZ,ROW(A205),MATCH("Req_Other",Unified_Matrix!$1:$1,0)),"")</f>
        <v/>
      </c>
    </row>
    <row r="209" ht="68.25" customHeight="1">
      <c r="H209" s="13">
        <f t="array" ref="H209">IFERROR(INDEX(Unified_Matrix!$A:$ZZ,ROW(A206),MATCH("Max "&amp;$H$3,Unified_Matrix!$1:$1,0)),"")</f>
        <v/>
      </c>
      <c r="I209" s="25">
        <f t="array" ref="I209">IFERROR(INDEX(Unified_Matrix!$A:$ZZ,ROW(A206),MATCH("Evolution_Name",Unified_Matrix!$1:$1,0)),"")</f>
        <v/>
      </c>
      <c r="J209" s="13">
        <f>IF(H209="","",IF(H209=0,"",IF(H209=$Z$32,1,IF(H209=$Z$33,2,IF(H209=$Z$34,3,"")))))</f>
        <v/>
      </c>
      <c r="K209" s="13">
        <f t="array" ref="K209">IFERROR(INDEX(Unified_Matrix!$A:$ZZ,ROW(A206),MATCH("+ OVR",Unified_Matrix!$1:$1,0)),"")</f>
        <v/>
      </c>
      <c r="L209" s="13">
        <f t="array" ref="L209">IFERROR(INDEX(Unified_Matrix!$A:$ZZ,ROW(A206),MATCH("Max OVR",Unified_Matrix!$1:$1,0)),"")</f>
        <v/>
      </c>
      <c r="M209" s="13">
        <f t="array" ref="M209">IFERROR(INDEX(Unified_Matrix!$A:$ZZ,ROW(A206),MATCH("Req_Position",Unified_Matrix!$1:$1,0)),"")</f>
        <v/>
      </c>
      <c r="N209" s="13">
        <f t="array" ref="N209">IFERROR(INDEX(Unified_Matrix!$A:$ZZ,ROW(A206),MATCH("Req_OVR_Max",Unified_Matrix!$1:$1,0)),"")</f>
        <v/>
      </c>
      <c r="O209" s="25">
        <f t="array" ref="O209">IFERROR(INDEX(Unified_Matrix!$A:$ZZ,ROW(A206),MATCH("Req_Other",Unified_Matrix!$1:$1,0)),"")</f>
        <v/>
      </c>
    </row>
    <row r="210" ht="68.25" customHeight="1">
      <c r="H210" s="13">
        <f t="array" ref="H210">IFERROR(INDEX(Unified_Matrix!$A:$ZZ,ROW(A207),MATCH("Max "&amp;$H$3,Unified_Matrix!$1:$1,0)),"")</f>
        <v/>
      </c>
      <c r="I210" s="25">
        <f t="array" ref="I210">IFERROR(INDEX(Unified_Matrix!$A:$ZZ,ROW(A207),MATCH("Evolution_Name",Unified_Matrix!$1:$1,0)),"")</f>
        <v/>
      </c>
      <c r="J210" s="13">
        <f>IF(H210="","",IF(H210=0,"",IF(H210=$Z$32,1,IF(H210=$Z$33,2,IF(H210=$Z$34,3,"")))))</f>
        <v/>
      </c>
      <c r="K210" s="13">
        <f t="array" ref="K210">IFERROR(INDEX(Unified_Matrix!$A:$ZZ,ROW(A207),MATCH("+ OVR",Unified_Matrix!$1:$1,0)),"")</f>
        <v/>
      </c>
      <c r="L210" s="13">
        <f t="array" ref="L210">IFERROR(INDEX(Unified_Matrix!$A:$ZZ,ROW(A207),MATCH("Max OVR",Unified_Matrix!$1:$1,0)),"")</f>
        <v/>
      </c>
      <c r="M210" s="13">
        <f t="array" ref="M210">IFERROR(INDEX(Unified_Matrix!$A:$ZZ,ROW(A207),MATCH("Req_Position",Unified_Matrix!$1:$1,0)),"")</f>
        <v/>
      </c>
      <c r="N210" s="13">
        <f t="array" ref="N210">IFERROR(INDEX(Unified_Matrix!$A:$ZZ,ROW(A207),MATCH("Req_OVR_Max",Unified_Matrix!$1:$1,0)),"")</f>
        <v/>
      </c>
      <c r="O210" s="25">
        <f t="array" ref="O210">IFERROR(INDEX(Unified_Matrix!$A:$ZZ,ROW(A207),MATCH("Req_Other",Unified_Matrix!$1:$1,0)),"")</f>
        <v/>
      </c>
    </row>
    <row r="211" ht="68.25" customHeight="1">
      <c r="H211" s="13">
        <f t="array" ref="H211">IFERROR(INDEX(Unified_Matrix!$A:$ZZ,ROW(A208),MATCH("Max "&amp;$H$3,Unified_Matrix!$1:$1,0)),"")</f>
        <v/>
      </c>
      <c r="I211" s="25">
        <f t="array" ref="I211">IFERROR(INDEX(Unified_Matrix!$A:$ZZ,ROW(A208),MATCH("Evolution_Name",Unified_Matrix!$1:$1,0)),"")</f>
        <v/>
      </c>
      <c r="J211" s="13">
        <f>IF(H211="","",IF(H211=0,"",IF(H211=$Z$32,1,IF(H211=$Z$33,2,IF(H211=$Z$34,3,"")))))</f>
        <v/>
      </c>
      <c r="K211" s="13">
        <f t="array" ref="K211">IFERROR(INDEX(Unified_Matrix!$A:$ZZ,ROW(A208),MATCH("+ OVR",Unified_Matrix!$1:$1,0)),"")</f>
        <v/>
      </c>
      <c r="L211" s="13">
        <f t="array" ref="L211">IFERROR(INDEX(Unified_Matrix!$A:$ZZ,ROW(A208),MATCH("Max OVR",Unified_Matrix!$1:$1,0)),"")</f>
        <v/>
      </c>
      <c r="M211" s="13">
        <f t="array" ref="M211">IFERROR(INDEX(Unified_Matrix!$A:$ZZ,ROW(A208),MATCH("Req_Position",Unified_Matrix!$1:$1,0)),"")</f>
        <v/>
      </c>
      <c r="N211" s="13">
        <f t="array" ref="N211">IFERROR(INDEX(Unified_Matrix!$A:$ZZ,ROW(A208),MATCH("Req_OVR_Max",Unified_Matrix!$1:$1,0)),"")</f>
        <v/>
      </c>
      <c r="O211" s="25">
        <f t="array" ref="O211">IFERROR(INDEX(Unified_Matrix!$A:$ZZ,ROW(A208),MATCH("Req_Other",Unified_Matrix!$1:$1,0)),"")</f>
        <v/>
      </c>
    </row>
    <row r="212" ht="68.25" customHeight="1">
      <c r="H212" s="13">
        <f t="array" ref="H212">IFERROR(INDEX(Unified_Matrix!$A:$ZZ,ROW(A209),MATCH("Max "&amp;$H$3,Unified_Matrix!$1:$1,0)),"")</f>
        <v/>
      </c>
      <c r="I212" s="25">
        <f t="array" ref="I212">IFERROR(INDEX(Unified_Matrix!$A:$ZZ,ROW(A209),MATCH("Evolution_Name",Unified_Matrix!$1:$1,0)),"")</f>
        <v/>
      </c>
      <c r="J212" s="13">
        <f>IF(H212="","",IF(H212=0,"",IF(H212=$Z$32,1,IF(H212=$Z$33,2,IF(H212=$Z$34,3,"")))))</f>
        <v/>
      </c>
      <c r="K212" s="13">
        <f t="array" ref="K212">IFERROR(INDEX(Unified_Matrix!$A:$ZZ,ROW(A209),MATCH("+ OVR",Unified_Matrix!$1:$1,0)),"")</f>
        <v/>
      </c>
      <c r="L212" s="13">
        <f t="array" ref="L212">IFERROR(INDEX(Unified_Matrix!$A:$ZZ,ROW(A209),MATCH("Max OVR",Unified_Matrix!$1:$1,0)),"")</f>
        <v/>
      </c>
      <c r="M212" s="13">
        <f t="array" ref="M212">IFERROR(INDEX(Unified_Matrix!$A:$ZZ,ROW(A209),MATCH("Req_Position",Unified_Matrix!$1:$1,0)),"")</f>
        <v/>
      </c>
      <c r="N212" s="13">
        <f t="array" ref="N212">IFERROR(INDEX(Unified_Matrix!$A:$ZZ,ROW(A209),MATCH("Req_OVR_Max",Unified_Matrix!$1:$1,0)),"")</f>
        <v/>
      </c>
      <c r="O212" s="25">
        <f t="array" ref="O212">IFERROR(INDEX(Unified_Matrix!$A:$ZZ,ROW(A209),MATCH("Req_Other",Unified_Matrix!$1:$1,0)),"")</f>
        <v/>
      </c>
    </row>
    <row r="213" ht="68.25" customHeight="1">
      <c r="H213" s="13">
        <f t="array" ref="H213">IFERROR(INDEX(Unified_Matrix!$A:$ZZ,ROW(A210),MATCH("Max "&amp;$H$3,Unified_Matrix!$1:$1,0)),"")</f>
        <v/>
      </c>
      <c r="I213" s="25">
        <f t="array" ref="I213">IFERROR(INDEX(Unified_Matrix!$A:$ZZ,ROW(A210),MATCH("Evolution_Name",Unified_Matrix!$1:$1,0)),"")</f>
        <v/>
      </c>
      <c r="J213" s="13">
        <f>IF(H213="","",IF(H213=0,"",IF(H213=$Z$32,1,IF(H213=$Z$33,2,IF(H213=$Z$34,3,"")))))</f>
        <v/>
      </c>
      <c r="K213" s="13">
        <f t="array" ref="K213">IFERROR(INDEX(Unified_Matrix!$A:$ZZ,ROW(A210),MATCH("+ OVR",Unified_Matrix!$1:$1,0)),"")</f>
        <v/>
      </c>
      <c r="L213" s="13">
        <f t="array" ref="L213">IFERROR(INDEX(Unified_Matrix!$A:$ZZ,ROW(A210),MATCH("Max OVR",Unified_Matrix!$1:$1,0)),"")</f>
        <v/>
      </c>
      <c r="M213" s="13">
        <f t="array" ref="M213">IFERROR(INDEX(Unified_Matrix!$A:$ZZ,ROW(A210),MATCH("Req_Position",Unified_Matrix!$1:$1,0)),"")</f>
        <v/>
      </c>
      <c r="N213" s="13">
        <f t="array" ref="N213">IFERROR(INDEX(Unified_Matrix!$A:$ZZ,ROW(A210),MATCH("Req_OVR_Max",Unified_Matrix!$1:$1,0)),"")</f>
        <v/>
      </c>
      <c r="O213" s="25">
        <f t="array" ref="O213">IFERROR(INDEX(Unified_Matrix!$A:$ZZ,ROW(A210),MATCH("Req_Other",Unified_Matrix!$1:$1,0)),"")</f>
        <v/>
      </c>
    </row>
    <row r="214" ht="68.25" customHeight="1">
      <c r="H214" s="13">
        <f t="array" ref="H214">IFERROR(INDEX(Unified_Matrix!$A:$ZZ,ROW(A211),MATCH("Max "&amp;$H$3,Unified_Matrix!$1:$1,0)),"")</f>
        <v/>
      </c>
      <c r="I214" s="25">
        <f t="array" ref="I214">IFERROR(INDEX(Unified_Matrix!$A:$ZZ,ROW(A211),MATCH("Evolution_Name",Unified_Matrix!$1:$1,0)),"")</f>
        <v/>
      </c>
      <c r="J214" s="13">
        <f>IF(H214="","",IF(H214=0,"",IF(H214=$Z$32,1,IF(H214=$Z$33,2,IF(H214=$Z$34,3,"")))))</f>
        <v/>
      </c>
      <c r="K214" s="13">
        <f t="array" ref="K214">IFERROR(INDEX(Unified_Matrix!$A:$ZZ,ROW(A211),MATCH("+ OVR",Unified_Matrix!$1:$1,0)),"")</f>
        <v/>
      </c>
      <c r="L214" s="13">
        <f t="array" ref="L214">IFERROR(INDEX(Unified_Matrix!$A:$ZZ,ROW(A211),MATCH("Max OVR",Unified_Matrix!$1:$1,0)),"")</f>
        <v/>
      </c>
      <c r="M214" s="13">
        <f t="array" ref="M214">IFERROR(INDEX(Unified_Matrix!$A:$ZZ,ROW(A211),MATCH("Req_Position",Unified_Matrix!$1:$1,0)),"")</f>
        <v/>
      </c>
      <c r="N214" s="13">
        <f t="array" ref="N214">IFERROR(INDEX(Unified_Matrix!$A:$ZZ,ROW(A211),MATCH("Req_OVR_Max",Unified_Matrix!$1:$1,0)),"")</f>
        <v/>
      </c>
      <c r="O214" s="25">
        <f t="array" ref="O214">IFERROR(INDEX(Unified_Matrix!$A:$ZZ,ROW(A211),MATCH("Req_Other",Unified_Matrix!$1:$1,0)),"")</f>
        <v/>
      </c>
    </row>
    <row r="215" ht="68.25" customHeight="1">
      <c r="H215" s="13">
        <f t="array" ref="H215">IFERROR(INDEX(Unified_Matrix!$A:$ZZ,ROW(A212),MATCH("Max "&amp;$H$3,Unified_Matrix!$1:$1,0)),"")</f>
        <v/>
      </c>
      <c r="I215" s="25">
        <f t="array" ref="I215">IFERROR(INDEX(Unified_Matrix!$A:$ZZ,ROW(A212),MATCH("Evolution_Name",Unified_Matrix!$1:$1,0)),"")</f>
        <v/>
      </c>
      <c r="J215" s="13">
        <f>IF(H215="","",IF(H215=0,"",IF(H215=$Z$32,1,IF(H215=$Z$33,2,IF(H215=$Z$34,3,"")))))</f>
        <v/>
      </c>
      <c r="K215" s="13">
        <f t="array" ref="K215">IFERROR(INDEX(Unified_Matrix!$A:$ZZ,ROW(A212),MATCH("+ OVR",Unified_Matrix!$1:$1,0)),"")</f>
        <v/>
      </c>
      <c r="L215" s="13">
        <f t="array" ref="L215">IFERROR(INDEX(Unified_Matrix!$A:$ZZ,ROW(A212),MATCH("Max OVR",Unified_Matrix!$1:$1,0)),"")</f>
        <v/>
      </c>
      <c r="M215" s="13">
        <f t="array" ref="M215">IFERROR(INDEX(Unified_Matrix!$A:$ZZ,ROW(A212),MATCH("Req_Position",Unified_Matrix!$1:$1,0)),"")</f>
        <v/>
      </c>
      <c r="N215" s="13">
        <f t="array" ref="N215">IFERROR(INDEX(Unified_Matrix!$A:$ZZ,ROW(A212),MATCH("Req_OVR_Max",Unified_Matrix!$1:$1,0)),"")</f>
        <v/>
      </c>
      <c r="O215" s="25">
        <f t="array" ref="O215">IFERROR(INDEX(Unified_Matrix!$A:$ZZ,ROW(A212),MATCH("Req_Other",Unified_Matrix!$1:$1,0)),"")</f>
        <v/>
      </c>
    </row>
    <row r="216" ht="68.25" customHeight="1">
      <c r="H216" s="13">
        <f t="array" ref="H216">IFERROR(INDEX(Unified_Matrix!$A:$ZZ,ROW(A213),MATCH("Max "&amp;$H$3,Unified_Matrix!$1:$1,0)),"")</f>
        <v/>
      </c>
      <c r="I216" s="25">
        <f t="array" ref="I216">IFERROR(INDEX(Unified_Matrix!$A:$ZZ,ROW(A213),MATCH("Evolution_Name",Unified_Matrix!$1:$1,0)),"")</f>
        <v/>
      </c>
      <c r="J216" s="13">
        <f>IF(H216="","",IF(H216=0,"",IF(H216=$Z$32,1,IF(H216=$Z$33,2,IF(H216=$Z$34,3,"")))))</f>
        <v/>
      </c>
      <c r="K216" s="13">
        <f t="array" ref="K216">IFERROR(INDEX(Unified_Matrix!$A:$ZZ,ROW(A213),MATCH("+ OVR",Unified_Matrix!$1:$1,0)),"")</f>
        <v/>
      </c>
      <c r="L216" s="13">
        <f t="array" ref="L216">IFERROR(INDEX(Unified_Matrix!$A:$ZZ,ROW(A213),MATCH("Max OVR",Unified_Matrix!$1:$1,0)),"")</f>
        <v/>
      </c>
      <c r="M216" s="13">
        <f t="array" ref="M216">IFERROR(INDEX(Unified_Matrix!$A:$ZZ,ROW(A213),MATCH("Req_Position",Unified_Matrix!$1:$1,0)),"")</f>
        <v/>
      </c>
      <c r="N216" s="13">
        <f t="array" ref="N216">IFERROR(INDEX(Unified_Matrix!$A:$ZZ,ROW(A213),MATCH("Req_OVR_Max",Unified_Matrix!$1:$1,0)),"")</f>
        <v/>
      </c>
      <c r="O216" s="25">
        <f t="array" ref="O216">IFERROR(INDEX(Unified_Matrix!$A:$ZZ,ROW(A213),MATCH("Req_Other",Unified_Matrix!$1:$1,0)),"")</f>
        <v/>
      </c>
    </row>
    <row r="217" ht="68.25" customHeight="1">
      <c r="H217" s="13">
        <f t="array" ref="H217">IFERROR(INDEX(Unified_Matrix!$A:$ZZ,ROW(A214),MATCH("Max "&amp;$H$3,Unified_Matrix!$1:$1,0)),"")</f>
        <v/>
      </c>
      <c r="I217" s="25">
        <f t="array" ref="I217">IFERROR(INDEX(Unified_Matrix!$A:$ZZ,ROW(A214),MATCH("Evolution_Name",Unified_Matrix!$1:$1,0)),"")</f>
        <v/>
      </c>
      <c r="J217" s="13">
        <f>IF(H217="","",IF(H217=0,"",IF(H217=$Z$32,1,IF(H217=$Z$33,2,IF(H217=$Z$34,3,"")))))</f>
        <v/>
      </c>
      <c r="K217" s="13">
        <f t="array" ref="K217">IFERROR(INDEX(Unified_Matrix!$A:$ZZ,ROW(A214),MATCH("+ OVR",Unified_Matrix!$1:$1,0)),"")</f>
        <v/>
      </c>
      <c r="L217" s="13">
        <f t="array" ref="L217">IFERROR(INDEX(Unified_Matrix!$A:$ZZ,ROW(A214),MATCH("Max OVR",Unified_Matrix!$1:$1,0)),"")</f>
        <v/>
      </c>
      <c r="M217" s="13">
        <f t="array" ref="M217">IFERROR(INDEX(Unified_Matrix!$A:$ZZ,ROW(A214),MATCH("Req_Position",Unified_Matrix!$1:$1,0)),"")</f>
        <v/>
      </c>
      <c r="N217" s="13">
        <f t="array" ref="N217">IFERROR(INDEX(Unified_Matrix!$A:$ZZ,ROW(A214),MATCH("Req_OVR_Max",Unified_Matrix!$1:$1,0)),"")</f>
        <v/>
      </c>
      <c r="O217" s="25">
        <f t="array" ref="O217">IFERROR(INDEX(Unified_Matrix!$A:$ZZ,ROW(A214),MATCH("Req_Other",Unified_Matrix!$1:$1,0)),"")</f>
        <v/>
      </c>
    </row>
    <row r="218" ht="68.25" customHeight="1">
      <c r="H218" s="13">
        <f t="array" ref="H218">IFERROR(INDEX(Unified_Matrix!$A:$ZZ,ROW(A215),MATCH("Max "&amp;$H$3,Unified_Matrix!$1:$1,0)),"")</f>
        <v/>
      </c>
      <c r="I218" s="25">
        <f t="array" ref="I218">IFERROR(INDEX(Unified_Matrix!$A:$ZZ,ROW(A215),MATCH("Evolution_Name",Unified_Matrix!$1:$1,0)),"")</f>
        <v/>
      </c>
      <c r="J218" s="13">
        <f>IF(H218="","",IF(H218=0,"",IF(H218=$Z$32,1,IF(H218=$Z$33,2,IF(H218=$Z$34,3,"")))))</f>
        <v/>
      </c>
      <c r="K218" s="13">
        <f t="array" ref="K218">IFERROR(INDEX(Unified_Matrix!$A:$ZZ,ROW(A215),MATCH("+ OVR",Unified_Matrix!$1:$1,0)),"")</f>
        <v/>
      </c>
      <c r="L218" s="13">
        <f t="array" ref="L218">IFERROR(INDEX(Unified_Matrix!$A:$ZZ,ROW(A215),MATCH("Max OVR",Unified_Matrix!$1:$1,0)),"")</f>
        <v/>
      </c>
      <c r="M218" s="13">
        <f t="array" ref="M218">IFERROR(INDEX(Unified_Matrix!$A:$ZZ,ROW(A215),MATCH("Req_Position",Unified_Matrix!$1:$1,0)),"")</f>
        <v/>
      </c>
      <c r="N218" s="13">
        <f t="array" ref="N218">IFERROR(INDEX(Unified_Matrix!$A:$ZZ,ROW(A215),MATCH("Req_OVR_Max",Unified_Matrix!$1:$1,0)),"")</f>
        <v/>
      </c>
      <c r="O218" s="25">
        <f t="array" ref="O218">IFERROR(INDEX(Unified_Matrix!$A:$ZZ,ROW(A215),MATCH("Req_Other",Unified_Matrix!$1:$1,0)),"")</f>
        <v/>
      </c>
    </row>
    <row r="219" ht="68.25" customHeight="1">
      <c r="H219" s="13">
        <f t="array" ref="H219">IFERROR(INDEX(Unified_Matrix!$A:$ZZ,ROW(A216),MATCH("Max "&amp;$H$3,Unified_Matrix!$1:$1,0)),"")</f>
        <v/>
      </c>
      <c r="I219" s="25">
        <f t="array" ref="I219">IFERROR(INDEX(Unified_Matrix!$A:$ZZ,ROW(A216),MATCH("Evolution_Name",Unified_Matrix!$1:$1,0)),"")</f>
        <v/>
      </c>
      <c r="J219" s="13">
        <f>IF(H219="","",IF(H219=0,"",IF(H219=$Z$32,1,IF(H219=$Z$33,2,IF(H219=$Z$34,3,"")))))</f>
        <v/>
      </c>
      <c r="K219" s="13">
        <f t="array" ref="K219">IFERROR(INDEX(Unified_Matrix!$A:$ZZ,ROW(A216),MATCH("+ OVR",Unified_Matrix!$1:$1,0)),"")</f>
        <v/>
      </c>
      <c r="L219" s="13">
        <f t="array" ref="L219">IFERROR(INDEX(Unified_Matrix!$A:$ZZ,ROW(A216),MATCH("Max OVR",Unified_Matrix!$1:$1,0)),"")</f>
        <v/>
      </c>
      <c r="M219" s="13">
        <f t="array" ref="M219">IFERROR(INDEX(Unified_Matrix!$A:$ZZ,ROW(A216),MATCH("Req_Position",Unified_Matrix!$1:$1,0)),"")</f>
        <v/>
      </c>
      <c r="N219" s="13">
        <f t="array" ref="N219">IFERROR(INDEX(Unified_Matrix!$A:$ZZ,ROW(A216),MATCH("Req_OVR_Max",Unified_Matrix!$1:$1,0)),"")</f>
        <v/>
      </c>
      <c r="O219" s="25">
        <f t="array" ref="O219">IFERROR(INDEX(Unified_Matrix!$A:$ZZ,ROW(A216),MATCH("Req_Other",Unified_Matrix!$1:$1,0)),"")</f>
        <v/>
      </c>
    </row>
    <row r="220" ht="68.25" customHeight="1">
      <c r="H220" s="13">
        <f t="array" ref="H220">IFERROR(INDEX(Unified_Matrix!$A:$ZZ,ROW(A217),MATCH("Max "&amp;$H$3,Unified_Matrix!$1:$1,0)),"")</f>
        <v/>
      </c>
      <c r="I220" s="25">
        <f t="array" ref="I220">IFERROR(INDEX(Unified_Matrix!$A:$ZZ,ROW(A217),MATCH("Evolution_Name",Unified_Matrix!$1:$1,0)),"")</f>
        <v/>
      </c>
      <c r="J220" s="13">
        <f>IF(H220="","",IF(H220=0,"",IF(H220=$Z$32,1,IF(H220=$Z$33,2,IF(H220=$Z$34,3,"")))))</f>
        <v/>
      </c>
      <c r="K220" s="13">
        <f t="array" ref="K220">IFERROR(INDEX(Unified_Matrix!$A:$ZZ,ROW(A217),MATCH("+ OVR",Unified_Matrix!$1:$1,0)),"")</f>
        <v/>
      </c>
      <c r="L220" s="13">
        <f t="array" ref="L220">IFERROR(INDEX(Unified_Matrix!$A:$ZZ,ROW(A217),MATCH("Max OVR",Unified_Matrix!$1:$1,0)),"")</f>
        <v/>
      </c>
      <c r="M220" s="13">
        <f t="array" ref="M220">IFERROR(INDEX(Unified_Matrix!$A:$ZZ,ROW(A217),MATCH("Req_Position",Unified_Matrix!$1:$1,0)),"")</f>
        <v/>
      </c>
      <c r="N220" s="13">
        <f t="array" ref="N220">IFERROR(INDEX(Unified_Matrix!$A:$ZZ,ROW(A217),MATCH("Req_OVR_Max",Unified_Matrix!$1:$1,0)),"")</f>
        <v/>
      </c>
      <c r="O220" s="25">
        <f t="array" ref="O220">IFERROR(INDEX(Unified_Matrix!$A:$ZZ,ROW(A217),MATCH("Req_Other",Unified_Matrix!$1:$1,0)),"")</f>
        <v/>
      </c>
    </row>
    <row r="221" ht="68.25" customHeight="1">
      <c r="H221" s="13">
        <f t="array" ref="H221">IFERROR(INDEX(Unified_Matrix!$A:$ZZ,ROW(A218),MATCH("Max "&amp;$H$3,Unified_Matrix!$1:$1,0)),"")</f>
        <v/>
      </c>
      <c r="I221" s="25">
        <f t="array" ref="I221">IFERROR(INDEX(Unified_Matrix!$A:$ZZ,ROW(A218),MATCH("Evolution_Name",Unified_Matrix!$1:$1,0)),"")</f>
        <v/>
      </c>
      <c r="J221" s="13">
        <f>IF(H221="","",IF(H221=0,"",IF(H221=$Z$32,1,IF(H221=$Z$33,2,IF(H221=$Z$34,3,"")))))</f>
        <v/>
      </c>
      <c r="K221" s="13">
        <f t="array" ref="K221">IFERROR(INDEX(Unified_Matrix!$A:$ZZ,ROW(A218),MATCH("+ OVR",Unified_Matrix!$1:$1,0)),"")</f>
        <v/>
      </c>
      <c r="L221" s="13">
        <f t="array" ref="L221">IFERROR(INDEX(Unified_Matrix!$A:$ZZ,ROW(A218),MATCH("Max OVR",Unified_Matrix!$1:$1,0)),"")</f>
        <v/>
      </c>
      <c r="M221" s="13">
        <f t="array" ref="M221">IFERROR(INDEX(Unified_Matrix!$A:$ZZ,ROW(A218),MATCH("Req_Position",Unified_Matrix!$1:$1,0)),"")</f>
        <v/>
      </c>
      <c r="N221" s="13">
        <f t="array" ref="N221">IFERROR(INDEX(Unified_Matrix!$A:$ZZ,ROW(A218),MATCH("Req_OVR_Max",Unified_Matrix!$1:$1,0)),"")</f>
        <v/>
      </c>
      <c r="O221" s="25">
        <f t="array" ref="O221">IFERROR(INDEX(Unified_Matrix!$A:$ZZ,ROW(A218),MATCH("Req_Other",Unified_Matrix!$1:$1,0)),"")</f>
        <v/>
      </c>
    </row>
    <row r="222" ht="68.25" customHeight="1">
      <c r="H222" s="13">
        <f t="array" ref="H222">IFERROR(INDEX(Unified_Matrix!$A:$ZZ,ROW(A219),MATCH("Max "&amp;$H$3,Unified_Matrix!$1:$1,0)),"")</f>
        <v/>
      </c>
      <c r="I222" s="25">
        <f t="array" ref="I222">IFERROR(INDEX(Unified_Matrix!$A:$ZZ,ROW(A219),MATCH("Evolution_Name",Unified_Matrix!$1:$1,0)),"")</f>
        <v/>
      </c>
      <c r="J222" s="13">
        <f>IF(H222="","",IF(H222=0,"",IF(H222=$Z$32,1,IF(H222=$Z$33,2,IF(H222=$Z$34,3,"")))))</f>
        <v/>
      </c>
      <c r="K222" s="13">
        <f t="array" ref="K222">IFERROR(INDEX(Unified_Matrix!$A:$ZZ,ROW(A219),MATCH("+ OVR",Unified_Matrix!$1:$1,0)),"")</f>
        <v/>
      </c>
      <c r="L222" s="13">
        <f t="array" ref="L222">IFERROR(INDEX(Unified_Matrix!$A:$ZZ,ROW(A219),MATCH("Max OVR",Unified_Matrix!$1:$1,0)),"")</f>
        <v/>
      </c>
      <c r="M222" s="13">
        <f t="array" ref="M222">IFERROR(INDEX(Unified_Matrix!$A:$ZZ,ROW(A219),MATCH("Req_Position",Unified_Matrix!$1:$1,0)),"")</f>
        <v/>
      </c>
      <c r="N222" s="13">
        <f t="array" ref="N222">IFERROR(INDEX(Unified_Matrix!$A:$ZZ,ROW(A219),MATCH("Req_OVR_Max",Unified_Matrix!$1:$1,0)),"")</f>
        <v/>
      </c>
      <c r="O222" s="25">
        <f t="array" ref="O222">IFERROR(INDEX(Unified_Matrix!$A:$ZZ,ROW(A219),MATCH("Req_Other",Unified_Matrix!$1:$1,0)),"")</f>
        <v/>
      </c>
    </row>
    <row r="223" ht="68.25" customHeight="1">
      <c r="H223" s="13">
        <f t="array" ref="H223">IFERROR(INDEX(Unified_Matrix!$A:$ZZ,ROW(A220),MATCH("Max "&amp;$H$3,Unified_Matrix!$1:$1,0)),"")</f>
        <v/>
      </c>
      <c r="I223" s="25">
        <f t="array" ref="I223">IFERROR(INDEX(Unified_Matrix!$A:$ZZ,ROW(A220),MATCH("Evolution_Name",Unified_Matrix!$1:$1,0)),"")</f>
        <v/>
      </c>
      <c r="J223" s="13">
        <f>IF(H223="","",IF(H223=0,"",IF(H223=$Z$32,1,IF(H223=$Z$33,2,IF(H223=$Z$34,3,"")))))</f>
        <v/>
      </c>
      <c r="K223" s="13">
        <f t="array" ref="K223">IFERROR(INDEX(Unified_Matrix!$A:$ZZ,ROW(A220),MATCH("+ OVR",Unified_Matrix!$1:$1,0)),"")</f>
        <v/>
      </c>
      <c r="L223" s="13">
        <f t="array" ref="L223">IFERROR(INDEX(Unified_Matrix!$A:$ZZ,ROW(A220),MATCH("Max OVR",Unified_Matrix!$1:$1,0)),"")</f>
        <v/>
      </c>
      <c r="M223" s="13">
        <f t="array" ref="M223">IFERROR(INDEX(Unified_Matrix!$A:$ZZ,ROW(A220),MATCH("Req_Position",Unified_Matrix!$1:$1,0)),"")</f>
        <v/>
      </c>
      <c r="N223" s="13">
        <f t="array" ref="N223">IFERROR(INDEX(Unified_Matrix!$A:$ZZ,ROW(A220),MATCH("Req_OVR_Max",Unified_Matrix!$1:$1,0)),"")</f>
        <v/>
      </c>
      <c r="O223" s="25">
        <f t="array" ref="O223">IFERROR(INDEX(Unified_Matrix!$A:$ZZ,ROW(A220),MATCH("Req_Other",Unified_Matrix!$1:$1,0)),"")</f>
        <v/>
      </c>
    </row>
    <row r="224" ht="68.25" customHeight="1">
      <c r="H224" s="13">
        <f t="array" ref="H224">IFERROR(INDEX(Unified_Matrix!$A:$ZZ,ROW(A221),MATCH("Max "&amp;$H$3,Unified_Matrix!$1:$1,0)),"")</f>
        <v/>
      </c>
      <c r="I224" s="25">
        <f t="array" ref="I224">IFERROR(INDEX(Unified_Matrix!$A:$ZZ,ROW(A221),MATCH("Evolution_Name",Unified_Matrix!$1:$1,0)),"")</f>
        <v/>
      </c>
      <c r="J224" s="13">
        <f>IF(H224="","",IF(H224=0,"",IF(H224=$Z$32,1,IF(H224=$Z$33,2,IF(H224=$Z$34,3,"")))))</f>
        <v/>
      </c>
      <c r="K224" s="13">
        <f t="array" ref="K224">IFERROR(INDEX(Unified_Matrix!$A:$ZZ,ROW(A221),MATCH("+ OVR",Unified_Matrix!$1:$1,0)),"")</f>
        <v/>
      </c>
      <c r="L224" s="13">
        <f t="array" ref="L224">IFERROR(INDEX(Unified_Matrix!$A:$ZZ,ROW(A221),MATCH("Max OVR",Unified_Matrix!$1:$1,0)),"")</f>
        <v/>
      </c>
      <c r="M224" s="13">
        <f t="array" ref="M224">IFERROR(INDEX(Unified_Matrix!$A:$ZZ,ROW(A221),MATCH("Req_Position",Unified_Matrix!$1:$1,0)),"")</f>
        <v/>
      </c>
      <c r="N224" s="13">
        <f t="array" ref="N224">IFERROR(INDEX(Unified_Matrix!$A:$ZZ,ROW(A221),MATCH("Req_OVR_Max",Unified_Matrix!$1:$1,0)),"")</f>
        <v/>
      </c>
      <c r="O224" s="25">
        <f t="array" ref="O224">IFERROR(INDEX(Unified_Matrix!$A:$ZZ,ROW(A221),MATCH("Req_Other",Unified_Matrix!$1:$1,0)),"")</f>
        <v/>
      </c>
    </row>
    <row r="225" ht="68.25" customHeight="1">
      <c r="H225" s="13">
        <f t="array" ref="H225">IFERROR(INDEX(Unified_Matrix!$A:$ZZ,ROW(A222),MATCH("Max "&amp;$H$3,Unified_Matrix!$1:$1,0)),"")</f>
        <v/>
      </c>
      <c r="I225" s="25">
        <f t="array" ref="I225">IFERROR(INDEX(Unified_Matrix!$A:$ZZ,ROW(A222),MATCH("Evolution_Name",Unified_Matrix!$1:$1,0)),"")</f>
        <v/>
      </c>
      <c r="J225" s="13">
        <f>IF(H225="","",IF(H225=0,"",IF(H225=$Z$32,1,IF(H225=$Z$33,2,IF(H225=$Z$34,3,"")))))</f>
        <v/>
      </c>
      <c r="K225" s="13">
        <f t="array" ref="K225">IFERROR(INDEX(Unified_Matrix!$A:$ZZ,ROW(A222),MATCH("+ OVR",Unified_Matrix!$1:$1,0)),"")</f>
        <v/>
      </c>
      <c r="L225" s="13">
        <f t="array" ref="L225">IFERROR(INDEX(Unified_Matrix!$A:$ZZ,ROW(A222),MATCH("Max OVR",Unified_Matrix!$1:$1,0)),"")</f>
        <v/>
      </c>
      <c r="M225" s="13">
        <f t="array" ref="M225">IFERROR(INDEX(Unified_Matrix!$A:$ZZ,ROW(A222),MATCH("Req_Position",Unified_Matrix!$1:$1,0)),"")</f>
        <v/>
      </c>
      <c r="N225" s="13">
        <f t="array" ref="N225">IFERROR(INDEX(Unified_Matrix!$A:$ZZ,ROW(A222),MATCH("Req_OVR_Max",Unified_Matrix!$1:$1,0)),"")</f>
        <v/>
      </c>
      <c r="O225" s="25">
        <f t="array" ref="O225">IFERROR(INDEX(Unified_Matrix!$A:$ZZ,ROW(A222),MATCH("Req_Other",Unified_Matrix!$1:$1,0)),"")</f>
        <v/>
      </c>
    </row>
    <row r="226" ht="68.25" customHeight="1">
      <c r="H226" s="13">
        <f t="array" ref="H226">IFERROR(INDEX(Unified_Matrix!$A:$ZZ,ROW(A223),MATCH("Max "&amp;$H$3,Unified_Matrix!$1:$1,0)),"")</f>
        <v/>
      </c>
      <c r="I226" s="25">
        <f t="array" ref="I226">IFERROR(INDEX(Unified_Matrix!$A:$ZZ,ROW(A223),MATCH("Evolution_Name",Unified_Matrix!$1:$1,0)),"")</f>
        <v/>
      </c>
      <c r="J226" s="13">
        <f>IF(H226="","",IF(H226=0,"",IF(H226=$Z$32,1,IF(H226=$Z$33,2,IF(H226=$Z$34,3,"")))))</f>
        <v/>
      </c>
      <c r="K226" s="13">
        <f t="array" ref="K226">IFERROR(INDEX(Unified_Matrix!$A:$ZZ,ROW(A223),MATCH("+ OVR",Unified_Matrix!$1:$1,0)),"")</f>
        <v/>
      </c>
      <c r="L226" s="13">
        <f t="array" ref="L226">IFERROR(INDEX(Unified_Matrix!$A:$ZZ,ROW(A223),MATCH("Max OVR",Unified_Matrix!$1:$1,0)),"")</f>
        <v/>
      </c>
      <c r="M226" s="13">
        <f t="array" ref="M226">IFERROR(INDEX(Unified_Matrix!$A:$ZZ,ROW(A223),MATCH("Req_Position",Unified_Matrix!$1:$1,0)),"")</f>
        <v/>
      </c>
      <c r="N226" s="13">
        <f t="array" ref="N226">IFERROR(INDEX(Unified_Matrix!$A:$ZZ,ROW(A223),MATCH("Req_OVR_Max",Unified_Matrix!$1:$1,0)),"")</f>
        <v/>
      </c>
      <c r="O226" s="25">
        <f t="array" ref="O226">IFERROR(INDEX(Unified_Matrix!$A:$ZZ,ROW(A223),MATCH("Req_Other",Unified_Matrix!$1:$1,0)),"")</f>
        <v/>
      </c>
    </row>
    <row r="227" ht="68.25" customHeight="1">
      <c r="H227" s="13">
        <f t="array" ref="H227">IFERROR(INDEX(Unified_Matrix!$A:$ZZ,ROW(A224),MATCH("Max "&amp;$H$3,Unified_Matrix!$1:$1,0)),"")</f>
        <v/>
      </c>
      <c r="I227" s="25">
        <f t="array" ref="I227">IFERROR(INDEX(Unified_Matrix!$A:$ZZ,ROW(A224),MATCH("Evolution_Name",Unified_Matrix!$1:$1,0)),"")</f>
        <v/>
      </c>
      <c r="J227" s="13">
        <f>IF(H227="","",IF(H227=0,"",IF(H227=$Z$32,1,IF(H227=$Z$33,2,IF(H227=$Z$34,3,"")))))</f>
        <v/>
      </c>
      <c r="K227" s="13">
        <f t="array" ref="K227">IFERROR(INDEX(Unified_Matrix!$A:$ZZ,ROW(A224),MATCH("+ OVR",Unified_Matrix!$1:$1,0)),"")</f>
        <v/>
      </c>
      <c r="L227" s="13">
        <f t="array" ref="L227">IFERROR(INDEX(Unified_Matrix!$A:$ZZ,ROW(A224),MATCH("Max OVR",Unified_Matrix!$1:$1,0)),"")</f>
        <v/>
      </c>
      <c r="M227" s="13">
        <f t="array" ref="M227">IFERROR(INDEX(Unified_Matrix!$A:$ZZ,ROW(A224),MATCH("Req_Position",Unified_Matrix!$1:$1,0)),"")</f>
        <v/>
      </c>
      <c r="N227" s="13">
        <f t="array" ref="N227">IFERROR(INDEX(Unified_Matrix!$A:$ZZ,ROW(A224),MATCH("Req_OVR_Max",Unified_Matrix!$1:$1,0)),"")</f>
        <v/>
      </c>
      <c r="O227" s="25">
        <f t="array" ref="O227">IFERROR(INDEX(Unified_Matrix!$A:$ZZ,ROW(A224),MATCH("Req_Other",Unified_Matrix!$1:$1,0)),"")</f>
        <v/>
      </c>
    </row>
    <row r="228" ht="68.25" customHeight="1">
      <c r="H228" s="13">
        <f t="array" ref="H228">IFERROR(INDEX(Unified_Matrix!$A:$ZZ,ROW(A225),MATCH("Max "&amp;$H$3,Unified_Matrix!$1:$1,0)),"")</f>
        <v/>
      </c>
      <c r="I228" s="25">
        <f t="array" ref="I228">IFERROR(INDEX(Unified_Matrix!$A:$ZZ,ROW(A225),MATCH("Evolution_Name",Unified_Matrix!$1:$1,0)),"")</f>
        <v/>
      </c>
      <c r="J228" s="13">
        <f>IF(H228="","",IF(H228=0,"",IF(H228=$Z$32,1,IF(H228=$Z$33,2,IF(H228=$Z$34,3,"")))))</f>
        <v/>
      </c>
      <c r="K228" s="13">
        <f t="array" ref="K228">IFERROR(INDEX(Unified_Matrix!$A:$ZZ,ROW(A225),MATCH("+ OVR",Unified_Matrix!$1:$1,0)),"")</f>
        <v/>
      </c>
      <c r="L228" s="13">
        <f t="array" ref="L228">IFERROR(INDEX(Unified_Matrix!$A:$ZZ,ROW(A225),MATCH("Max OVR",Unified_Matrix!$1:$1,0)),"")</f>
        <v/>
      </c>
      <c r="M228" s="13">
        <f t="array" ref="M228">IFERROR(INDEX(Unified_Matrix!$A:$ZZ,ROW(A225),MATCH("Req_Position",Unified_Matrix!$1:$1,0)),"")</f>
        <v/>
      </c>
      <c r="N228" s="13">
        <f t="array" ref="N228">IFERROR(INDEX(Unified_Matrix!$A:$ZZ,ROW(A225),MATCH("Req_OVR_Max",Unified_Matrix!$1:$1,0)),"")</f>
        <v/>
      </c>
      <c r="O228" s="25">
        <f t="array" ref="O228">IFERROR(INDEX(Unified_Matrix!$A:$ZZ,ROW(A225),MATCH("Req_Other",Unified_Matrix!$1:$1,0)),"")</f>
        <v/>
      </c>
    </row>
    <row r="229" ht="68.25" customHeight="1">
      <c r="H229" s="13">
        <f t="array" ref="H229">IFERROR(INDEX(Unified_Matrix!$A:$ZZ,ROW(A226),MATCH("Max "&amp;$H$3,Unified_Matrix!$1:$1,0)),"")</f>
        <v/>
      </c>
      <c r="I229" s="25">
        <f t="array" ref="I229">IFERROR(INDEX(Unified_Matrix!$A:$ZZ,ROW(A226),MATCH("Evolution_Name",Unified_Matrix!$1:$1,0)),"")</f>
        <v/>
      </c>
      <c r="J229" s="13">
        <f>IF(H229="","",IF(H229=0,"",IF(H229=$Z$32,1,IF(H229=$Z$33,2,IF(H229=$Z$34,3,"")))))</f>
        <v/>
      </c>
      <c r="K229" s="13">
        <f t="array" ref="K229">IFERROR(INDEX(Unified_Matrix!$A:$ZZ,ROW(A226),MATCH("+ OVR",Unified_Matrix!$1:$1,0)),"")</f>
        <v/>
      </c>
      <c r="L229" s="13">
        <f t="array" ref="L229">IFERROR(INDEX(Unified_Matrix!$A:$ZZ,ROW(A226),MATCH("Max OVR",Unified_Matrix!$1:$1,0)),"")</f>
        <v/>
      </c>
      <c r="M229" s="13">
        <f t="array" ref="M229">IFERROR(INDEX(Unified_Matrix!$A:$ZZ,ROW(A226),MATCH("Req_Position",Unified_Matrix!$1:$1,0)),"")</f>
        <v/>
      </c>
      <c r="N229" s="13">
        <f t="array" ref="N229">IFERROR(INDEX(Unified_Matrix!$A:$ZZ,ROW(A226),MATCH("Req_OVR_Max",Unified_Matrix!$1:$1,0)),"")</f>
        <v/>
      </c>
      <c r="O229" s="25">
        <f t="array" ref="O229">IFERROR(INDEX(Unified_Matrix!$A:$ZZ,ROW(A226),MATCH("Req_Other",Unified_Matrix!$1:$1,0)),"")</f>
        <v/>
      </c>
    </row>
    <row r="230" ht="68.25" customHeight="1">
      <c r="H230" s="13">
        <f t="array" ref="H230">IFERROR(INDEX(Unified_Matrix!$A:$ZZ,ROW(A227),MATCH("Max "&amp;$H$3,Unified_Matrix!$1:$1,0)),"")</f>
        <v/>
      </c>
      <c r="I230" s="25">
        <f t="array" ref="I230">IFERROR(INDEX(Unified_Matrix!$A:$ZZ,ROW(A227),MATCH("Evolution_Name",Unified_Matrix!$1:$1,0)),"")</f>
        <v/>
      </c>
      <c r="J230" s="13">
        <f>IF(H230="","",IF(H230=0,"",IF(H230=$Z$32,1,IF(H230=$Z$33,2,IF(H230=$Z$34,3,"")))))</f>
        <v/>
      </c>
      <c r="K230" s="13">
        <f t="array" ref="K230">IFERROR(INDEX(Unified_Matrix!$A:$ZZ,ROW(A227),MATCH("+ OVR",Unified_Matrix!$1:$1,0)),"")</f>
        <v/>
      </c>
      <c r="L230" s="13">
        <f t="array" ref="L230">IFERROR(INDEX(Unified_Matrix!$A:$ZZ,ROW(A227),MATCH("Max OVR",Unified_Matrix!$1:$1,0)),"")</f>
        <v/>
      </c>
      <c r="M230" s="13">
        <f t="array" ref="M230">IFERROR(INDEX(Unified_Matrix!$A:$ZZ,ROW(A227),MATCH("Req_Position",Unified_Matrix!$1:$1,0)),"")</f>
        <v/>
      </c>
      <c r="N230" s="13">
        <f t="array" ref="N230">IFERROR(INDEX(Unified_Matrix!$A:$ZZ,ROW(A227),MATCH("Req_OVR_Max",Unified_Matrix!$1:$1,0)),"")</f>
        <v/>
      </c>
      <c r="O230" s="25">
        <f t="array" ref="O230">IFERROR(INDEX(Unified_Matrix!$A:$ZZ,ROW(A227),MATCH("Req_Other",Unified_Matrix!$1:$1,0)),"")</f>
        <v/>
      </c>
    </row>
    <row r="231" ht="68.25" customHeight="1">
      <c r="H231" s="13">
        <f t="array" ref="H231">IFERROR(INDEX(Unified_Matrix!$A:$ZZ,ROW(A228),MATCH("Max "&amp;$H$3,Unified_Matrix!$1:$1,0)),"")</f>
        <v/>
      </c>
      <c r="I231" s="25">
        <f t="array" ref="I231">IFERROR(INDEX(Unified_Matrix!$A:$ZZ,ROW(A228),MATCH("Evolution_Name",Unified_Matrix!$1:$1,0)),"")</f>
        <v/>
      </c>
      <c r="J231" s="13">
        <f>IF(H231="","",IF(H231=0,"",IF(H231=$Z$32,1,IF(H231=$Z$33,2,IF(H231=$Z$34,3,"")))))</f>
        <v/>
      </c>
      <c r="K231" s="13">
        <f t="array" ref="K231">IFERROR(INDEX(Unified_Matrix!$A:$ZZ,ROW(A228),MATCH("+ OVR",Unified_Matrix!$1:$1,0)),"")</f>
        <v/>
      </c>
      <c r="L231" s="13">
        <f t="array" ref="L231">IFERROR(INDEX(Unified_Matrix!$A:$ZZ,ROW(A228),MATCH("Max OVR",Unified_Matrix!$1:$1,0)),"")</f>
        <v/>
      </c>
      <c r="M231" s="13">
        <f t="array" ref="M231">IFERROR(INDEX(Unified_Matrix!$A:$ZZ,ROW(A228),MATCH("Req_Position",Unified_Matrix!$1:$1,0)),"")</f>
        <v/>
      </c>
      <c r="N231" s="13">
        <f t="array" ref="N231">IFERROR(INDEX(Unified_Matrix!$A:$ZZ,ROW(A228),MATCH("Req_OVR_Max",Unified_Matrix!$1:$1,0)),"")</f>
        <v/>
      </c>
      <c r="O231" s="25">
        <f t="array" ref="O231">IFERROR(INDEX(Unified_Matrix!$A:$ZZ,ROW(A228),MATCH("Req_Other",Unified_Matrix!$1:$1,0)),"")</f>
        <v/>
      </c>
    </row>
    <row r="232" ht="68.25" customHeight="1">
      <c r="H232" s="13">
        <f t="array" ref="H232">IFERROR(INDEX(Unified_Matrix!$A:$ZZ,ROW(A229),MATCH("Max "&amp;$H$3,Unified_Matrix!$1:$1,0)),"")</f>
        <v/>
      </c>
      <c r="I232" s="25">
        <f t="array" ref="I232">IFERROR(INDEX(Unified_Matrix!$A:$ZZ,ROW(A229),MATCH("Evolution_Name",Unified_Matrix!$1:$1,0)),"")</f>
        <v/>
      </c>
      <c r="J232" s="13">
        <f>IF(H232="","",IF(H232=0,"",IF(H232=$Z$32,1,IF(H232=$Z$33,2,IF(H232=$Z$34,3,"")))))</f>
        <v/>
      </c>
      <c r="K232" s="13">
        <f t="array" ref="K232">IFERROR(INDEX(Unified_Matrix!$A:$ZZ,ROW(A229),MATCH("+ OVR",Unified_Matrix!$1:$1,0)),"")</f>
        <v/>
      </c>
      <c r="L232" s="13">
        <f t="array" ref="L232">IFERROR(INDEX(Unified_Matrix!$A:$ZZ,ROW(A229),MATCH("Max OVR",Unified_Matrix!$1:$1,0)),"")</f>
        <v/>
      </c>
      <c r="M232" s="13">
        <f t="array" ref="M232">IFERROR(INDEX(Unified_Matrix!$A:$ZZ,ROW(A229),MATCH("Req_Position",Unified_Matrix!$1:$1,0)),"")</f>
        <v/>
      </c>
      <c r="N232" s="13">
        <f t="array" ref="N232">IFERROR(INDEX(Unified_Matrix!$A:$ZZ,ROW(A229),MATCH("Req_OVR_Max",Unified_Matrix!$1:$1,0)),"")</f>
        <v/>
      </c>
      <c r="O232" s="25">
        <f t="array" ref="O232">IFERROR(INDEX(Unified_Matrix!$A:$ZZ,ROW(A229),MATCH("Req_Other",Unified_Matrix!$1:$1,0)),"")</f>
        <v/>
      </c>
    </row>
    <row r="233" ht="68.25" customHeight="1">
      <c r="H233" s="13">
        <f t="array" ref="H233">IFERROR(INDEX(Unified_Matrix!$A:$ZZ,ROW(A230),MATCH("Max "&amp;$H$3,Unified_Matrix!$1:$1,0)),"")</f>
        <v/>
      </c>
      <c r="I233" s="25">
        <f t="array" ref="I233">IFERROR(INDEX(Unified_Matrix!$A:$ZZ,ROW(A230),MATCH("Evolution_Name",Unified_Matrix!$1:$1,0)),"")</f>
        <v/>
      </c>
      <c r="J233" s="13">
        <f>IF(H233="","",IF(H233=0,"",IF(H233=$Z$32,1,IF(H233=$Z$33,2,IF(H233=$Z$34,3,"")))))</f>
        <v/>
      </c>
      <c r="K233" s="13">
        <f t="array" ref="K233">IFERROR(INDEX(Unified_Matrix!$A:$ZZ,ROW(A230),MATCH("+ OVR",Unified_Matrix!$1:$1,0)),"")</f>
        <v/>
      </c>
      <c r="L233" s="13">
        <f t="array" ref="L233">IFERROR(INDEX(Unified_Matrix!$A:$ZZ,ROW(A230),MATCH("Max OVR",Unified_Matrix!$1:$1,0)),"")</f>
        <v/>
      </c>
      <c r="M233" s="13">
        <f t="array" ref="M233">IFERROR(INDEX(Unified_Matrix!$A:$ZZ,ROW(A230),MATCH("Req_Position",Unified_Matrix!$1:$1,0)),"")</f>
        <v/>
      </c>
      <c r="N233" s="13">
        <f t="array" ref="N233">IFERROR(INDEX(Unified_Matrix!$A:$ZZ,ROW(A230),MATCH("Req_OVR_Max",Unified_Matrix!$1:$1,0)),"")</f>
        <v/>
      </c>
      <c r="O233" s="25">
        <f t="array" ref="O233">IFERROR(INDEX(Unified_Matrix!$A:$ZZ,ROW(A230),MATCH("Req_Other",Unified_Matrix!$1:$1,0)),"")</f>
        <v/>
      </c>
    </row>
    <row r="234" ht="68.25" customHeight="1">
      <c r="H234" s="13">
        <f t="array" ref="H234">IFERROR(INDEX(Unified_Matrix!$A:$ZZ,ROW(A231),MATCH("Max "&amp;$H$3,Unified_Matrix!$1:$1,0)),"")</f>
        <v/>
      </c>
      <c r="I234" s="25">
        <f t="array" ref="I234">IFERROR(INDEX(Unified_Matrix!$A:$ZZ,ROW(A231),MATCH("Evolution_Name",Unified_Matrix!$1:$1,0)),"")</f>
        <v/>
      </c>
      <c r="J234" s="13">
        <f>IF(H234="","",IF(H234=0,"",IF(H234=$Z$32,1,IF(H234=$Z$33,2,IF(H234=$Z$34,3,"")))))</f>
        <v/>
      </c>
      <c r="K234" s="13">
        <f t="array" ref="K234">IFERROR(INDEX(Unified_Matrix!$A:$ZZ,ROW(A231),MATCH("+ OVR",Unified_Matrix!$1:$1,0)),"")</f>
        <v/>
      </c>
      <c r="L234" s="13">
        <f t="array" ref="L234">IFERROR(INDEX(Unified_Matrix!$A:$ZZ,ROW(A231),MATCH("Max OVR",Unified_Matrix!$1:$1,0)),"")</f>
        <v/>
      </c>
      <c r="M234" s="13">
        <f t="array" ref="M234">IFERROR(INDEX(Unified_Matrix!$A:$ZZ,ROW(A231),MATCH("Req_Position",Unified_Matrix!$1:$1,0)),"")</f>
        <v/>
      </c>
      <c r="N234" s="13">
        <f t="array" ref="N234">IFERROR(INDEX(Unified_Matrix!$A:$ZZ,ROW(A231),MATCH("Req_OVR_Max",Unified_Matrix!$1:$1,0)),"")</f>
        <v/>
      </c>
      <c r="O234" s="25">
        <f t="array" ref="O234">IFERROR(INDEX(Unified_Matrix!$A:$ZZ,ROW(A231),MATCH("Req_Other",Unified_Matrix!$1:$1,0)),"")</f>
        <v/>
      </c>
    </row>
    <row r="235" ht="68.25" customHeight="1">
      <c r="H235" s="13">
        <f t="array" ref="H235">IFERROR(INDEX(Unified_Matrix!$A:$ZZ,ROW(A232),MATCH("Max "&amp;$H$3,Unified_Matrix!$1:$1,0)),"")</f>
        <v/>
      </c>
      <c r="I235" s="25">
        <f t="array" ref="I235">IFERROR(INDEX(Unified_Matrix!$A:$ZZ,ROW(A232),MATCH("Evolution_Name",Unified_Matrix!$1:$1,0)),"")</f>
        <v/>
      </c>
      <c r="J235" s="13">
        <f>IF(H235="","",IF(H235=0,"",IF(H235=$Z$32,1,IF(H235=$Z$33,2,IF(H235=$Z$34,3,"")))))</f>
        <v/>
      </c>
      <c r="K235" s="13">
        <f t="array" ref="K235">IFERROR(INDEX(Unified_Matrix!$A:$ZZ,ROW(A232),MATCH("+ OVR",Unified_Matrix!$1:$1,0)),"")</f>
        <v/>
      </c>
      <c r="L235" s="13">
        <f t="array" ref="L235">IFERROR(INDEX(Unified_Matrix!$A:$ZZ,ROW(A232),MATCH("Max OVR",Unified_Matrix!$1:$1,0)),"")</f>
        <v/>
      </c>
      <c r="M235" s="13">
        <f t="array" ref="M235">IFERROR(INDEX(Unified_Matrix!$A:$ZZ,ROW(A232),MATCH("Req_Position",Unified_Matrix!$1:$1,0)),"")</f>
        <v/>
      </c>
      <c r="N235" s="13">
        <f t="array" ref="N235">IFERROR(INDEX(Unified_Matrix!$A:$ZZ,ROW(A232),MATCH("Req_OVR_Max",Unified_Matrix!$1:$1,0)),"")</f>
        <v/>
      </c>
      <c r="O235" s="25">
        <f t="array" ref="O235">IFERROR(INDEX(Unified_Matrix!$A:$ZZ,ROW(A232),MATCH("Req_Other",Unified_Matrix!$1:$1,0)),"")</f>
        <v/>
      </c>
    </row>
    <row r="236" ht="68.25" customHeight="1">
      <c r="H236" s="13">
        <f t="array" ref="H236">IFERROR(INDEX(Unified_Matrix!$A:$ZZ,ROW(A233),MATCH("Max "&amp;$H$3,Unified_Matrix!$1:$1,0)),"")</f>
        <v/>
      </c>
      <c r="I236" s="25">
        <f t="array" ref="I236">IFERROR(INDEX(Unified_Matrix!$A:$ZZ,ROW(A233),MATCH("Evolution_Name",Unified_Matrix!$1:$1,0)),"")</f>
        <v/>
      </c>
      <c r="J236" s="13">
        <f>IF(H236="","",IF(H236=0,"",IF(H236=$Z$32,1,IF(H236=$Z$33,2,IF(H236=$Z$34,3,"")))))</f>
        <v/>
      </c>
      <c r="K236" s="13">
        <f t="array" ref="K236">IFERROR(INDEX(Unified_Matrix!$A:$ZZ,ROW(A233),MATCH("+ OVR",Unified_Matrix!$1:$1,0)),"")</f>
        <v/>
      </c>
      <c r="L236" s="13">
        <f t="array" ref="L236">IFERROR(INDEX(Unified_Matrix!$A:$ZZ,ROW(A233),MATCH("Max OVR",Unified_Matrix!$1:$1,0)),"")</f>
        <v/>
      </c>
      <c r="M236" s="13">
        <f t="array" ref="M236">IFERROR(INDEX(Unified_Matrix!$A:$ZZ,ROW(A233),MATCH("Req_Position",Unified_Matrix!$1:$1,0)),"")</f>
        <v/>
      </c>
      <c r="N236" s="13">
        <f t="array" ref="N236">IFERROR(INDEX(Unified_Matrix!$A:$ZZ,ROW(A233),MATCH("Req_OVR_Max",Unified_Matrix!$1:$1,0)),"")</f>
        <v/>
      </c>
      <c r="O236" s="25">
        <f t="array" ref="O236">IFERROR(INDEX(Unified_Matrix!$A:$ZZ,ROW(A233),MATCH("Req_Other",Unified_Matrix!$1:$1,0)),"")</f>
        <v/>
      </c>
    </row>
    <row r="237" ht="68.25" customHeight="1">
      <c r="H237" s="13">
        <f t="array" ref="H237">IFERROR(INDEX(Unified_Matrix!$A:$ZZ,ROW(A234),MATCH("Max "&amp;$H$3,Unified_Matrix!$1:$1,0)),"")</f>
        <v/>
      </c>
      <c r="I237" s="25">
        <f t="array" ref="I237">IFERROR(INDEX(Unified_Matrix!$A:$ZZ,ROW(A234),MATCH("Evolution_Name",Unified_Matrix!$1:$1,0)),"")</f>
        <v/>
      </c>
      <c r="J237" s="13">
        <f>IF(H237="","",IF(H237=0,"",IF(H237=$Z$32,1,IF(H237=$Z$33,2,IF(H237=$Z$34,3,"")))))</f>
        <v/>
      </c>
      <c r="K237" s="13">
        <f t="array" ref="K237">IFERROR(INDEX(Unified_Matrix!$A:$ZZ,ROW(A234),MATCH("+ OVR",Unified_Matrix!$1:$1,0)),"")</f>
        <v/>
      </c>
      <c r="L237" s="13">
        <f t="array" ref="L237">IFERROR(INDEX(Unified_Matrix!$A:$ZZ,ROW(A234),MATCH("Max OVR",Unified_Matrix!$1:$1,0)),"")</f>
        <v/>
      </c>
      <c r="M237" s="13">
        <f t="array" ref="M237">IFERROR(INDEX(Unified_Matrix!$A:$ZZ,ROW(A234),MATCH("Req_Position",Unified_Matrix!$1:$1,0)),"")</f>
        <v/>
      </c>
      <c r="N237" s="13">
        <f t="array" ref="N237">IFERROR(INDEX(Unified_Matrix!$A:$ZZ,ROW(A234),MATCH("Req_OVR_Max",Unified_Matrix!$1:$1,0)),"")</f>
        <v/>
      </c>
      <c r="O237" s="25">
        <f t="array" ref="O237">IFERROR(INDEX(Unified_Matrix!$A:$ZZ,ROW(A234),MATCH("Req_Other",Unified_Matrix!$1:$1,0)),"")</f>
        <v/>
      </c>
    </row>
    <row r="238" ht="68.25" customHeight="1">
      <c r="H238" s="13">
        <f t="array" ref="H238">IFERROR(INDEX(Unified_Matrix!$A:$ZZ,ROW(A235),MATCH("Max "&amp;$H$3,Unified_Matrix!$1:$1,0)),"")</f>
        <v/>
      </c>
      <c r="I238" s="25">
        <f t="array" ref="I238">IFERROR(INDEX(Unified_Matrix!$A:$ZZ,ROW(A235),MATCH("Evolution_Name",Unified_Matrix!$1:$1,0)),"")</f>
        <v/>
      </c>
      <c r="J238" s="13">
        <f>IF(H238="","",IF(H238=0,"",IF(H238=$Z$32,1,IF(H238=$Z$33,2,IF(H238=$Z$34,3,"")))))</f>
        <v/>
      </c>
      <c r="K238" s="13">
        <f t="array" ref="K238">IFERROR(INDEX(Unified_Matrix!$A:$ZZ,ROW(A235),MATCH("+ OVR",Unified_Matrix!$1:$1,0)),"")</f>
        <v/>
      </c>
      <c r="L238" s="13">
        <f t="array" ref="L238">IFERROR(INDEX(Unified_Matrix!$A:$ZZ,ROW(A235),MATCH("Max OVR",Unified_Matrix!$1:$1,0)),"")</f>
        <v/>
      </c>
      <c r="M238" s="13">
        <f t="array" ref="M238">IFERROR(INDEX(Unified_Matrix!$A:$ZZ,ROW(A235),MATCH("Req_Position",Unified_Matrix!$1:$1,0)),"")</f>
        <v/>
      </c>
      <c r="N238" s="13">
        <f t="array" ref="N238">IFERROR(INDEX(Unified_Matrix!$A:$ZZ,ROW(A235),MATCH("Req_OVR_Max",Unified_Matrix!$1:$1,0)),"")</f>
        <v/>
      </c>
      <c r="O238" s="25">
        <f t="array" ref="O238">IFERROR(INDEX(Unified_Matrix!$A:$ZZ,ROW(A235),MATCH("Req_Other",Unified_Matrix!$1:$1,0)),"")</f>
        <v/>
      </c>
    </row>
    <row r="239" ht="68.25" customHeight="1">
      <c r="H239" s="13">
        <f t="array" ref="H239">IFERROR(INDEX(Unified_Matrix!$A:$ZZ,ROW(A236),MATCH("Max "&amp;$H$3,Unified_Matrix!$1:$1,0)),"")</f>
        <v/>
      </c>
      <c r="I239" s="25">
        <f t="array" ref="I239">IFERROR(INDEX(Unified_Matrix!$A:$ZZ,ROW(A236),MATCH("Evolution_Name",Unified_Matrix!$1:$1,0)),"")</f>
        <v/>
      </c>
      <c r="J239" s="13">
        <f>IF(H239="","",IF(H239=0,"",IF(H239=$Z$32,1,IF(H239=$Z$33,2,IF(H239=$Z$34,3,"")))))</f>
        <v/>
      </c>
      <c r="K239" s="13">
        <f t="array" ref="K239">IFERROR(INDEX(Unified_Matrix!$A:$ZZ,ROW(A236),MATCH("+ OVR",Unified_Matrix!$1:$1,0)),"")</f>
        <v/>
      </c>
      <c r="L239" s="13">
        <f t="array" ref="L239">IFERROR(INDEX(Unified_Matrix!$A:$ZZ,ROW(A236),MATCH("Max OVR",Unified_Matrix!$1:$1,0)),"")</f>
        <v/>
      </c>
      <c r="M239" s="13">
        <f t="array" ref="M239">IFERROR(INDEX(Unified_Matrix!$A:$ZZ,ROW(A236),MATCH("Req_Position",Unified_Matrix!$1:$1,0)),"")</f>
        <v/>
      </c>
      <c r="N239" s="13">
        <f t="array" ref="N239">IFERROR(INDEX(Unified_Matrix!$A:$ZZ,ROW(A236),MATCH("Req_OVR_Max",Unified_Matrix!$1:$1,0)),"")</f>
        <v/>
      </c>
      <c r="O239" s="25">
        <f t="array" ref="O239">IFERROR(INDEX(Unified_Matrix!$A:$ZZ,ROW(A236),MATCH("Req_Other",Unified_Matrix!$1:$1,0)),"")</f>
        <v/>
      </c>
    </row>
    <row r="240" ht="68.25" customHeight="1">
      <c r="H240" s="13">
        <f t="array" ref="H240">IFERROR(INDEX(Unified_Matrix!$A:$ZZ,ROW(A237),MATCH("Max "&amp;$H$3,Unified_Matrix!$1:$1,0)),"")</f>
        <v/>
      </c>
      <c r="I240" s="25">
        <f t="array" ref="I240">IFERROR(INDEX(Unified_Matrix!$A:$ZZ,ROW(A237),MATCH("Evolution_Name",Unified_Matrix!$1:$1,0)),"")</f>
        <v/>
      </c>
      <c r="J240" s="13">
        <f>IF(H240="","",IF(H240=0,"",IF(H240=$Z$32,1,IF(H240=$Z$33,2,IF(H240=$Z$34,3,"")))))</f>
        <v/>
      </c>
      <c r="K240" s="13">
        <f t="array" ref="K240">IFERROR(INDEX(Unified_Matrix!$A:$ZZ,ROW(A237),MATCH("+ OVR",Unified_Matrix!$1:$1,0)),"")</f>
        <v/>
      </c>
      <c r="L240" s="13">
        <f t="array" ref="L240">IFERROR(INDEX(Unified_Matrix!$A:$ZZ,ROW(A237),MATCH("Max OVR",Unified_Matrix!$1:$1,0)),"")</f>
        <v/>
      </c>
      <c r="M240" s="13">
        <f t="array" ref="M240">IFERROR(INDEX(Unified_Matrix!$A:$ZZ,ROW(A237),MATCH("Req_Position",Unified_Matrix!$1:$1,0)),"")</f>
        <v/>
      </c>
      <c r="N240" s="13">
        <f t="array" ref="N240">IFERROR(INDEX(Unified_Matrix!$A:$ZZ,ROW(A237),MATCH("Req_OVR_Max",Unified_Matrix!$1:$1,0)),"")</f>
        <v/>
      </c>
      <c r="O240" s="25">
        <f t="array" ref="O240">IFERROR(INDEX(Unified_Matrix!$A:$ZZ,ROW(A237),MATCH("Req_Other",Unified_Matrix!$1:$1,0)),"")</f>
        <v/>
      </c>
    </row>
    <row r="241" ht="68.25" customHeight="1">
      <c r="H241" s="13">
        <f t="array" ref="H241">IFERROR(INDEX(Unified_Matrix!$A:$ZZ,ROW(A238),MATCH("Max "&amp;$H$3,Unified_Matrix!$1:$1,0)),"")</f>
        <v/>
      </c>
      <c r="I241" s="25">
        <f t="array" ref="I241">IFERROR(INDEX(Unified_Matrix!$A:$ZZ,ROW(A238),MATCH("Evolution_Name",Unified_Matrix!$1:$1,0)),"")</f>
        <v/>
      </c>
      <c r="J241" s="13">
        <f>IF(H241="","",IF(H241=0,"",IF(H241=$Z$32,1,IF(H241=$Z$33,2,IF(H241=$Z$34,3,"")))))</f>
        <v/>
      </c>
      <c r="K241" s="13">
        <f t="array" ref="K241">IFERROR(INDEX(Unified_Matrix!$A:$ZZ,ROW(A238),MATCH("+ OVR",Unified_Matrix!$1:$1,0)),"")</f>
        <v/>
      </c>
      <c r="L241" s="13">
        <f t="array" ref="L241">IFERROR(INDEX(Unified_Matrix!$A:$ZZ,ROW(A238),MATCH("Max OVR",Unified_Matrix!$1:$1,0)),"")</f>
        <v/>
      </c>
      <c r="M241" s="13">
        <f t="array" ref="M241">IFERROR(INDEX(Unified_Matrix!$A:$ZZ,ROW(A238),MATCH("Req_Position",Unified_Matrix!$1:$1,0)),"")</f>
        <v/>
      </c>
      <c r="N241" s="13">
        <f t="array" ref="N241">IFERROR(INDEX(Unified_Matrix!$A:$ZZ,ROW(A238),MATCH("Req_OVR_Max",Unified_Matrix!$1:$1,0)),"")</f>
        <v/>
      </c>
      <c r="O241" s="25">
        <f t="array" ref="O241">IFERROR(INDEX(Unified_Matrix!$A:$ZZ,ROW(A238),MATCH("Req_Other",Unified_Matrix!$1:$1,0)),"")</f>
        <v/>
      </c>
    </row>
    <row r="242" ht="68.25" customHeight="1">
      <c r="H242" s="13">
        <f t="array" ref="H242">IFERROR(INDEX(Unified_Matrix!$A:$ZZ,ROW(A239),MATCH("Max "&amp;$H$3,Unified_Matrix!$1:$1,0)),"")</f>
        <v/>
      </c>
      <c r="I242" s="25">
        <f t="array" ref="I242">IFERROR(INDEX(Unified_Matrix!$A:$ZZ,ROW(A239),MATCH("Evolution_Name",Unified_Matrix!$1:$1,0)),"")</f>
        <v/>
      </c>
      <c r="J242" s="13">
        <f>IF(H242="","",IF(H242=0,"",IF(H242=$Z$32,1,IF(H242=$Z$33,2,IF(H242=$Z$34,3,"")))))</f>
        <v/>
      </c>
      <c r="K242" s="13">
        <f t="array" ref="K242">IFERROR(INDEX(Unified_Matrix!$A:$ZZ,ROW(A239),MATCH("+ OVR",Unified_Matrix!$1:$1,0)),"")</f>
        <v/>
      </c>
      <c r="L242" s="13">
        <f t="array" ref="L242">IFERROR(INDEX(Unified_Matrix!$A:$ZZ,ROW(A239),MATCH("Max OVR",Unified_Matrix!$1:$1,0)),"")</f>
        <v/>
      </c>
      <c r="M242" s="13">
        <f t="array" ref="M242">IFERROR(INDEX(Unified_Matrix!$A:$ZZ,ROW(A239),MATCH("Req_Position",Unified_Matrix!$1:$1,0)),"")</f>
        <v/>
      </c>
      <c r="N242" s="13">
        <f t="array" ref="N242">IFERROR(INDEX(Unified_Matrix!$A:$ZZ,ROW(A239),MATCH("Req_OVR_Max",Unified_Matrix!$1:$1,0)),"")</f>
        <v/>
      </c>
      <c r="O242" s="25">
        <f t="array" ref="O242">IFERROR(INDEX(Unified_Matrix!$A:$ZZ,ROW(A239),MATCH("Req_Other",Unified_Matrix!$1:$1,0)),"")</f>
        <v/>
      </c>
    </row>
    <row r="243" ht="68.25" customHeight="1">
      <c r="H243" s="13">
        <f t="array" ref="H243">IFERROR(INDEX(Unified_Matrix!$A:$ZZ,ROW(A240),MATCH("Max "&amp;$H$3,Unified_Matrix!$1:$1,0)),"")</f>
        <v/>
      </c>
      <c r="I243" s="25">
        <f t="array" ref="I243">IFERROR(INDEX(Unified_Matrix!$A:$ZZ,ROW(A240),MATCH("Evolution_Name",Unified_Matrix!$1:$1,0)),"")</f>
        <v/>
      </c>
      <c r="J243" s="13">
        <f>IF(H243="","",IF(H243=0,"",IF(H243=$Z$32,1,IF(H243=$Z$33,2,IF(H243=$Z$34,3,"")))))</f>
        <v/>
      </c>
      <c r="K243" s="13">
        <f t="array" ref="K243">IFERROR(INDEX(Unified_Matrix!$A:$ZZ,ROW(A240),MATCH("+ OVR",Unified_Matrix!$1:$1,0)),"")</f>
        <v/>
      </c>
      <c r="L243" s="13">
        <f t="array" ref="L243">IFERROR(INDEX(Unified_Matrix!$A:$ZZ,ROW(A240),MATCH("Max OVR",Unified_Matrix!$1:$1,0)),"")</f>
        <v/>
      </c>
      <c r="M243" s="13">
        <f t="array" ref="M243">IFERROR(INDEX(Unified_Matrix!$A:$ZZ,ROW(A240),MATCH("Req_Position",Unified_Matrix!$1:$1,0)),"")</f>
        <v/>
      </c>
      <c r="N243" s="13">
        <f t="array" ref="N243">IFERROR(INDEX(Unified_Matrix!$A:$ZZ,ROW(A240),MATCH("Req_OVR_Max",Unified_Matrix!$1:$1,0)),"")</f>
        <v/>
      </c>
      <c r="O243" s="25">
        <f t="array" ref="O243">IFERROR(INDEX(Unified_Matrix!$A:$ZZ,ROW(A240),MATCH("Req_Other",Unified_Matrix!$1:$1,0)),"")</f>
        <v/>
      </c>
    </row>
    <row r="244" ht="68.25" customHeight="1">
      <c r="H244" s="13">
        <f t="array" ref="H244">IFERROR(INDEX(Unified_Matrix!$A:$ZZ,ROW(A241),MATCH("Max "&amp;$H$3,Unified_Matrix!$1:$1,0)),"")</f>
        <v/>
      </c>
      <c r="I244" s="25">
        <f t="array" ref="I244">IFERROR(INDEX(Unified_Matrix!$A:$ZZ,ROW(A241),MATCH("Evolution_Name",Unified_Matrix!$1:$1,0)),"")</f>
        <v/>
      </c>
      <c r="J244" s="13">
        <f>IF(H244="","",IF(H244=0,"",IF(H244=$Z$32,1,IF(H244=$Z$33,2,IF(H244=$Z$34,3,"")))))</f>
        <v/>
      </c>
      <c r="K244" s="13">
        <f t="array" ref="K244">IFERROR(INDEX(Unified_Matrix!$A:$ZZ,ROW(A241),MATCH("+ OVR",Unified_Matrix!$1:$1,0)),"")</f>
        <v/>
      </c>
      <c r="L244" s="13">
        <f t="array" ref="L244">IFERROR(INDEX(Unified_Matrix!$A:$ZZ,ROW(A241),MATCH("Max OVR",Unified_Matrix!$1:$1,0)),"")</f>
        <v/>
      </c>
      <c r="M244" s="13">
        <f t="array" ref="M244">IFERROR(INDEX(Unified_Matrix!$A:$ZZ,ROW(A241),MATCH("Req_Position",Unified_Matrix!$1:$1,0)),"")</f>
        <v/>
      </c>
      <c r="N244" s="13">
        <f t="array" ref="N244">IFERROR(INDEX(Unified_Matrix!$A:$ZZ,ROW(A241),MATCH("Req_OVR_Max",Unified_Matrix!$1:$1,0)),"")</f>
        <v/>
      </c>
      <c r="O244" s="25">
        <f t="array" ref="O244">IFERROR(INDEX(Unified_Matrix!$A:$ZZ,ROW(A241),MATCH("Req_Other",Unified_Matrix!$1:$1,0)),"")</f>
        <v/>
      </c>
    </row>
    <row r="245" ht="68.25" customHeight="1">
      <c r="H245" s="13">
        <f t="array" ref="H245">IFERROR(INDEX(Unified_Matrix!$A:$ZZ,ROW(A242),MATCH("Max "&amp;$H$3,Unified_Matrix!$1:$1,0)),"")</f>
        <v/>
      </c>
      <c r="I245" s="25">
        <f t="array" ref="I245">IFERROR(INDEX(Unified_Matrix!$A:$ZZ,ROW(A242),MATCH("Evolution_Name",Unified_Matrix!$1:$1,0)),"")</f>
        <v/>
      </c>
      <c r="J245" s="13">
        <f>IF(H245="","",IF(H245=0,"",IF(H245=$Z$32,1,IF(H245=$Z$33,2,IF(H245=$Z$34,3,"")))))</f>
        <v/>
      </c>
      <c r="K245" s="13">
        <f t="array" ref="K245">IFERROR(INDEX(Unified_Matrix!$A:$ZZ,ROW(A242),MATCH("+ OVR",Unified_Matrix!$1:$1,0)),"")</f>
        <v/>
      </c>
      <c r="L245" s="13">
        <f t="array" ref="L245">IFERROR(INDEX(Unified_Matrix!$A:$ZZ,ROW(A242),MATCH("Max OVR",Unified_Matrix!$1:$1,0)),"")</f>
        <v/>
      </c>
      <c r="M245" s="13">
        <f t="array" ref="M245">IFERROR(INDEX(Unified_Matrix!$A:$ZZ,ROW(A242),MATCH("Req_Position",Unified_Matrix!$1:$1,0)),"")</f>
        <v/>
      </c>
      <c r="N245" s="13">
        <f t="array" ref="N245">IFERROR(INDEX(Unified_Matrix!$A:$ZZ,ROW(A242),MATCH("Req_OVR_Max",Unified_Matrix!$1:$1,0)),"")</f>
        <v/>
      </c>
      <c r="O245" s="25">
        <f t="array" ref="O245">IFERROR(INDEX(Unified_Matrix!$A:$ZZ,ROW(A242),MATCH("Req_Other",Unified_Matrix!$1:$1,0)),"")</f>
        <v/>
      </c>
    </row>
    <row r="246" ht="68.25" customHeight="1">
      <c r="H246" s="13">
        <f t="array" ref="H246">IFERROR(INDEX(Unified_Matrix!$A:$ZZ,ROW(A243),MATCH("Max "&amp;$H$3,Unified_Matrix!$1:$1,0)),"")</f>
        <v/>
      </c>
      <c r="I246" s="25">
        <f t="array" ref="I246">IFERROR(INDEX(Unified_Matrix!$A:$ZZ,ROW(A243),MATCH("Evolution_Name",Unified_Matrix!$1:$1,0)),"")</f>
        <v/>
      </c>
      <c r="J246" s="13">
        <f>IF(H246="","",IF(H246=0,"",IF(H246=$Z$32,1,IF(H246=$Z$33,2,IF(H246=$Z$34,3,"")))))</f>
        <v/>
      </c>
      <c r="K246" s="13">
        <f t="array" ref="K246">IFERROR(INDEX(Unified_Matrix!$A:$ZZ,ROW(A243),MATCH("+ OVR",Unified_Matrix!$1:$1,0)),"")</f>
        <v/>
      </c>
      <c r="L246" s="13">
        <f t="array" ref="L246">IFERROR(INDEX(Unified_Matrix!$A:$ZZ,ROW(A243),MATCH("Max OVR",Unified_Matrix!$1:$1,0)),"")</f>
        <v/>
      </c>
      <c r="M246" s="13">
        <f t="array" ref="M246">IFERROR(INDEX(Unified_Matrix!$A:$ZZ,ROW(A243),MATCH("Req_Position",Unified_Matrix!$1:$1,0)),"")</f>
        <v/>
      </c>
      <c r="N246" s="13">
        <f t="array" ref="N246">IFERROR(INDEX(Unified_Matrix!$A:$ZZ,ROW(A243),MATCH("Req_OVR_Max",Unified_Matrix!$1:$1,0)),"")</f>
        <v/>
      </c>
      <c r="O246" s="25">
        <f t="array" ref="O246">IFERROR(INDEX(Unified_Matrix!$A:$ZZ,ROW(A243),MATCH("Req_Other",Unified_Matrix!$1:$1,0)),"")</f>
        <v/>
      </c>
    </row>
    <row r="247" ht="68.25" customHeight="1">
      <c r="H247" s="13">
        <f t="array" ref="H247">IFERROR(INDEX(Unified_Matrix!$A:$ZZ,ROW(A244),MATCH("Max "&amp;$H$3,Unified_Matrix!$1:$1,0)),"")</f>
        <v/>
      </c>
      <c r="I247" s="25">
        <f t="array" ref="I247">IFERROR(INDEX(Unified_Matrix!$A:$ZZ,ROW(A244),MATCH("Evolution_Name",Unified_Matrix!$1:$1,0)),"")</f>
        <v/>
      </c>
      <c r="J247" s="13">
        <f>IF(H247="","",IF(H247=0,"",IF(H247=$Z$32,1,IF(H247=$Z$33,2,IF(H247=$Z$34,3,"")))))</f>
        <v/>
      </c>
      <c r="K247" s="13">
        <f t="array" ref="K247">IFERROR(INDEX(Unified_Matrix!$A:$ZZ,ROW(A244),MATCH("+ OVR",Unified_Matrix!$1:$1,0)),"")</f>
        <v/>
      </c>
      <c r="L247" s="13">
        <f t="array" ref="L247">IFERROR(INDEX(Unified_Matrix!$A:$ZZ,ROW(A244),MATCH("Max OVR",Unified_Matrix!$1:$1,0)),"")</f>
        <v/>
      </c>
      <c r="M247" s="13">
        <f t="array" ref="M247">IFERROR(INDEX(Unified_Matrix!$A:$ZZ,ROW(A244),MATCH("Req_Position",Unified_Matrix!$1:$1,0)),"")</f>
        <v/>
      </c>
      <c r="N247" s="13">
        <f t="array" ref="N247">IFERROR(INDEX(Unified_Matrix!$A:$ZZ,ROW(A244),MATCH("Req_OVR_Max",Unified_Matrix!$1:$1,0)),"")</f>
        <v/>
      </c>
      <c r="O247" s="25">
        <f t="array" ref="O247">IFERROR(INDEX(Unified_Matrix!$A:$ZZ,ROW(A244),MATCH("Req_Other",Unified_Matrix!$1:$1,0)),"")</f>
        <v/>
      </c>
    </row>
    <row r="248" ht="68.25" customHeight="1">
      <c r="H248" s="13">
        <f t="array" ref="H248">IFERROR(INDEX(Unified_Matrix!$A:$ZZ,ROW(A245),MATCH("Max "&amp;$H$3,Unified_Matrix!$1:$1,0)),"")</f>
        <v/>
      </c>
      <c r="I248" s="25">
        <f t="array" ref="I248">IFERROR(INDEX(Unified_Matrix!$A:$ZZ,ROW(A245),MATCH("Evolution_Name",Unified_Matrix!$1:$1,0)),"")</f>
        <v/>
      </c>
      <c r="J248" s="13">
        <f>IF(H248="","",IF(H248=0,"",IF(H248=$Z$32,1,IF(H248=$Z$33,2,IF(H248=$Z$34,3,"")))))</f>
        <v/>
      </c>
      <c r="K248" s="13">
        <f t="array" ref="K248">IFERROR(INDEX(Unified_Matrix!$A:$ZZ,ROW(A245),MATCH("+ OVR",Unified_Matrix!$1:$1,0)),"")</f>
        <v/>
      </c>
      <c r="L248" s="13">
        <f t="array" ref="L248">IFERROR(INDEX(Unified_Matrix!$A:$ZZ,ROW(A245),MATCH("Max OVR",Unified_Matrix!$1:$1,0)),"")</f>
        <v/>
      </c>
      <c r="M248" s="13">
        <f t="array" ref="M248">IFERROR(INDEX(Unified_Matrix!$A:$ZZ,ROW(A245),MATCH("Req_Position",Unified_Matrix!$1:$1,0)),"")</f>
        <v/>
      </c>
      <c r="N248" s="13">
        <f t="array" ref="N248">IFERROR(INDEX(Unified_Matrix!$A:$ZZ,ROW(A245),MATCH("Req_OVR_Max",Unified_Matrix!$1:$1,0)),"")</f>
        <v/>
      </c>
      <c r="O248" s="25">
        <f t="array" ref="O248">IFERROR(INDEX(Unified_Matrix!$A:$ZZ,ROW(A245),MATCH("Req_Other",Unified_Matrix!$1:$1,0)),"")</f>
        <v/>
      </c>
    </row>
    <row r="249" ht="68.25" customHeight="1">
      <c r="H249" s="13">
        <f t="array" ref="H249">IFERROR(INDEX(Unified_Matrix!$A:$ZZ,ROW(A246),MATCH("Max "&amp;$H$3,Unified_Matrix!$1:$1,0)),"")</f>
        <v/>
      </c>
      <c r="I249" s="25">
        <f t="array" ref="I249">IFERROR(INDEX(Unified_Matrix!$A:$ZZ,ROW(A246),MATCH("Evolution_Name",Unified_Matrix!$1:$1,0)),"")</f>
        <v/>
      </c>
      <c r="J249" s="13">
        <f>IF(H249="","",IF(H249=0,"",IF(H249=$Z$32,1,IF(H249=$Z$33,2,IF(H249=$Z$34,3,"")))))</f>
        <v/>
      </c>
      <c r="K249" s="13">
        <f t="array" ref="K249">IFERROR(INDEX(Unified_Matrix!$A:$ZZ,ROW(A246),MATCH("+ OVR",Unified_Matrix!$1:$1,0)),"")</f>
        <v/>
      </c>
      <c r="L249" s="13">
        <f t="array" ref="L249">IFERROR(INDEX(Unified_Matrix!$A:$ZZ,ROW(A246),MATCH("Max OVR",Unified_Matrix!$1:$1,0)),"")</f>
        <v/>
      </c>
      <c r="M249" s="13">
        <f t="array" ref="M249">IFERROR(INDEX(Unified_Matrix!$A:$ZZ,ROW(A246),MATCH("Req_Position",Unified_Matrix!$1:$1,0)),"")</f>
        <v/>
      </c>
      <c r="N249" s="13">
        <f t="array" ref="N249">IFERROR(INDEX(Unified_Matrix!$A:$ZZ,ROW(A246),MATCH("Req_OVR_Max",Unified_Matrix!$1:$1,0)),"")</f>
        <v/>
      </c>
      <c r="O249" s="25">
        <f t="array" ref="O249">IFERROR(INDEX(Unified_Matrix!$A:$ZZ,ROW(A246),MATCH("Req_Other",Unified_Matrix!$1:$1,0)),"")</f>
        <v/>
      </c>
    </row>
    <row r="250" ht="68.25" customHeight="1">
      <c r="H250" s="13">
        <f t="array" ref="H250">IFERROR(INDEX(Unified_Matrix!$A:$ZZ,ROW(A247),MATCH("Max "&amp;$H$3,Unified_Matrix!$1:$1,0)),"")</f>
        <v/>
      </c>
      <c r="I250" s="25">
        <f t="array" ref="I250">IFERROR(INDEX(Unified_Matrix!$A:$ZZ,ROW(A247),MATCH("Evolution_Name",Unified_Matrix!$1:$1,0)),"")</f>
        <v/>
      </c>
      <c r="J250" s="13">
        <f>IF(H250="","",IF(H250=0,"",IF(H250=$Z$32,1,IF(H250=$Z$33,2,IF(H250=$Z$34,3,"")))))</f>
        <v/>
      </c>
      <c r="K250" s="13">
        <f t="array" ref="K250">IFERROR(INDEX(Unified_Matrix!$A:$ZZ,ROW(A247),MATCH("+ OVR",Unified_Matrix!$1:$1,0)),"")</f>
        <v/>
      </c>
      <c r="L250" s="13">
        <f t="array" ref="L250">IFERROR(INDEX(Unified_Matrix!$A:$ZZ,ROW(A247),MATCH("Max OVR",Unified_Matrix!$1:$1,0)),"")</f>
        <v/>
      </c>
      <c r="M250" s="13">
        <f t="array" ref="M250">IFERROR(INDEX(Unified_Matrix!$A:$ZZ,ROW(A247),MATCH("Req_Position",Unified_Matrix!$1:$1,0)),"")</f>
        <v/>
      </c>
      <c r="N250" s="13">
        <f t="array" ref="N250">IFERROR(INDEX(Unified_Matrix!$A:$ZZ,ROW(A247),MATCH("Req_OVR_Max",Unified_Matrix!$1:$1,0)),"")</f>
        <v/>
      </c>
      <c r="O250" s="25">
        <f t="array" ref="O250">IFERROR(INDEX(Unified_Matrix!$A:$ZZ,ROW(A247),MATCH("Req_Other",Unified_Matrix!$1:$1,0)),"")</f>
        <v/>
      </c>
    </row>
    <row r="251" ht="68.25" customHeight="1">
      <c r="H251" s="13">
        <f t="array" ref="H251">IFERROR(INDEX(Unified_Matrix!$A:$ZZ,ROW(A248),MATCH("Max "&amp;$H$3,Unified_Matrix!$1:$1,0)),"")</f>
        <v/>
      </c>
      <c r="I251" s="25">
        <f t="array" ref="I251">IFERROR(INDEX(Unified_Matrix!$A:$ZZ,ROW(A248),MATCH("Evolution_Name",Unified_Matrix!$1:$1,0)),"")</f>
        <v/>
      </c>
      <c r="J251" s="13">
        <f>IF(H251="","",IF(H251=0,"",IF(H251=$Z$32,1,IF(H251=$Z$33,2,IF(H251=$Z$34,3,"")))))</f>
        <v/>
      </c>
      <c r="K251" s="13">
        <f t="array" ref="K251">IFERROR(INDEX(Unified_Matrix!$A:$ZZ,ROW(A248),MATCH("+ OVR",Unified_Matrix!$1:$1,0)),"")</f>
        <v/>
      </c>
      <c r="L251" s="13">
        <f t="array" ref="L251">IFERROR(INDEX(Unified_Matrix!$A:$ZZ,ROW(A248),MATCH("Max OVR",Unified_Matrix!$1:$1,0)),"")</f>
        <v/>
      </c>
      <c r="M251" s="13">
        <f t="array" ref="M251">IFERROR(INDEX(Unified_Matrix!$A:$ZZ,ROW(A248),MATCH("Req_Position",Unified_Matrix!$1:$1,0)),"")</f>
        <v/>
      </c>
      <c r="N251" s="13">
        <f t="array" ref="N251">IFERROR(INDEX(Unified_Matrix!$A:$ZZ,ROW(A248),MATCH("Req_OVR_Max",Unified_Matrix!$1:$1,0)),"")</f>
        <v/>
      </c>
      <c r="O251" s="25">
        <f t="array" ref="O251">IFERROR(INDEX(Unified_Matrix!$A:$ZZ,ROW(A248),MATCH("Req_Other",Unified_Matrix!$1:$1,0)),"")</f>
        <v/>
      </c>
    </row>
    <row r="252" ht="68.25" customHeight="1">
      <c r="H252" s="13">
        <f t="array" ref="H252">IFERROR(INDEX(Unified_Matrix!$A:$ZZ,ROW(A249),MATCH("Max "&amp;$H$3,Unified_Matrix!$1:$1,0)),"")</f>
        <v/>
      </c>
      <c r="I252" s="25">
        <f t="array" ref="I252">IFERROR(INDEX(Unified_Matrix!$A:$ZZ,ROW(A249),MATCH("Evolution_Name",Unified_Matrix!$1:$1,0)),"")</f>
        <v/>
      </c>
      <c r="J252" s="13">
        <f>IF(H252="","",IF(H252=0,"",IF(H252=$Z$32,1,IF(H252=$Z$33,2,IF(H252=$Z$34,3,"")))))</f>
        <v/>
      </c>
      <c r="K252" s="13">
        <f t="array" ref="K252">IFERROR(INDEX(Unified_Matrix!$A:$ZZ,ROW(A249),MATCH("+ OVR",Unified_Matrix!$1:$1,0)),"")</f>
        <v/>
      </c>
      <c r="L252" s="13">
        <f t="array" ref="L252">IFERROR(INDEX(Unified_Matrix!$A:$ZZ,ROW(A249),MATCH("Max OVR",Unified_Matrix!$1:$1,0)),"")</f>
        <v/>
      </c>
      <c r="M252" s="13">
        <f t="array" ref="M252">IFERROR(INDEX(Unified_Matrix!$A:$ZZ,ROW(A249),MATCH("Req_Position",Unified_Matrix!$1:$1,0)),"")</f>
        <v/>
      </c>
      <c r="N252" s="13">
        <f t="array" ref="N252">IFERROR(INDEX(Unified_Matrix!$A:$ZZ,ROW(A249),MATCH("Req_OVR_Max",Unified_Matrix!$1:$1,0)),"")</f>
        <v/>
      </c>
      <c r="O252" s="25">
        <f t="array" ref="O252">IFERROR(INDEX(Unified_Matrix!$A:$ZZ,ROW(A249),MATCH("Req_Other",Unified_Matrix!$1:$1,0)),"")</f>
        <v/>
      </c>
    </row>
    <row r="253" ht="68.25" customHeight="1">
      <c r="H253" s="13">
        <f t="array" ref="H253">IFERROR(INDEX(Unified_Matrix!$A:$ZZ,ROW(A250),MATCH("Max "&amp;$H$3,Unified_Matrix!$1:$1,0)),"")</f>
        <v/>
      </c>
      <c r="I253" s="25">
        <f t="array" ref="I253">IFERROR(INDEX(Unified_Matrix!$A:$ZZ,ROW(A250),MATCH("Evolution_Name",Unified_Matrix!$1:$1,0)),"")</f>
        <v/>
      </c>
      <c r="J253" s="13">
        <f>IF(H253="","",IF(H253=0,"",IF(H253=$Z$32,1,IF(H253=$Z$33,2,IF(H253=$Z$34,3,"")))))</f>
        <v/>
      </c>
      <c r="K253" s="13">
        <f t="array" ref="K253">IFERROR(INDEX(Unified_Matrix!$A:$ZZ,ROW(A250),MATCH("+ OVR",Unified_Matrix!$1:$1,0)),"")</f>
        <v/>
      </c>
      <c r="L253" s="13">
        <f t="array" ref="L253">IFERROR(INDEX(Unified_Matrix!$A:$ZZ,ROW(A250),MATCH("Max OVR",Unified_Matrix!$1:$1,0)),"")</f>
        <v/>
      </c>
      <c r="M253" s="13">
        <f t="array" ref="M253">IFERROR(INDEX(Unified_Matrix!$A:$ZZ,ROW(A250),MATCH("Req_Position",Unified_Matrix!$1:$1,0)),"")</f>
        <v/>
      </c>
      <c r="N253" s="13">
        <f t="array" ref="N253">IFERROR(INDEX(Unified_Matrix!$A:$ZZ,ROW(A250),MATCH("Req_OVR_Max",Unified_Matrix!$1:$1,0)),"")</f>
        <v/>
      </c>
      <c r="O253" s="25">
        <f t="array" ref="O253">IFERROR(INDEX(Unified_Matrix!$A:$ZZ,ROW(A250),MATCH("Req_Other",Unified_Matrix!$1:$1,0)),"")</f>
        <v/>
      </c>
    </row>
    <row r="254" ht="68.25" customHeight="1">
      <c r="H254" s="13">
        <f t="array" ref="H254">IFERROR(INDEX(Unified_Matrix!$A:$ZZ,ROW(A251),MATCH("Max "&amp;$H$3,Unified_Matrix!$1:$1,0)),"")</f>
        <v/>
      </c>
      <c r="I254" s="25">
        <f t="array" ref="I254">IFERROR(INDEX(Unified_Matrix!$A:$ZZ,ROW(A251),MATCH("Evolution_Name",Unified_Matrix!$1:$1,0)),"")</f>
        <v/>
      </c>
      <c r="J254" s="13">
        <f>IF(H254="","",IF(H254=0,"",IF(H254=$Z$32,1,IF(H254=$Z$33,2,IF(H254=$Z$34,3,"")))))</f>
        <v/>
      </c>
      <c r="K254" s="13">
        <f t="array" ref="K254">IFERROR(INDEX(Unified_Matrix!$A:$ZZ,ROW(A251),MATCH("+ OVR",Unified_Matrix!$1:$1,0)),"")</f>
        <v/>
      </c>
      <c r="L254" s="13">
        <f t="array" ref="L254">IFERROR(INDEX(Unified_Matrix!$A:$ZZ,ROW(A251),MATCH("Max OVR",Unified_Matrix!$1:$1,0)),"")</f>
        <v/>
      </c>
      <c r="M254" s="13">
        <f t="array" ref="M254">IFERROR(INDEX(Unified_Matrix!$A:$ZZ,ROW(A251),MATCH("Req_Position",Unified_Matrix!$1:$1,0)),"")</f>
        <v/>
      </c>
      <c r="N254" s="13">
        <f t="array" ref="N254">IFERROR(INDEX(Unified_Matrix!$A:$ZZ,ROW(A251),MATCH("Req_OVR_Max",Unified_Matrix!$1:$1,0)),"")</f>
        <v/>
      </c>
      <c r="O254" s="25">
        <f t="array" ref="O254">IFERROR(INDEX(Unified_Matrix!$A:$ZZ,ROW(A251),MATCH("Req_Other",Unified_Matrix!$1:$1,0)),"")</f>
        <v/>
      </c>
    </row>
    <row r="255" ht="68.25" customHeight="1">
      <c r="H255" s="13">
        <f t="array" ref="H255">IFERROR(INDEX(Unified_Matrix!$A:$ZZ,ROW(A252),MATCH("Max "&amp;$H$3,Unified_Matrix!$1:$1,0)),"")</f>
        <v/>
      </c>
      <c r="I255" s="25">
        <f t="array" ref="I255">IFERROR(INDEX(Unified_Matrix!$A:$ZZ,ROW(A252),MATCH("Evolution_Name",Unified_Matrix!$1:$1,0)),"")</f>
        <v/>
      </c>
      <c r="J255" s="13">
        <f>IF(H255="","",IF(H255=0,"",IF(H255=$Z$32,1,IF(H255=$Z$33,2,IF(H255=$Z$34,3,"")))))</f>
        <v/>
      </c>
      <c r="K255" s="13">
        <f t="array" ref="K255">IFERROR(INDEX(Unified_Matrix!$A:$ZZ,ROW(A252),MATCH("+ OVR",Unified_Matrix!$1:$1,0)),"")</f>
        <v/>
      </c>
      <c r="L255" s="13">
        <f t="array" ref="L255">IFERROR(INDEX(Unified_Matrix!$A:$ZZ,ROW(A252),MATCH("Max OVR",Unified_Matrix!$1:$1,0)),"")</f>
        <v/>
      </c>
      <c r="M255" s="13">
        <f t="array" ref="M255">IFERROR(INDEX(Unified_Matrix!$A:$ZZ,ROW(A252),MATCH("Req_Position",Unified_Matrix!$1:$1,0)),"")</f>
        <v/>
      </c>
      <c r="N255" s="13">
        <f t="array" ref="N255">IFERROR(INDEX(Unified_Matrix!$A:$ZZ,ROW(A252),MATCH("Req_OVR_Max",Unified_Matrix!$1:$1,0)),"")</f>
        <v/>
      </c>
      <c r="O255" s="25">
        <f t="array" ref="O255">IFERROR(INDEX(Unified_Matrix!$A:$ZZ,ROW(A252),MATCH("Req_Other",Unified_Matrix!$1:$1,0)),"")</f>
        <v/>
      </c>
    </row>
    <row r="256" ht="68.25" customHeight="1">
      <c r="H256" s="13">
        <f t="array" ref="H256">IFERROR(INDEX(Unified_Matrix!$A:$ZZ,ROW(A253),MATCH("Max "&amp;$H$3,Unified_Matrix!$1:$1,0)),"")</f>
        <v/>
      </c>
      <c r="I256" s="25">
        <f t="array" ref="I256">IFERROR(INDEX(Unified_Matrix!$A:$ZZ,ROW(A253),MATCH("Evolution_Name",Unified_Matrix!$1:$1,0)),"")</f>
        <v/>
      </c>
      <c r="J256" s="13">
        <f>IF(H256="","",IF(H256=0,"",IF(H256=$Z$32,1,IF(H256=$Z$33,2,IF(H256=$Z$34,3,"")))))</f>
        <v/>
      </c>
      <c r="K256" s="13">
        <f t="array" ref="K256">IFERROR(INDEX(Unified_Matrix!$A:$ZZ,ROW(A253),MATCH("+ OVR",Unified_Matrix!$1:$1,0)),"")</f>
        <v/>
      </c>
      <c r="L256" s="13">
        <f t="array" ref="L256">IFERROR(INDEX(Unified_Matrix!$A:$ZZ,ROW(A253),MATCH("Max OVR",Unified_Matrix!$1:$1,0)),"")</f>
        <v/>
      </c>
      <c r="M256" s="13">
        <f t="array" ref="M256">IFERROR(INDEX(Unified_Matrix!$A:$ZZ,ROW(A253),MATCH("Req_Position",Unified_Matrix!$1:$1,0)),"")</f>
        <v/>
      </c>
      <c r="N256" s="13">
        <f t="array" ref="N256">IFERROR(INDEX(Unified_Matrix!$A:$ZZ,ROW(A253),MATCH("Req_OVR_Max",Unified_Matrix!$1:$1,0)),"")</f>
        <v/>
      </c>
      <c r="O256" s="25">
        <f t="array" ref="O256">IFERROR(INDEX(Unified_Matrix!$A:$ZZ,ROW(A253),MATCH("Req_Other",Unified_Matrix!$1:$1,0)),"")</f>
        <v/>
      </c>
    </row>
    <row r="257" ht="68.25" customHeight="1">
      <c r="H257" s="13">
        <f t="array" ref="H257">IFERROR(INDEX(Unified_Matrix!$A:$ZZ,ROW(A254),MATCH("Max "&amp;$H$3,Unified_Matrix!$1:$1,0)),"")</f>
        <v/>
      </c>
      <c r="I257" s="25">
        <f t="array" ref="I257">IFERROR(INDEX(Unified_Matrix!$A:$ZZ,ROW(A254),MATCH("Evolution_Name",Unified_Matrix!$1:$1,0)),"")</f>
        <v/>
      </c>
      <c r="J257" s="13">
        <f>IF(H257="","",IF(H257=0,"",IF(H257=$Z$32,1,IF(H257=$Z$33,2,IF(H257=$Z$34,3,"")))))</f>
        <v/>
      </c>
      <c r="K257" s="13">
        <f t="array" ref="K257">IFERROR(INDEX(Unified_Matrix!$A:$ZZ,ROW(A254),MATCH("+ OVR",Unified_Matrix!$1:$1,0)),"")</f>
        <v/>
      </c>
      <c r="L257" s="13">
        <f t="array" ref="L257">IFERROR(INDEX(Unified_Matrix!$A:$ZZ,ROW(A254),MATCH("Max OVR",Unified_Matrix!$1:$1,0)),"")</f>
        <v/>
      </c>
      <c r="M257" s="13">
        <f t="array" ref="M257">IFERROR(INDEX(Unified_Matrix!$A:$ZZ,ROW(A254),MATCH("Req_Position",Unified_Matrix!$1:$1,0)),"")</f>
        <v/>
      </c>
      <c r="N257" s="13">
        <f t="array" ref="N257">IFERROR(INDEX(Unified_Matrix!$A:$ZZ,ROW(A254),MATCH("Req_OVR_Max",Unified_Matrix!$1:$1,0)),"")</f>
        <v/>
      </c>
      <c r="O257" s="25">
        <f t="array" ref="O257">IFERROR(INDEX(Unified_Matrix!$A:$ZZ,ROW(A254),MATCH("Req_Other",Unified_Matrix!$1:$1,0)),"")</f>
        <v/>
      </c>
    </row>
    <row r="258" ht="68.25" customHeight="1">
      <c r="H258" s="13">
        <f t="array" ref="H258">IFERROR(INDEX(Unified_Matrix!$A:$ZZ,ROW(A255),MATCH("Max "&amp;$H$3,Unified_Matrix!$1:$1,0)),"")</f>
        <v/>
      </c>
      <c r="I258" s="25">
        <f t="array" ref="I258">IFERROR(INDEX(Unified_Matrix!$A:$ZZ,ROW(A255),MATCH("Evolution_Name",Unified_Matrix!$1:$1,0)),"")</f>
        <v/>
      </c>
      <c r="J258" s="13">
        <f>IF(H258="","",IF(H258=0,"",IF(H258=$Z$32,1,IF(H258=$Z$33,2,IF(H258=$Z$34,3,"")))))</f>
        <v/>
      </c>
      <c r="K258" s="13">
        <f t="array" ref="K258">IFERROR(INDEX(Unified_Matrix!$A:$ZZ,ROW(A255),MATCH("+ OVR",Unified_Matrix!$1:$1,0)),"")</f>
        <v/>
      </c>
      <c r="L258" s="13">
        <f t="array" ref="L258">IFERROR(INDEX(Unified_Matrix!$A:$ZZ,ROW(A255),MATCH("Max OVR",Unified_Matrix!$1:$1,0)),"")</f>
        <v/>
      </c>
      <c r="M258" s="13">
        <f t="array" ref="M258">IFERROR(INDEX(Unified_Matrix!$A:$ZZ,ROW(A255),MATCH("Req_Position",Unified_Matrix!$1:$1,0)),"")</f>
        <v/>
      </c>
      <c r="N258" s="13">
        <f t="array" ref="N258">IFERROR(INDEX(Unified_Matrix!$A:$ZZ,ROW(A255),MATCH("Req_OVR_Max",Unified_Matrix!$1:$1,0)),"")</f>
        <v/>
      </c>
      <c r="O258" s="25">
        <f t="array" ref="O258">IFERROR(INDEX(Unified_Matrix!$A:$ZZ,ROW(A255),MATCH("Req_Other",Unified_Matrix!$1:$1,0)),"")</f>
        <v/>
      </c>
    </row>
    <row r="259" ht="68.25" customHeight="1">
      <c r="H259" s="13">
        <f t="array" ref="H259">IFERROR(INDEX(Unified_Matrix!$A:$ZZ,ROW(A256),MATCH("Max "&amp;$H$3,Unified_Matrix!$1:$1,0)),"")</f>
        <v/>
      </c>
      <c r="I259" s="25">
        <f t="array" ref="I259">IFERROR(INDEX(Unified_Matrix!$A:$ZZ,ROW(A256),MATCH("Evolution_Name",Unified_Matrix!$1:$1,0)),"")</f>
        <v/>
      </c>
      <c r="J259" s="13">
        <f>IF(H259="","",IF(H259=0,"",IF(H259=$Z$32,1,IF(H259=$Z$33,2,IF(H259=$Z$34,3,"")))))</f>
        <v/>
      </c>
      <c r="K259" s="13">
        <f t="array" ref="K259">IFERROR(INDEX(Unified_Matrix!$A:$ZZ,ROW(A256),MATCH("+ OVR",Unified_Matrix!$1:$1,0)),"")</f>
        <v/>
      </c>
      <c r="L259" s="13">
        <f t="array" ref="L259">IFERROR(INDEX(Unified_Matrix!$A:$ZZ,ROW(A256),MATCH("Max OVR",Unified_Matrix!$1:$1,0)),"")</f>
        <v/>
      </c>
      <c r="M259" s="13">
        <f t="array" ref="M259">IFERROR(INDEX(Unified_Matrix!$A:$ZZ,ROW(A256),MATCH("Req_Position",Unified_Matrix!$1:$1,0)),"")</f>
        <v/>
      </c>
      <c r="N259" s="13">
        <f t="array" ref="N259">IFERROR(INDEX(Unified_Matrix!$A:$ZZ,ROW(A256),MATCH("Req_OVR_Max",Unified_Matrix!$1:$1,0)),"")</f>
        <v/>
      </c>
      <c r="O259" s="25">
        <f t="array" ref="O259">IFERROR(INDEX(Unified_Matrix!$A:$ZZ,ROW(A256),MATCH("Req_Other",Unified_Matrix!$1:$1,0)),"")</f>
        <v/>
      </c>
    </row>
    <row r="260" ht="68.25" customHeight="1">
      <c r="H260" s="13">
        <f t="array" ref="H260">IFERROR(INDEX(Unified_Matrix!$A:$ZZ,ROW(A257),MATCH("Max "&amp;$H$3,Unified_Matrix!$1:$1,0)),"")</f>
        <v/>
      </c>
      <c r="I260" s="25">
        <f t="array" ref="I260">IFERROR(INDEX(Unified_Matrix!$A:$ZZ,ROW(A257),MATCH("Evolution_Name",Unified_Matrix!$1:$1,0)),"")</f>
        <v/>
      </c>
      <c r="J260" s="13">
        <f>IF(H260="","",IF(H260=0,"",IF(H260=$Z$32,1,IF(H260=$Z$33,2,IF(H260=$Z$34,3,"")))))</f>
        <v/>
      </c>
      <c r="K260" s="13">
        <f t="array" ref="K260">IFERROR(INDEX(Unified_Matrix!$A:$ZZ,ROW(A257),MATCH("+ OVR",Unified_Matrix!$1:$1,0)),"")</f>
        <v/>
      </c>
      <c r="L260" s="13">
        <f t="array" ref="L260">IFERROR(INDEX(Unified_Matrix!$A:$ZZ,ROW(A257),MATCH("Max OVR",Unified_Matrix!$1:$1,0)),"")</f>
        <v/>
      </c>
      <c r="M260" s="13">
        <f t="array" ref="M260">IFERROR(INDEX(Unified_Matrix!$A:$ZZ,ROW(A257),MATCH("Req_Position",Unified_Matrix!$1:$1,0)),"")</f>
        <v/>
      </c>
      <c r="N260" s="13">
        <f t="array" ref="N260">IFERROR(INDEX(Unified_Matrix!$A:$ZZ,ROW(A257),MATCH("Req_OVR_Max",Unified_Matrix!$1:$1,0)),"")</f>
        <v/>
      </c>
      <c r="O260" s="25">
        <f t="array" ref="O260">IFERROR(INDEX(Unified_Matrix!$A:$ZZ,ROW(A257),MATCH("Req_Other",Unified_Matrix!$1:$1,0)),"")</f>
        <v/>
      </c>
    </row>
    <row r="261" ht="68.25" customHeight="1">
      <c r="H261" s="13">
        <f t="array" ref="H261">IFERROR(INDEX(Unified_Matrix!$A:$ZZ,ROW(A258),MATCH("Max "&amp;$H$3,Unified_Matrix!$1:$1,0)),"")</f>
        <v/>
      </c>
      <c r="I261" s="25">
        <f t="array" ref="I261">IFERROR(INDEX(Unified_Matrix!$A:$ZZ,ROW(A258),MATCH("Evolution_Name",Unified_Matrix!$1:$1,0)),"")</f>
        <v/>
      </c>
      <c r="J261" s="13">
        <f>IF(H261="","",IF(H261=0,"",IF(H261=$Z$32,1,IF(H261=$Z$33,2,IF(H261=$Z$34,3,"")))))</f>
        <v/>
      </c>
      <c r="K261" s="13">
        <f t="array" ref="K261">IFERROR(INDEX(Unified_Matrix!$A:$ZZ,ROW(A258),MATCH("+ OVR",Unified_Matrix!$1:$1,0)),"")</f>
        <v/>
      </c>
      <c r="L261" s="13">
        <f t="array" ref="L261">IFERROR(INDEX(Unified_Matrix!$A:$ZZ,ROW(A258),MATCH("Max OVR",Unified_Matrix!$1:$1,0)),"")</f>
        <v/>
      </c>
      <c r="M261" s="13">
        <f t="array" ref="M261">IFERROR(INDEX(Unified_Matrix!$A:$ZZ,ROW(A258),MATCH("Req_Position",Unified_Matrix!$1:$1,0)),"")</f>
        <v/>
      </c>
      <c r="N261" s="13">
        <f t="array" ref="N261">IFERROR(INDEX(Unified_Matrix!$A:$ZZ,ROW(A258),MATCH("Req_OVR_Max",Unified_Matrix!$1:$1,0)),"")</f>
        <v/>
      </c>
      <c r="O261" s="25">
        <f t="array" ref="O261">IFERROR(INDEX(Unified_Matrix!$A:$ZZ,ROW(A258),MATCH("Req_Other",Unified_Matrix!$1:$1,0)),"")</f>
        <v/>
      </c>
    </row>
    <row r="262" ht="68.25" customHeight="1">
      <c r="H262" s="13">
        <f t="array" ref="H262">IFERROR(INDEX(Unified_Matrix!$A:$ZZ,ROW(A259),MATCH("Max "&amp;$H$3,Unified_Matrix!$1:$1,0)),"")</f>
        <v/>
      </c>
      <c r="I262" s="25">
        <f t="array" ref="I262">IFERROR(INDEX(Unified_Matrix!$A:$ZZ,ROW(A259),MATCH("Evolution_Name",Unified_Matrix!$1:$1,0)),"")</f>
        <v/>
      </c>
      <c r="J262" s="13">
        <f>IF(H262="","",IF(H262=0,"",IF(H262=$Z$32,1,IF(H262=$Z$33,2,IF(H262=$Z$34,3,"")))))</f>
        <v/>
      </c>
      <c r="K262" s="13">
        <f t="array" ref="K262">IFERROR(INDEX(Unified_Matrix!$A:$ZZ,ROW(A259),MATCH("+ OVR",Unified_Matrix!$1:$1,0)),"")</f>
        <v/>
      </c>
      <c r="L262" s="13">
        <f t="array" ref="L262">IFERROR(INDEX(Unified_Matrix!$A:$ZZ,ROW(A259),MATCH("Max OVR",Unified_Matrix!$1:$1,0)),"")</f>
        <v/>
      </c>
      <c r="M262" s="13">
        <f t="array" ref="M262">IFERROR(INDEX(Unified_Matrix!$A:$ZZ,ROW(A259),MATCH("Req_Position",Unified_Matrix!$1:$1,0)),"")</f>
        <v/>
      </c>
      <c r="N262" s="13">
        <f t="array" ref="N262">IFERROR(INDEX(Unified_Matrix!$A:$ZZ,ROW(A259),MATCH("Req_OVR_Max",Unified_Matrix!$1:$1,0)),"")</f>
        <v/>
      </c>
      <c r="O262" s="25">
        <f t="array" ref="O262">IFERROR(INDEX(Unified_Matrix!$A:$ZZ,ROW(A259),MATCH("Req_Other",Unified_Matrix!$1:$1,0)),"")</f>
        <v/>
      </c>
    </row>
    <row r="263" ht="68.25" customHeight="1">
      <c r="H263" s="13">
        <f t="array" ref="H263">IFERROR(INDEX(Unified_Matrix!$A:$ZZ,ROW(A260),MATCH("Max "&amp;$H$3,Unified_Matrix!$1:$1,0)),"")</f>
        <v/>
      </c>
      <c r="I263" s="25">
        <f t="array" ref="I263">IFERROR(INDEX(Unified_Matrix!$A:$ZZ,ROW(A260),MATCH("Evolution_Name",Unified_Matrix!$1:$1,0)),"")</f>
        <v/>
      </c>
      <c r="J263" s="13">
        <f>IF(H263="","",IF(H263=0,"",IF(H263=$Z$32,1,IF(H263=$Z$33,2,IF(H263=$Z$34,3,"")))))</f>
        <v/>
      </c>
      <c r="K263" s="13">
        <f t="array" ref="K263">IFERROR(INDEX(Unified_Matrix!$A:$ZZ,ROW(A260),MATCH("+ OVR",Unified_Matrix!$1:$1,0)),"")</f>
        <v/>
      </c>
      <c r="L263" s="13">
        <f t="array" ref="L263">IFERROR(INDEX(Unified_Matrix!$A:$ZZ,ROW(A260),MATCH("Max OVR",Unified_Matrix!$1:$1,0)),"")</f>
        <v/>
      </c>
      <c r="M263" s="13">
        <f t="array" ref="M263">IFERROR(INDEX(Unified_Matrix!$A:$ZZ,ROW(A260),MATCH("Req_Position",Unified_Matrix!$1:$1,0)),"")</f>
        <v/>
      </c>
      <c r="N263" s="13">
        <f t="array" ref="N263">IFERROR(INDEX(Unified_Matrix!$A:$ZZ,ROW(A260),MATCH("Req_OVR_Max",Unified_Matrix!$1:$1,0)),"")</f>
        <v/>
      </c>
      <c r="O263" s="25">
        <f t="array" ref="O263">IFERROR(INDEX(Unified_Matrix!$A:$ZZ,ROW(A260),MATCH("Req_Other",Unified_Matrix!$1:$1,0)),"")</f>
        <v/>
      </c>
    </row>
    <row r="264" ht="68.25" customHeight="1">
      <c r="H264" s="13">
        <f t="array" ref="H264">IFERROR(INDEX(Unified_Matrix!$A:$ZZ,ROW(A261),MATCH("Max "&amp;$H$3,Unified_Matrix!$1:$1,0)),"")</f>
        <v/>
      </c>
      <c r="I264" s="25">
        <f t="array" ref="I264">IFERROR(INDEX(Unified_Matrix!$A:$ZZ,ROW(A261),MATCH("Evolution_Name",Unified_Matrix!$1:$1,0)),"")</f>
        <v/>
      </c>
      <c r="J264" s="13">
        <f>IF(H264="","",IF(H264=0,"",IF(H264=$Z$32,1,IF(H264=$Z$33,2,IF(H264=$Z$34,3,"")))))</f>
        <v/>
      </c>
      <c r="K264" s="13">
        <f t="array" ref="K264">IFERROR(INDEX(Unified_Matrix!$A:$ZZ,ROW(A261),MATCH("+ OVR",Unified_Matrix!$1:$1,0)),"")</f>
        <v/>
      </c>
      <c r="L264" s="13">
        <f t="array" ref="L264">IFERROR(INDEX(Unified_Matrix!$A:$ZZ,ROW(A261),MATCH("Max OVR",Unified_Matrix!$1:$1,0)),"")</f>
        <v/>
      </c>
      <c r="M264" s="13">
        <f t="array" ref="M264">IFERROR(INDEX(Unified_Matrix!$A:$ZZ,ROW(A261),MATCH("Req_Position",Unified_Matrix!$1:$1,0)),"")</f>
        <v/>
      </c>
      <c r="N264" s="13">
        <f t="array" ref="N264">IFERROR(INDEX(Unified_Matrix!$A:$ZZ,ROW(A261),MATCH("Req_OVR_Max",Unified_Matrix!$1:$1,0)),"")</f>
        <v/>
      </c>
      <c r="O264" s="25">
        <f t="array" ref="O264">IFERROR(INDEX(Unified_Matrix!$A:$ZZ,ROW(A261),MATCH("Req_Other",Unified_Matrix!$1:$1,0)),"")</f>
        <v/>
      </c>
    </row>
    <row r="265" ht="68.25" customHeight="1">
      <c r="H265" s="13">
        <f t="array" ref="H265">IFERROR(INDEX(Unified_Matrix!$A:$ZZ,ROW(A262),MATCH("Max "&amp;$H$3,Unified_Matrix!$1:$1,0)),"")</f>
        <v/>
      </c>
      <c r="I265" s="25">
        <f t="array" ref="I265">IFERROR(INDEX(Unified_Matrix!$A:$ZZ,ROW(A262),MATCH("Evolution_Name",Unified_Matrix!$1:$1,0)),"")</f>
        <v/>
      </c>
      <c r="J265" s="13">
        <f>IF(H265="","",IF(H265=0,"",IF(H265=$Z$32,1,IF(H265=$Z$33,2,IF(H265=$Z$34,3,"")))))</f>
        <v/>
      </c>
      <c r="K265" s="13">
        <f t="array" ref="K265">IFERROR(INDEX(Unified_Matrix!$A:$ZZ,ROW(A262),MATCH("+ OVR",Unified_Matrix!$1:$1,0)),"")</f>
        <v/>
      </c>
      <c r="L265" s="13">
        <f t="array" ref="L265">IFERROR(INDEX(Unified_Matrix!$A:$ZZ,ROW(A262),MATCH("Max OVR",Unified_Matrix!$1:$1,0)),"")</f>
        <v/>
      </c>
      <c r="M265" s="13">
        <f t="array" ref="M265">IFERROR(INDEX(Unified_Matrix!$A:$ZZ,ROW(A262),MATCH("Req_Position",Unified_Matrix!$1:$1,0)),"")</f>
        <v/>
      </c>
      <c r="N265" s="13">
        <f t="array" ref="N265">IFERROR(INDEX(Unified_Matrix!$A:$ZZ,ROW(A262),MATCH("Req_OVR_Max",Unified_Matrix!$1:$1,0)),"")</f>
        <v/>
      </c>
      <c r="O265" s="25">
        <f t="array" ref="O265">IFERROR(INDEX(Unified_Matrix!$A:$ZZ,ROW(A262),MATCH("Req_Other",Unified_Matrix!$1:$1,0)),"")</f>
        <v/>
      </c>
    </row>
    <row r="266" ht="68.25" customHeight="1">
      <c r="H266" s="13">
        <f t="array" ref="H266">IFERROR(INDEX(Unified_Matrix!$A:$ZZ,ROW(A263),MATCH("Max "&amp;$H$3,Unified_Matrix!$1:$1,0)),"")</f>
        <v/>
      </c>
      <c r="I266" s="25">
        <f t="array" ref="I266">IFERROR(INDEX(Unified_Matrix!$A:$ZZ,ROW(A263),MATCH("Evolution_Name",Unified_Matrix!$1:$1,0)),"")</f>
        <v/>
      </c>
      <c r="J266" s="13">
        <f>IF(H266="","",IF(H266=0,"",IF(H266=$Z$32,1,IF(H266=$Z$33,2,IF(H266=$Z$34,3,"")))))</f>
        <v/>
      </c>
      <c r="K266" s="13">
        <f t="array" ref="K266">IFERROR(INDEX(Unified_Matrix!$A:$ZZ,ROW(A263),MATCH("+ OVR",Unified_Matrix!$1:$1,0)),"")</f>
        <v/>
      </c>
      <c r="L266" s="13">
        <f t="array" ref="L266">IFERROR(INDEX(Unified_Matrix!$A:$ZZ,ROW(A263),MATCH("Max OVR",Unified_Matrix!$1:$1,0)),"")</f>
        <v/>
      </c>
      <c r="M266" s="13">
        <f t="array" ref="M266">IFERROR(INDEX(Unified_Matrix!$A:$ZZ,ROW(A263),MATCH("Req_Position",Unified_Matrix!$1:$1,0)),"")</f>
        <v/>
      </c>
      <c r="N266" s="13">
        <f t="array" ref="N266">IFERROR(INDEX(Unified_Matrix!$A:$ZZ,ROW(A263),MATCH("Req_OVR_Max",Unified_Matrix!$1:$1,0)),"")</f>
        <v/>
      </c>
      <c r="O266" s="25">
        <f t="array" ref="O266">IFERROR(INDEX(Unified_Matrix!$A:$ZZ,ROW(A263),MATCH("Req_Other",Unified_Matrix!$1:$1,0)),"")</f>
        <v/>
      </c>
    </row>
    <row r="267" ht="68.25" customHeight="1">
      <c r="H267" s="13">
        <f t="array" ref="H267">IFERROR(INDEX(Unified_Matrix!$A:$ZZ,ROW(A264),MATCH("Max "&amp;$H$3,Unified_Matrix!$1:$1,0)),"")</f>
        <v/>
      </c>
      <c r="I267" s="25">
        <f t="array" ref="I267">IFERROR(INDEX(Unified_Matrix!$A:$ZZ,ROW(A264),MATCH("Evolution_Name",Unified_Matrix!$1:$1,0)),"")</f>
        <v/>
      </c>
      <c r="J267" s="13">
        <f>IF(H267="","",IF(H267=0,"",IF(H267=$Z$32,1,IF(H267=$Z$33,2,IF(H267=$Z$34,3,"")))))</f>
        <v/>
      </c>
      <c r="K267" s="13">
        <f t="array" ref="K267">IFERROR(INDEX(Unified_Matrix!$A:$ZZ,ROW(A264),MATCH("+ OVR",Unified_Matrix!$1:$1,0)),"")</f>
        <v/>
      </c>
      <c r="L267" s="13">
        <f t="array" ref="L267">IFERROR(INDEX(Unified_Matrix!$A:$ZZ,ROW(A264),MATCH("Max OVR",Unified_Matrix!$1:$1,0)),"")</f>
        <v/>
      </c>
      <c r="M267" s="13">
        <f t="array" ref="M267">IFERROR(INDEX(Unified_Matrix!$A:$ZZ,ROW(A264),MATCH("Req_Position",Unified_Matrix!$1:$1,0)),"")</f>
        <v/>
      </c>
      <c r="N267" s="13">
        <f t="array" ref="N267">IFERROR(INDEX(Unified_Matrix!$A:$ZZ,ROW(A264),MATCH("Req_OVR_Max",Unified_Matrix!$1:$1,0)),"")</f>
        <v/>
      </c>
      <c r="O267" s="25">
        <f t="array" ref="O267">IFERROR(INDEX(Unified_Matrix!$A:$ZZ,ROW(A264),MATCH("Req_Other",Unified_Matrix!$1:$1,0)),"")</f>
        <v/>
      </c>
    </row>
    <row r="268" ht="68.25" customHeight="1">
      <c r="H268" s="13">
        <f t="array" ref="H268">IFERROR(INDEX(Unified_Matrix!$A:$ZZ,ROW(A265),MATCH("Max "&amp;$H$3,Unified_Matrix!$1:$1,0)),"")</f>
        <v/>
      </c>
      <c r="I268" s="25">
        <f t="array" ref="I268">IFERROR(INDEX(Unified_Matrix!$A:$ZZ,ROW(A265),MATCH("Evolution_Name",Unified_Matrix!$1:$1,0)),"")</f>
        <v/>
      </c>
      <c r="J268" s="13">
        <f>IF(H268="","",IF(H268=0,"",IF(H268=$Z$32,1,IF(H268=$Z$33,2,IF(H268=$Z$34,3,"")))))</f>
        <v/>
      </c>
      <c r="K268" s="13">
        <f t="array" ref="K268">IFERROR(INDEX(Unified_Matrix!$A:$ZZ,ROW(A265),MATCH("+ OVR",Unified_Matrix!$1:$1,0)),"")</f>
        <v/>
      </c>
      <c r="L268" s="13">
        <f t="array" ref="L268">IFERROR(INDEX(Unified_Matrix!$A:$ZZ,ROW(A265),MATCH("Max OVR",Unified_Matrix!$1:$1,0)),"")</f>
        <v/>
      </c>
      <c r="M268" s="13">
        <f t="array" ref="M268">IFERROR(INDEX(Unified_Matrix!$A:$ZZ,ROW(A265),MATCH("Req_Position",Unified_Matrix!$1:$1,0)),"")</f>
        <v/>
      </c>
      <c r="N268" s="13">
        <f t="array" ref="N268">IFERROR(INDEX(Unified_Matrix!$A:$ZZ,ROW(A265),MATCH("Req_OVR_Max",Unified_Matrix!$1:$1,0)),"")</f>
        <v/>
      </c>
      <c r="O268" s="25">
        <f t="array" ref="O268">IFERROR(INDEX(Unified_Matrix!$A:$ZZ,ROW(A265),MATCH("Req_Other",Unified_Matrix!$1:$1,0)),"")</f>
        <v/>
      </c>
    </row>
    <row r="269" ht="68.25" customHeight="1">
      <c r="H269" s="13">
        <f t="array" ref="H269">IFERROR(INDEX(Unified_Matrix!$A:$ZZ,ROW(A266),MATCH("Max "&amp;$H$3,Unified_Matrix!$1:$1,0)),"")</f>
        <v/>
      </c>
      <c r="I269" s="25">
        <f t="array" ref="I269">IFERROR(INDEX(Unified_Matrix!$A:$ZZ,ROW(A266),MATCH("Evolution_Name",Unified_Matrix!$1:$1,0)),"")</f>
        <v/>
      </c>
      <c r="J269" s="13">
        <f>IF(H269="","",IF(H269=0,"",IF(H269=$Z$32,1,IF(H269=$Z$33,2,IF(H269=$Z$34,3,"")))))</f>
        <v/>
      </c>
      <c r="K269" s="13">
        <f t="array" ref="K269">IFERROR(INDEX(Unified_Matrix!$A:$ZZ,ROW(A266),MATCH("+ OVR",Unified_Matrix!$1:$1,0)),"")</f>
        <v/>
      </c>
      <c r="L269" s="13">
        <f t="array" ref="L269">IFERROR(INDEX(Unified_Matrix!$A:$ZZ,ROW(A266),MATCH("Max OVR",Unified_Matrix!$1:$1,0)),"")</f>
        <v/>
      </c>
      <c r="M269" s="13">
        <f t="array" ref="M269">IFERROR(INDEX(Unified_Matrix!$A:$ZZ,ROW(A266),MATCH("Req_Position",Unified_Matrix!$1:$1,0)),"")</f>
        <v/>
      </c>
      <c r="N269" s="13">
        <f t="array" ref="N269">IFERROR(INDEX(Unified_Matrix!$A:$ZZ,ROW(A266),MATCH("Req_OVR_Max",Unified_Matrix!$1:$1,0)),"")</f>
        <v/>
      </c>
      <c r="O269" s="25">
        <f t="array" ref="O269">IFERROR(INDEX(Unified_Matrix!$A:$ZZ,ROW(A266),MATCH("Req_Other",Unified_Matrix!$1:$1,0)),"")</f>
        <v/>
      </c>
    </row>
    <row r="270" ht="68.25" customHeight="1">
      <c r="H270" s="13">
        <f t="array" ref="H270">IFERROR(INDEX(Unified_Matrix!$A:$ZZ,ROW(A267),MATCH("Max "&amp;$H$3,Unified_Matrix!$1:$1,0)),"")</f>
        <v/>
      </c>
      <c r="I270" s="25">
        <f t="array" ref="I270">IFERROR(INDEX(Unified_Matrix!$A:$ZZ,ROW(A267),MATCH("Evolution_Name",Unified_Matrix!$1:$1,0)),"")</f>
        <v/>
      </c>
      <c r="J270" s="13">
        <f>IF(H270="","",IF(H270=0,"",IF(H270=$Z$32,1,IF(H270=$Z$33,2,IF(H270=$Z$34,3,"")))))</f>
        <v/>
      </c>
      <c r="K270" s="13">
        <f t="array" ref="K270">IFERROR(INDEX(Unified_Matrix!$A:$ZZ,ROW(A267),MATCH("+ OVR",Unified_Matrix!$1:$1,0)),"")</f>
        <v/>
      </c>
      <c r="L270" s="13">
        <f t="array" ref="L270">IFERROR(INDEX(Unified_Matrix!$A:$ZZ,ROW(A267),MATCH("Max OVR",Unified_Matrix!$1:$1,0)),"")</f>
        <v/>
      </c>
      <c r="M270" s="13">
        <f t="array" ref="M270">IFERROR(INDEX(Unified_Matrix!$A:$ZZ,ROW(A267),MATCH("Req_Position",Unified_Matrix!$1:$1,0)),"")</f>
        <v/>
      </c>
      <c r="N270" s="13">
        <f t="array" ref="N270">IFERROR(INDEX(Unified_Matrix!$A:$ZZ,ROW(A267),MATCH("Req_OVR_Max",Unified_Matrix!$1:$1,0)),"")</f>
        <v/>
      </c>
      <c r="O270" s="25">
        <f t="array" ref="O270">IFERROR(INDEX(Unified_Matrix!$A:$ZZ,ROW(A267),MATCH("Req_Other",Unified_Matrix!$1:$1,0)),"")</f>
        <v/>
      </c>
    </row>
    <row r="271" ht="68.25" customHeight="1">
      <c r="H271" s="13">
        <f t="array" ref="H271">IFERROR(INDEX(Unified_Matrix!$A:$ZZ,ROW(A268),MATCH("Max "&amp;$H$3,Unified_Matrix!$1:$1,0)),"")</f>
        <v/>
      </c>
      <c r="I271" s="25">
        <f t="array" ref="I271">IFERROR(INDEX(Unified_Matrix!$A:$ZZ,ROW(A268),MATCH("Evolution_Name",Unified_Matrix!$1:$1,0)),"")</f>
        <v/>
      </c>
      <c r="J271" s="13">
        <f>IF(H271="","",IF(H271=0,"",IF(H271=$Z$32,1,IF(H271=$Z$33,2,IF(H271=$Z$34,3,"")))))</f>
        <v/>
      </c>
      <c r="K271" s="13">
        <f t="array" ref="K271">IFERROR(INDEX(Unified_Matrix!$A:$ZZ,ROW(A268),MATCH("+ OVR",Unified_Matrix!$1:$1,0)),"")</f>
        <v/>
      </c>
      <c r="L271" s="13">
        <f t="array" ref="L271">IFERROR(INDEX(Unified_Matrix!$A:$ZZ,ROW(A268),MATCH("Max OVR",Unified_Matrix!$1:$1,0)),"")</f>
        <v/>
      </c>
      <c r="M271" s="13">
        <f t="array" ref="M271">IFERROR(INDEX(Unified_Matrix!$A:$ZZ,ROW(A268),MATCH("Req_Position",Unified_Matrix!$1:$1,0)),"")</f>
        <v/>
      </c>
      <c r="N271" s="13">
        <f t="array" ref="N271">IFERROR(INDEX(Unified_Matrix!$A:$ZZ,ROW(A268),MATCH("Req_OVR_Max",Unified_Matrix!$1:$1,0)),"")</f>
        <v/>
      </c>
      <c r="O271" s="25">
        <f t="array" ref="O271">IFERROR(INDEX(Unified_Matrix!$A:$ZZ,ROW(A268),MATCH("Req_Other",Unified_Matrix!$1:$1,0)),"")</f>
        <v/>
      </c>
    </row>
    <row r="272" ht="68.25" customHeight="1">
      <c r="H272" s="13">
        <f t="array" ref="H272">IFERROR(INDEX(Unified_Matrix!$A:$ZZ,ROW(A269),MATCH("Max "&amp;$H$3,Unified_Matrix!$1:$1,0)),"")</f>
        <v/>
      </c>
      <c r="I272" s="25">
        <f t="array" ref="I272">IFERROR(INDEX(Unified_Matrix!$A:$ZZ,ROW(A269),MATCH("Evolution_Name",Unified_Matrix!$1:$1,0)),"")</f>
        <v/>
      </c>
      <c r="J272" s="13">
        <f>IF(H272="","",IF(H272=0,"",IF(H272=$Z$32,1,IF(H272=$Z$33,2,IF(H272=$Z$34,3,"")))))</f>
        <v/>
      </c>
      <c r="K272" s="13">
        <f t="array" ref="K272">IFERROR(INDEX(Unified_Matrix!$A:$ZZ,ROW(A269),MATCH("+ OVR",Unified_Matrix!$1:$1,0)),"")</f>
        <v/>
      </c>
      <c r="L272" s="13">
        <f t="array" ref="L272">IFERROR(INDEX(Unified_Matrix!$A:$ZZ,ROW(A269),MATCH("Max OVR",Unified_Matrix!$1:$1,0)),"")</f>
        <v/>
      </c>
      <c r="M272" s="13">
        <f t="array" ref="M272">IFERROR(INDEX(Unified_Matrix!$A:$ZZ,ROW(A269),MATCH("Req_Position",Unified_Matrix!$1:$1,0)),"")</f>
        <v/>
      </c>
      <c r="N272" s="13">
        <f t="array" ref="N272">IFERROR(INDEX(Unified_Matrix!$A:$ZZ,ROW(A269),MATCH("Req_OVR_Max",Unified_Matrix!$1:$1,0)),"")</f>
        <v/>
      </c>
      <c r="O272" s="25">
        <f t="array" ref="O272">IFERROR(INDEX(Unified_Matrix!$A:$ZZ,ROW(A269),MATCH("Req_Other",Unified_Matrix!$1:$1,0)),"")</f>
        <v/>
      </c>
    </row>
    <row r="273" ht="68.25" customHeight="1">
      <c r="H273" s="13">
        <f t="array" ref="H273">IFERROR(INDEX(Unified_Matrix!$A:$ZZ,ROW(A270),MATCH("Max "&amp;$H$3,Unified_Matrix!$1:$1,0)),"")</f>
        <v/>
      </c>
      <c r="I273" s="25">
        <f t="array" ref="I273">IFERROR(INDEX(Unified_Matrix!$A:$ZZ,ROW(A270),MATCH("Evolution_Name",Unified_Matrix!$1:$1,0)),"")</f>
        <v/>
      </c>
      <c r="J273" s="13">
        <f>IF(H273="","",IF(H273=0,"",IF(H273=$Z$32,1,IF(H273=$Z$33,2,IF(H273=$Z$34,3,"")))))</f>
        <v/>
      </c>
      <c r="K273" s="13">
        <f t="array" ref="K273">IFERROR(INDEX(Unified_Matrix!$A:$ZZ,ROW(A270),MATCH("+ OVR",Unified_Matrix!$1:$1,0)),"")</f>
        <v/>
      </c>
      <c r="L273" s="13">
        <f t="array" ref="L273">IFERROR(INDEX(Unified_Matrix!$A:$ZZ,ROW(A270),MATCH("Max OVR",Unified_Matrix!$1:$1,0)),"")</f>
        <v/>
      </c>
      <c r="M273" s="13">
        <f t="array" ref="M273">IFERROR(INDEX(Unified_Matrix!$A:$ZZ,ROW(A270),MATCH("Req_Position",Unified_Matrix!$1:$1,0)),"")</f>
        <v/>
      </c>
      <c r="N273" s="13">
        <f t="array" ref="N273">IFERROR(INDEX(Unified_Matrix!$A:$ZZ,ROW(A270),MATCH("Req_OVR_Max",Unified_Matrix!$1:$1,0)),"")</f>
        <v/>
      </c>
      <c r="O273" s="25">
        <f t="array" ref="O273">IFERROR(INDEX(Unified_Matrix!$A:$ZZ,ROW(A270),MATCH("Req_Other",Unified_Matrix!$1:$1,0)),"")</f>
        <v/>
      </c>
    </row>
    <row r="274" ht="68.25" customHeight="1">
      <c r="H274" s="13">
        <f t="array" ref="H274">IFERROR(INDEX(Unified_Matrix!$A:$ZZ,ROW(A271),MATCH("Max "&amp;$H$3,Unified_Matrix!$1:$1,0)),"")</f>
        <v/>
      </c>
      <c r="I274" s="25">
        <f t="array" ref="I274">IFERROR(INDEX(Unified_Matrix!$A:$ZZ,ROW(A271),MATCH("Evolution_Name",Unified_Matrix!$1:$1,0)),"")</f>
        <v/>
      </c>
      <c r="J274" s="13">
        <f>IF(H274="","",IF(H274=0,"",IF(H274=$Z$32,1,IF(H274=$Z$33,2,IF(H274=$Z$34,3,"")))))</f>
        <v/>
      </c>
      <c r="K274" s="13">
        <f t="array" ref="K274">IFERROR(INDEX(Unified_Matrix!$A:$ZZ,ROW(A271),MATCH("+ OVR",Unified_Matrix!$1:$1,0)),"")</f>
        <v/>
      </c>
      <c r="L274" s="13">
        <f t="array" ref="L274">IFERROR(INDEX(Unified_Matrix!$A:$ZZ,ROW(A271),MATCH("Max OVR",Unified_Matrix!$1:$1,0)),"")</f>
        <v/>
      </c>
      <c r="M274" s="13">
        <f t="array" ref="M274">IFERROR(INDEX(Unified_Matrix!$A:$ZZ,ROW(A271),MATCH("Req_Position",Unified_Matrix!$1:$1,0)),"")</f>
        <v/>
      </c>
      <c r="N274" s="13">
        <f t="array" ref="N274">IFERROR(INDEX(Unified_Matrix!$A:$ZZ,ROW(A271),MATCH("Req_OVR_Max",Unified_Matrix!$1:$1,0)),"")</f>
        <v/>
      </c>
      <c r="O274" s="25">
        <f t="array" ref="O274">IFERROR(INDEX(Unified_Matrix!$A:$ZZ,ROW(A271),MATCH("Req_Other",Unified_Matrix!$1:$1,0)),"")</f>
        <v/>
      </c>
    </row>
    <row r="275" ht="68.25" customHeight="1">
      <c r="H275" s="13">
        <f t="array" ref="H275">IFERROR(INDEX(Unified_Matrix!$A:$ZZ,ROW(A272),MATCH("Max "&amp;$H$3,Unified_Matrix!$1:$1,0)),"")</f>
        <v/>
      </c>
      <c r="I275" s="25">
        <f t="array" ref="I275">IFERROR(INDEX(Unified_Matrix!$A:$ZZ,ROW(A272),MATCH("Evolution_Name",Unified_Matrix!$1:$1,0)),"")</f>
        <v/>
      </c>
      <c r="J275" s="13">
        <f>IF(H275="","",IF(H275=0,"",IF(H275=$Z$32,1,IF(H275=$Z$33,2,IF(H275=$Z$34,3,"")))))</f>
        <v/>
      </c>
      <c r="K275" s="13">
        <f t="array" ref="K275">IFERROR(INDEX(Unified_Matrix!$A:$ZZ,ROW(A272),MATCH("+ OVR",Unified_Matrix!$1:$1,0)),"")</f>
        <v/>
      </c>
      <c r="L275" s="13">
        <f t="array" ref="L275">IFERROR(INDEX(Unified_Matrix!$A:$ZZ,ROW(A272),MATCH("Max OVR",Unified_Matrix!$1:$1,0)),"")</f>
        <v/>
      </c>
      <c r="M275" s="13">
        <f t="array" ref="M275">IFERROR(INDEX(Unified_Matrix!$A:$ZZ,ROW(A272),MATCH("Req_Position",Unified_Matrix!$1:$1,0)),"")</f>
        <v/>
      </c>
      <c r="N275" s="13">
        <f t="array" ref="N275">IFERROR(INDEX(Unified_Matrix!$A:$ZZ,ROW(A272),MATCH("Req_OVR_Max",Unified_Matrix!$1:$1,0)),"")</f>
        <v/>
      </c>
      <c r="O275" s="25">
        <f t="array" ref="O275">IFERROR(INDEX(Unified_Matrix!$A:$ZZ,ROW(A272),MATCH("Req_Other",Unified_Matrix!$1:$1,0)),"")</f>
        <v/>
      </c>
    </row>
    <row r="276" ht="68.25" customHeight="1">
      <c r="H276" s="13">
        <f t="array" ref="H276">IFERROR(INDEX(Unified_Matrix!$A:$ZZ,ROW(A273),MATCH("Max "&amp;$H$3,Unified_Matrix!$1:$1,0)),"")</f>
        <v/>
      </c>
      <c r="I276" s="25">
        <f t="array" ref="I276">IFERROR(INDEX(Unified_Matrix!$A:$ZZ,ROW(A273),MATCH("Evolution_Name",Unified_Matrix!$1:$1,0)),"")</f>
        <v/>
      </c>
      <c r="J276" s="13">
        <f>IF(H276="","",IF(H276=0,"",IF(H276=$Z$32,1,IF(H276=$Z$33,2,IF(H276=$Z$34,3,"")))))</f>
        <v/>
      </c>
      <c r="K276" s="13">
        <f t="array" ref="K276">IFERROR(INDEX(Unified_Matrix!$A:$ZZ,ROW(A273),MATCH("+ OVR",Unified_Matrix!$1:$1,0)),"")</f>
        <v/>
      </c>
      <c r="L276" s="13">
        <f t="array" ref="L276">IFERROR(INDEX(Unified_Matrix!$A:$ZZ,ROW(A273),MATCH("Max OVR",Unified_Matrix!$1:$1,0)),"")</f>
        <v/>
      </c>
      <c r="M276" s="13">
        <f t="array" ref="M276">IFERROR(INDEX(Unified_Matrix!$A:$ZZ,ROW(A273),MATCH("Req_Position",Unified_Matrix!$1:$1,0)),"")</f>
        <v/>
      </c>
      <c r="N276" s="13">
        <f t="array" ref="N276">IFERROR(INDEX(Unified_Matrix!$A:$ZZ,ROW(A273),MATCH("Req_OVR_Max",Unified_Matrix!$1:$1,0)),"")</f>
        <v/>
      </c>
      <c r="O276" s="25">
        <f t="array" ref="O276">IFERROR(INDEX(Unified_Matrix!$A:$ZZ,ROW(A273),MATCH("Req_Other",Unified_Matrix!$1:$1,0)),"")</f>
        <v/>
      </c>
    </row>
    <row r="277" ht="68.25" customHeight="1">
      <c r="H277" s="13">
        <f t="array" ref="H277">IFERROR(INDEX(Unified_Matrix!$A:$ZZ,ROW(A274),MATCH("Max "&amp;$H$3,Unified_Matrix!$1:$1,0)),"")</f>
        <v/>
      </c>
      <c r="I277" s="25">
        <f t="array" ref="I277">IFERROR(INDEX(Unified_Matrix!$A:$ZZ,ROW(A274),MATCH("Evolution_Name",Unified_Matrix!$1:$1,0)),"")</f>
        <v/>
      </c>
      <c r="J277" s="13">
        <f>IF(H277="","",IF(H277=0,"",IF(H277=$Z$32,1,IF(H277=$Z$33,2,IF(H277=$Z$34,3,"")))))</f>
        <v/>
      </c>
      <c r="K277" s="13">
        <f t="array" ref="K277">IFERROR(INDEX(Unified_Matrix!$A:$ZZ,ROW(A274),MATCH("+ OVR",Unified_Matrix!$1:$1,0)),"")</f>
        <v/>
      </c>
      <c r="L277" s="13">
        <f t="array" ref="L277">IFERROR(INDEX(Unified_Matrix!$A:$ZZ,ROW(A274),MATCH("Max OVR",Unified_Matrix!$1:$1,0)),"")</f>
        <v/>
      </c>
      <c r="M277" s="13">
        <f t="array" ref="M277">IFERROR(INDEX(Unified_Matrix!$A:$ZZ,ROW(A274),MATCH("Req_Position",Unified_Matrix!$1:$1,0)),"")</f>
        <v/>
      </c>
      <c r="N277" s="13">
        <f t="array" ref="N277">IFERROR(INDEX(Unified_Matrix!$A:$ZZ,ROW(A274),MATCH("Req_OVR_Max",Unified_Matrix!$1:$1,0)),"")</f>
        <v/>
      </c>
      <c r="O277" s="25">
        <f t="array" ref="O277">IFERROR(INDEX(Unified_Matrix!$A:$ZZ,ROW(A274),MATCH("Req_Other",Unified_Matrix!$1:$1,0)),"")</f>
        <v/>
      </c>
    </row>
    <row r="278" ht="68.25" customHeight="1">
      <c r="H278" s="13">
        <f t="array" ref="H278">IFERROR(INDEX(Unified_Matrix!$A:$ZZ,ROW(A275),MATCH("Max "&amp;$H$3,Unified_Matrix!$1:$1,0)),"")</f>
        <v/>
      </c>
      <c r="I278" s="25">
        <f t="array" ref="I278">IFERROR(INDEX(Unified_Matrix!$A:$ZZ,ROW(A275),MATCH("Evolution_Name",Unified_Matrix!$1:$1,0)),"")</f>
        <v/>
      </c>
      <c r="J278" s="13">
        <f>IF(H278="","",IF(H278=0,"",IF(H278=$Z$32,1,IF(H278=$Z$33,2,IF(H278=$Z$34,3,"")))))</f>
        <v/>
      </c>
      <c r="K278" s="13">
        <f t="array" ref="K278">IFERROR(INDEX(Unified_Matrix!$A:$ZZ,ROW(A275),MATCH("+ OVR",Unified_Matrix!$1:$1,0)),"")</f>
        <v/>
      </c>
      <c r="L278" s="13">
        <f t="array" ref="L278">IFERROR(INDEX(Unified_Matrix!$A:$ZZ,ROW(A275),MATCH("Max OVR",Unified_Matrix!$1:$1,0)),"")</f>
        <v/>
      </c>
      <c r="M278" s="13">
        <f t="array" ref="M278">IFERROR(INDEX(Unified_Matrix!$A:$ZZ,ROW(A275),MATCH("Req_Position",Unified_Matrix!$1:$1,0)),"")</f>
        <v/>
      </c>
      <c r="N278" s="13">
        <f t="array" ref="N278">IFERROR(INDEX(Unified_Matrix!$A:$ZZ,ROW(A275),MATCH("Req_OVR_Max",Unified_Matrix!$1:$1,0)),"")</f>
        <v/>
      </c>
      <c r="O278" s="25">
        <f t="array" ref="O278">IFERROR(INDEX(Unified_Matrix!$A:$ZZ,ROW(A275),MATCH("Req_Other",Unified_Matrix!$1:$1,0)),"")</f>
        <v/>
      </c>
    </row>
    <row r="279" ht="68.25" customHeight="1">
      <c r="H279" s="13">
        <f t="array" ref="H279">IFERROR(INDEX(Unified_Matrix!$A:$ZZ,ROW(A276),MATCH("Max "&amp;$H$3,Unified_Matrix!$1:$1,0)),"")</f>
        <v/>
      </c>
      <c r="I279" s="25">
        <f t="array" ref="I279">IFERROR(INDEX(Unified_Matrix!$A:$ZZ,ROW(A276),MATCH("Evolution_Name",Unified_Matrix!$1:$1,0)),"")</f>
        <v/>
      </c>
      <c r="J279" s="13">
        <f>IF(H279="","",IF(H279=0,"",IF(H279=$Z$32,1,IF(H279=$Z$33,2,IF(H279=$Z$34,3,"")))))</f>
        <v/>
      </c>
      <c r="K279" s="13">
        <f t="array" ref="K279">IFERROR(INDEX(Unified_Matrix!$A:$ZZ,ROW(A276),MATCH("+ OVR",Unified_Matrix!$1:$1,0)),"")</f>
        <v/>
      </c>
      <c r="L279" s="13">
        <f t="array" ref="L279">IFERROR(INDEX(Unified_Matrix!$A:$ZZ,ROW(A276),MATCH("Max OVR",Unified_Matrix!$1:$1,0)),"")</f>
        <v/>
      </c>
      <c r="M279" s="13">
        <f t="array" ref="M279">IFERROR(INDEX(Unified_Matrix!$A:$ZZ,ROW(A276),MATCH("Req_Position",Unified_Matrix!$1:$1,0)),"")</f>
        <v/>
      </c>
      <c r="N279" s="13">
        <f t="array" ref="N279">IFERROR(INDEX(Unified_Matrix!$A:$ZZ,ROW(A276),MATCH("Req_OVR_Max",Unified_Matrix!$1:$1,0)),"")</f>
        <v/>
      </c>
      <c r="O279" s="25">
        <f t="array" ref="O279">IFERROR(INDEX(Unified_Matrix!$A:$ZZ,ROW(A276),MATCH("Req_Other",Unified_Matrix!$1:$1,0)),"")</f>
        <v/>
      </c>
    </row>
    <row r="280" ht="68.25" customHeight="1">
      <c r="H280" s="13">
        <f t="array" ref="H280">IFERROR(INDEX(Unified_Matrix!$A:$ZZ,ROW(A277),MATCH("Max "&amp;$H$3,Unified_Matrix!$1:$1,0)),"")</f>
        <v/>
      </c>
      <c r="I280" s="25">
        <f t="array" ref="I280">IFERROR(INDEX(Unified_Matrix!$A:$ZZ,ROW(A277),MATCH("Evolution_Name",Unified_Matrix!$1:$1,0)),"")</f>
        <v/>
      </c>
      <c r="J280" s="13">
        <f>IF(H280="","",IF(H280=0,"",IF(H280=$Z$32,1,IF(H280=$Z$33,2,IF(H280=$Z$34,3,"")))))</f>
        <v/>
      </c>
      <c r="K280" s="13">
        <f t="array" ref="K280">IFERROR(INDEX(Unified_Matrix!$A:$ZZ,ROW(A277),MATCH("+ OVR",Unified_Matrix!$1:$1,0)),"")</f>
        <v/>
      </c>
      <c r="L280" s="13">
        <f t="array" ref="L280">IFERROR(INDEX(Unified_Matrix!$A:$ZZ,ROW(A277),MATCH("Max OVR",Unified_Matrix!$1:$1,0)),"")</f>
        <v/>
      </c>
      <c r="M280" s="13">
        <f t="array" ref="M280">IFERROR(INDEX(Unified_Matrix!$A:$ZZ,ROW(A277),MATCH("Req_Position",Unified_Matrix!$1:$1,0)),"")</f>
        <v/>
      </c>
      <c r="N280" s="13">
        <f t="array" ref="N280">IFERROR(INDEX(Unified_Matrix!$A:$ZZ,ROW(A277),MATCH("Req_OVR_Max",Unified_Matrix!$1:$1,0)),"")</f>
        <v/>
      </c>
      <c r="O280" s="25">
        <f t="array" ref="O280">IFERROR(INDEX(Unified_Matrix!$A:$ZZ,ROW(A277),MATCH("Req_Other",Unified_Matrix!$1:$1,0)),"")</f>
        <v/>
      </c>
    </row>
    <row r="281" ht="68.25" customHeight="1">
      <c r="H281" s="13">
        <f t="array" ref="H281">IFERROR(INDEX(Unified_Matrix!$A:$ZZ,ROW(A278),MATCH("Max "&amp;$H$3,Unified_Matrix!$1:$1,0)),"")</f>
        <v/>
      </c>
      <c r="I281" s="25">
        <f t="array" ref="I281">IFERROR(INDEX(Unified_Matrix!$A:$ZZ,ROW(A278),MATCH("Evolution_Name",Unified_Matrix!$1:$1,0)),"")</f>
        <v/>
      </c>
      <c r="J281" s="13">
        <f>IF(H281="","",IF(H281=0,"",IF(H281=$Z$32,1,IF(H281=$Z$33,2,IF(H281=$Z$34,3,"")))))</f>
        <v/>
      </c>
      <c r="K281" s="13">
        <f t="array" ref="K281">IFERROR(INDEX(Unified_Matrix!$A:$ZZ,ROW(A278),MATCH("+ OVR",Unified_Matrix!$1:$1,0)),"")</f>
        <v/>
      </c>
      <c r="L281" s="13">
        <f t="array" ref="L281">IFERROR(INDEX(Unified_Matrix!$A:$ZZ,ROW(A278),MATCH("Max OVR",Unified_Matrix!$1:$1,0)),"")</f>
        <v/>
      </c>
      <c r="M281" s="13">
        <f t="array" ref="M281">IFERROR(INDEX(Unified_Matrix!$A:$ZZ,ROW(A278),MATCH("Req_Position",Unified_Matrix!$1:$1,0)),"")</f>
        <v/>
      </c>
      <c r="N281" s="13">
        <f t="array" ref="N281">IFERROR(INDEX(Unified_Matrix!$A:$ZZ,ROW(A278),MATCH("Req_OVR_Max",Unified_Matrix!$1:$1,0)),"")</f>
        <v/>
      </c>
      <c r="O281" s="25">
        <f t="array" ref="O281">IFERROR(INDEX(Unified_Matrix!$A:$ZZ,ROW(A278),MATCH("Req_Other",Unified_Matrix!$1:$1,0)),"")</f>
        <v/>
      </c>
    </row>
    <row r="282" ht="68.25" customHeight="1">
      <c r="H282" s="13">
        <f t="array" ref="H282">IFERROR(INDEX(Unified_Matrix!$A:$ZZ,ROW(A279),MATCH("Max "&amp;$H$3,Unified_Matrix!$1:$1,0)),"")</f>
        <v/>
      </c>
      <c r="I282" s="25">
        <f t="array" ref="I282">IFERROR(INDEX(Unified_Matrix!$A:$ZZ,ROW(A279),MATCH("Evolution_Name",Unified_Matrix!$1:$1,0)),"")</f>
        <v/>
      </c>
      <c r="J282" s="13">
        <f>IF(H282="","",IF(H282=0,"",IF(H282=$Z$32,1,IF(H282=$Z$33,2,IF(H282=$Z$34,3,"")))))</f>
        <v/>
      </c>
      <c r="K282" s="13">
        <f t="array" ref="K282">IFERROR(INDEX(Unified_Matrix!$A:$ZZ,ROW(A279),MATCH("+ OVR",Unified_Matrix!$1:$1,0)),"")</f>
        <v/>
      </c>
      <c r="L282" s="13">
        <f t="array" ref="L282">IFERROR(INDEX(Unified_Matrix!$A:$ZZ,ROW(A279),MATCH("Max OVR",Unified_Matrix!$1:$1,0)),"")</f>
        <v/>
      </c>
      <c r="M282" s="13">
        <f t="array" ref="M282">IFERROR(INDEX(Unified_Matrix!$A:$ZZ,ROW(A279),MATCH("Req_Position",Unified_Matrix!$1:$1,0)),"")</f>
        <v/>
      </c>
      <c r="N282" s="13">
        <f t="array" ref="N282">IFERROR(INDEX(Unified_Matrix!$A:$ZZ,ROW(A279),MATCH("Req_OVR_Max",Unified_Matrix!$1:$1,0)),"")</f>
        <v/>
      </c>
      <c r="O282" s="25">
        <f t="array" ref="O282">IFERROR(INDEX(Unified_Matrix!$A:$ZZ,ROW(A279),MATCH("Req_Other",Unified_Matrix!$1:$1,0)),"")</f>
        <v/>
      </c>
    </row>
    <row r="283" ht="68.25" customHeight="1">
      <c r="H283" s="13">
        <f t="array" ref="H283">IFERROR(INDEX(Unified_Matrix!$A:$ZZ,ROW(A280),MATCH("Max "&amp;$H$3,Unified_Matrix!$1:$1,0)),"")</f>
        <v/>
      </c>
      <c r="I283" s="25">
        <f t="array" ref="I283">IFERROR(INDEX(Unified_Matrix!$A:$ZZ,ROW(A280),MATCH("Evolution_Name",Unified_Matrix!$1:$1,0)),"")</f>
        <v/>
      </c>
      <c r="J283" s="13">
        <f>IF(H283="","",IF(H283=0,"",IF(H283=$Z$32,1,IF(H283=$Z$33,2,IF(H283=$Z$34,3,"")))))</f>
        <v/>
      </c>
      <c r="K283" s="13">
        <f t="array" ref="K283">IFERROR(INDEX(Unified_Matrix!$A:$ZZ,ROW(A280),MATCH("+ OVR",Unified_Matrix!$1:$1,0)),"")</f>
        <v/>
      </c>
      <c r="L283" s="13">
        <f t="array" ref="L283">IFERROR(INDEX(Unified_Matrix!$A:$ZZ,ROW(A280),MATCH("Max OVR",Unified_Matrix!$1:$1,0)),"")</f>
        <v/>
      </c>
      <c r="M283" s="13">
        <f t="array" ref="M283">IFERROR(INDEX(Unified_Matrix!$A:$ZZ,ROW(A280),MATCH("Req_Position",Unified_Matrix!$1:$1,0)),"")</f>
        <v/>
      </c>
      <c r="N283" s="13">
        <f t="array" ref="N283">IFERROR(INDEX(Unified_Matrix!$A:$ZZ,ROW(A280),MATCH("Req_OVR_Max",Unified_Matrix!$1:$1,0)),"")</f>
        <v/>
      </c>
      <c r="O283" s="25">
        <f t="array" ref="O283">IFERROR(INDEX(Unified_Matrix!$A:$ZZ,ROW(A280),MATCH("Req_Other",Unified_Matrix!$1:$1,0)),"")</f>
        <v/>
      </c>
    </row>
    <row r="284" ht="68.25" customHeight="1">
      <c r="H284" s="13">
        <f t="array" ref="H284">IFERROR(INDEX(Unified_Matrix!$A:$ZZ,ROW(A281),MATCH("Max "&amp;$H$3,Unified_Matrix!$1:$1,0)),"")</f>
        <v/>
      </c>
      <c r="I284" s="25">
        <f t="array" ref="I284">IFERROR(INDEX(Unified_Matrix!$A:$ZZ,ROW(A281),MATCH("Evolution_Name",Unified_Matrix!$1:$1,0)),"")</f>
        <v/>
      </c>
      <c r="J284" s="13">
        <f>IF(H284="","",IF(H284=0,"",IF(H284=$Z$32,1,IF(H284=$Z$33,2,IF(H284=$Z$34,3,"")))))</f>
        <v/>
      </c>
      <c r="K284" s="13">
        <f t="array" ref="K284">IFERROR(INDEX(Unified_Matrix!$A:$ZZ,ROW(A281),MATCH("+ OVR",Unified_Matrix!$1:$1,0)),"")</f>
        <v/>
      </c>
      <c r="L284" s="13">
        <f t="array" ref="L284">IFERROR(INDEX(Unified_Matrix!$A:$ZZ,ROW(A281),MATCH("Max OVR",Unified_Matrix!$1:$1,0)),"")</f>
        <v/>
      </c>
      <c r="M284" s="13">
        <f t="array" ref="M284">IFERROR(INDEX(Unified_Matrix!$A:$ZZ,ROW(A281),MATCH("Req_Position",Unified_Matrix!$1:$1,0)),"")</f>
        <v/>
      </c>
      <c r="N284" s="13">
        <f t="array" ref="N284">IFERROR(INDEX(Unified_Matrix!$A:$ZZ,ROW(A281),MATCH("Req_OVR_Max",Unified_Matrix!$1:$1,0)),"")</f>
        <v/>
      </c>
      <c r="O284" s="25">
        <f t="array" ref="O284">IFERROR(INDEX(Unified_Matrix!$A:$ZZ,ROW(A281),MATCH("Req_Other",Unified_Matrix!$1:$1,0)),"")</f>
        <v/>
      </c>
    </row>
    <row r="285" ht="68.25" customHeight="1">
      <c r="H285" s="13">
        <f t="array" ref="H285">IFERROR(INDEX(Unified_Matrix!$A:$ZZ,ROW(A282),MATCH("Max "&amp;$H$3,Unified_Matrix!$1:$1,0)),"")</f>
        <v/>
      </c>
      <c r="I285" s="25">
        <f t="array" ref="I285">IFERROR(INDEX(Unified_Matrix!$A:$ZZ,ROW(A282),MATCH("Evolution_Name",Unified_Matrix!$1:$1,0)),"")</f>
        <v/>
      </c>
      <c r="J285" s="13">
        <f>IF(H285="","",IF(H285=0,"",IF(H285=$Z$32,1,IF(H285=$Z$33,2,IF(H285=$Z$34,3,"")))))</f>
        <v/>
      </c>
      <c r="K285" s="13">
        <f t="array" ref="K285">IFERROR(INDEX(Unified_Matrix!$A:$ZZ,ROW(A282),MATCH("+ OVR",Unified_Matrix!$1:$1,0)),"")</f>
        <v/>
      </c>
      <c r="L285" s="13">
        <f t="array" ref="L285">IFERROR(INDEX(Unified_Matrix!$A:$ZZ,ROW(A282),MATCH("Max OVR",Unified_Matrix!$1:$1,0)),"")</f>
        <v/>
      </c>
      <c r="M285" s="13">
        <f t="array" ref="M285">IFERROR(INDEX(Unified_Matrix!$A:$ZZ,ROW(A282),MATCH("Req_Position",Unified_Matrix!$1:$1,0)),"")</f>
        <v/>
      </c>
      <c r="N285" s="13">
        <f t="array" ref="N285">IFERROR(INDEX(Unified_Matrix!$A:$ZZ,ROW(A282),MATCH("Req_OVR_Max",Unified_Matrix!$1:$1,0)),"")</f>
        <v/>
      </c>
      <c r="O285" s="25">
        <f t="array" ref="O285">IFERROR(INDEX(Unified_Matrix!$A:$ZZ,ROW(A282),MATCH("Req_Other",Unified_Matrix!$1:$1,0)),"")</f>
        <v/>
      </c>
    </row>
    <row r="286" ht="68.25" customHeight="1">
      <c r="H286" s="13">
        <f t="array" ref="H286">IFERROR(INDEX(Unified_Matrix!$A:$ZZ,ROW(A283),MATCH("Max "&amp;$H$3,Unified_Matrix!$1:$1,0)),"")</f>
        <v/>
      </c>
      <c r="I286" s="25">
        <f t="array" ref="I286">IFERROR(INDEX(Unified_Matrix!$A:$ZZ,ROW(A283),MATCH("Evolution_Name",Unified_Matrix!$1:$1,0)),"")</f>
        <v/>
      </c>
      <c r="J286" s="13">
        <f>IF(H286="","",IF(H286=0,"",IF(H286=$Z$32,1,IF(H286=$Z$33,2,IF(H286=$Z$34,3,"")))))</f>
        <v/>
      </c>
      <c r="K286" s="13">
        <f t="array" ref="K286">IFERROR(INDEX(Unified_Matrix!$A:$ZZ,ROW(A283),MATCH("+ OVR",Unified_Matrix!$1:$1,0)),"")</f>
        <v/>
      </c>
      <c r="L286" s="13">
        <f t="array" ref="L286">IFERROR(INDEX(Unified_Matrix!$A:$ZZ,ROW(A283),MATCH("Max OVR",Unified_Matrix!$1:$1,0)),"")</f>
        <v/>
      </c>
      <c r="M286" s="13">
        <f t="array" ref="M286">IFERROR(INDEX(Unified_Matrix!$A:$ZZ,ROW(A283),MATCH("Req_Position",Unified_Matrix!$1:$1,0)),"")</f>
        <v/>
      </c>
      <c r="N286" s="13">
        <f t="array" ref="N286">IFERROR(INDEX(Unified_Matrix!$A:$ZZ,ROW(A283),MATCH("Req_OVR_Max",Unified_Matrix!$1:$1,0)),"")</f>
        <v/>
      </c>
      <c r="O286" s="25">
        <f t="array" ref="O286">IFERROR(INDEX(Unified_Matrix!$A:$ZZ,ROW(A283),MATCH("Req_Other",Unified_Matrix!$1:$1,0)),"")</f>
        <v/>
      </c>
    </row>
    <row r="287" ht="68.25" customHeight="1">
      <c r="H287" s="13">
        <f t="array" ref="H287">IFERROR(INDEX(Unified_Matrix!$A:$ZZ,ROW(A284),MATCH("Max "&amp;$H$3,Unified_Matrix!$1:$1,0)),"")</f>
        <v/>
      </c>
      <c r="I287" s="25">
        <f t="array" ref="I287">IFERROR(INDEX(Unified_Matrix!$A:$ZZ,ROW(A284),MATCH("Evolution_Name",Unified_Matrix!$1:$1,0)),"")</f>
        <v/>
      </c>
      <c r="J287" s="13">
        <f>IF(H287="","",IF(H287=0,"",IF(H287=$Z$32,1,IF(H287=$Z$33,2,IF(H287=$Z$34,3,"")))))</f>
        <v/>
      </c>
      <c r="K287" s="13">
        <f t="array" ref="K287">IFERROR(INDEX(Unified_Matrix!$A:$ZZ,ROW(A284),MATCH("+ OVR",Unified_Matrix!$1:$1,0)),"")</f>
        <v/>
      </c>
      <c r="L287" s="13">
        <f t="array" ref="L287">IFERROR(INDEX(Unified_Matrix!$A:$ZZ,ROW(A284),MATCH("Max OVR",Unified_Matrix!$1:$1,0)),"")</f>
        <v/>
      </c>
      <c r="M287" s="13">
        <f t="array" ref="M287">IFERROR(INDEX(Unified_Matrix!$A:$ZZ,ROW(A284),MATCH("Req_Position",Unified_Matrix!$1:$1,0)),"")</f>
        <v/>
      </c>
      <c r="N287" s="13">
        <f t="array" ref="N287">IFERROR(INDEX(Unified_Matrix!$A:$ZZ,ROW(A284),MATCH("Req_OVR_Max",Unified_Matrix!$1:$1,0)),"")</f>
        <v/>
      </c>
      <c r="O287" s="25">
        <f t="array" ref="O287">IFERROR(INDEX(Unified_Matrix!$A:$ZZ,ROW(A284),MATCH("Req_Other",Unified_Matrix!$1:$1,0)),"")</f>
        <v/>
      </c>
    </row>
    <row r="288" ht="68.25" customHeight="1">
      <c r="H288" s="13">
        <f t="array" ref="H288">IFERROR(INDEX(Unified_Matrix!$A:$ZZ,ROW(A285),MATCH("Max "&amp;$H$3,Unified_Matrix!$1:$1,0)),"")</f>
        <v/>
      </c>
      <c r="I288" s="25">
        <f t="array" ref="I288">IFERROR(INDEX(Unified_Matrix!$A:$ZZ,ROW(A285),MATCH("Evolution_Name",Unified_Matrix!$1:$1,0)),"")</f>
        <v/>
      </c>
      <c r="J288" s="13">
        <f>IF(H288="","",IF(H288=0,"",IF(H288=$Z$32,1,IF(H288=$Z$33,2,IF(H288=$Z$34,3,"")))))</f>
        <v/>
      </c>
      <c r="K288" s="13">
        <f t="array" ref="K288">IFERROR(INDEX(Unified_Matrix!$A:$ZZ,ROW(A285),MATCH("+ OVR",Unified_Matrix!$1:$1,0)),"")</f>
        <v/>
      </c>
      <c r="L288" s="13">
        <f t="array" ref="L288">IFERROR(INDEX(Unified_Matrix!$A:$ZZ,ROW(A285),MATCH("Max OVR",Unified_Matrix!$1:$1,0)),"")</f>
        <v/>
      </c>
      <c r="M288" s="13">
        <f t="array" ref="M288">IFERROR(INDEX(Unified_Matrix!$A:$ZZ,ROW(A285),MATCH("Req_Position",Unified_Matrix!$1:$1,0)),"")</f>
        <v/>
      </c>
      <c r="N288" s="13">
        <f t="array" ref="N288">IFERROR(INDEX(Unified_Matrix!$A:$ZZ,ROW(A285),MATCH("Req_OVR_Max",Unified_Matrix!$1:$1,0)),"")</f>
        <v/>
      </c>
      <c r="O288" s="25">
        <f t="array" ref="O288">IFERROR(INDEX(Unified_Matrix!$A:$ZZ,ROW(A285),MATCH("Req_Other",Unified_Matrix!$1:$1,0)),"")</f>
        <v/>
      </c>
    </row>
    <row r="289" ht="68.25" customHeight="1">
      <c r="H289" s="13">
        <f t="array" ref="H289">IFERROR(INDEX(Unified_Matrix!$A:$ZZ,ROW(A286),MATCH("Max "&amp;$H$3,Unified_Matrix!$1:$1,0)),"")</f>
        <v/>
      </c>
      <c r="I289" s="25">
        <f t="array" ref="I289">IFERROR(INDEX(Unified_Matrix!$A:$ZZ,ROW(A286),MATCH("Evolution_Name",Unified_Matrix!$1:$1,0)),"")</f>
        <v/>
      </c>
      <c r="J289" s="13">
        <f>IF(H289="","",IF(H289=0,"",IF(H289=$Z$32,1,IF(H289=$Z$33,2,IF(H289=$Z$34,3,"")))))</f>
        <v/>
      </c>
      <c r="K289" s="13">
        <f t="array" ref="K289">IFERROR(INDEX(Unified_Matrix!$A:$ZZ,ROW(A286),MATCH("+ OVR",Unified_Matrix!$1:$1,0)),"")</f>
        <v/>
      </c>
      <c r="L289" s="13">
        <f t="array" ref="L289">IFERROR(INDEX(Unified_Matrix!$A:$ZZ,ROW(A286),MATCH("Max OVR",Unified_Matrix!$1:$1,0)),"")</f>
        <v/>
      </c>
      <c r="M289" s="13">
        <f t="array" ref="M289">IFERROR(INDEX(Unified_Matrix!$A:$ZZ,ROW(A286),MATCH("Req_Position",Unified_Matrix!$1:$1,0)),"")</f>
        <v/>
      </c>
      <c r="N289" s="13">
        <f t="array" ref="N289">IFERROR(INDEX(Unified_Matrix!$A:$ZZ,ROW(A286),MATCH("Req_OVR_Max",Unified_Matrix!$1:$1,0)),"")</f>
        <v/>
      </c>
      <c r="O289" s="25">
        <f t="array" ref="O289">IFERROR(INDEX(Unified_Matrix!$A:$ZZ,ROW(A286),MATCH("Req_Other",Unified_Matrix!$1:$1,0)),"")</f>
        <v/>
      </c>
    </row>
    <row r="290" ht="68.25" customHeight="1">
      <c r="H290" s="13">
        <f t="array" ref="H290">IFERROR(INDEX(Unified_Matrix!$A:$ZZ,ROW(A287),MATCH("Max "&amp;$H$3,Unified_Matrix!$1:$1,0)),"")</f>
        <v/>
      </c>
      <c r="I290" s="25">
        <f t="array" ref="I290">IFERROR(INDEX(Unified_Matrix!$A:$ZZ,ROW(A287),MATCH("Evolution_Name",Unified_Matrix!$1:$1,0)),"")</f>
        <v/>
      </c>
      <c r="J290" s="13">
        <f>IF(H290="","",IF(H290=0,"",IF(H290=$Z$32,1,IF(H290=$Z$33,2,IF(H290=$Z$34,3,"")))))</f>
        <v/>
      </c>
      <c r="K290" s="13">
        <f t="array" ref="K290">IFERROR(INDEX(Unified_Matrix!$A:$ZZ,ROW(A287),MATCH("+ OVR",Unified_Matrix!$1:$1,0)),"")</f>
        <v/>
      </c>
      <c r="L290" s="13">
        <f t="array" ref="L290">IFERROR(INDEX(Unified_Matrix!$A:$ZZ,ROW(A287),MATCH("Max OVR",Unified_Matrix!$1:$1,0)),"")</f>
        <v/>
      </c>
      <c r="M290" s="13">
        <f t="array" ref="M290">IFERROR(INDEX(Unified_Matrix!$A:$ZZ,ROW(A287),MATCH("Req_Position",Unified_Matrix!$1:$1,0)),"")</f>
        <v/>
      </c>
      <c r="N290" s="13">
        <f t="array" ref="N290">IFERROR(INDEX(Unified_Matrix!$A:$ZZ,ROW(A287),MATCH("Req_OVR_Max",Unified_Matrix!$1:$1,0)),"")</f>
        <v/>
      </c>
      <c r="O290" s="25">
        <f t="array" ref="O290">IFERROR(INDEX(Unified_Matrix!$A:$ZZ,ROW(A287),MATCH("Req_Other",Unified_Matrix!$1:$1,0)),"")</f>
        <v/>
      </c>
    </row>
    <row r="291" ht="68.25" customHeight="1">
      <c r="H291" s="13">
        <f t="array" ref="H291">IFERROR(INDEX(Unified_Matrix!$A:$ZZ,ROW(A288),MATCH("Max "&amp;$H$3,Unified_Matrix!$1:$1,0)),"")</f>
        <v/>
      </c>
      <c r="I291" s="25">
        <f t="array" ref="I291">IFERROR(INDEX(Unified_Matrix!$A:$ZZ,ROW(A288),MATCH("Evolution_Name",Unified_Matrix!$1:$1,0)),"")</f>
        <v/>
      </c>
      <c r="J291" s="13">
        <f>IF(H291="","",IF(H291=0,"",IF(H291=$Z$32,1,IF(H291=$Z$33,2,IF(H291=$Z$34,3,"")))))</f>
        <v/>
      </c>
      <c r="K291" s="13">
        <f t="array" ref="K291">IFERROR(INDEX(Unified_Matrix!$A:$ZZ,ROW(A288),MATCH("+ OVR",Unified_Matrix!$1:$1,0)),"")</f>
        <v/>
      </c>
      <c r="L291" s="13">
        <f t="array" ref="L291">IFERROR(INDEX(Unified_Matrix!$A:$ZZ,ROW(A288),MATCH("Max OVR",Unified_Matrix!$1:$1,0)),"")</f>
        <v/>
      </c>
      <c r="M291" s="13">
        <f t="array" ref="M291">IFERROR(INDEX(Unified_Matrix!$A:$ZZ,ROW(A288),MATCH("Req_Position",Unified_Matrix!$1:$1,0)),"")</f>
        <v/>
      </c>
      <c r="N291" s="13">
        <f t="array" ref="N291">IFERROR(INDEX(Unified_Matrix!$A:$ZZ,ROW(A288),MATCH("Req_OVR_Max",Unified_Matrix!$1:$1,0)),"")</f>
        <v/>
      </c>
      <c r="O291" s="25">
        <f t="array" ref="O291">IFERROR(INDEX(Unified_Matrix!$A:$ZZ,ROW(A288),MATCH("Req_Other",Unified_Matrix!$1:$1,0)),"")</f>
        <v/>
      </c>
    </row>
    <row r="292" ht="68.25" customHeight="1">
      <c r="H292" s="13">
        <f t="array" ref="H292">IFERROR(INDEX(Unified_Matrix!$A:$ZZ,ROW(A289),MATCH("Max "&amp;$H$3,Unified_Matrix!$1:$1,0)),"")</f>
        <v/>
      </c>
      <c r="I292" s="25">
        <f t="array" ref="I292">IFERROR(INDEX(Unified_Matrix!$A:$ZZ,ROW(A289),MATCH("Evolution_Name",Unified_Matrix!$1:$1,0)),"")</f>
        <v/>
      </c>
      <c r="J292" s="13">
        <f>IF(H292="","",IF(H292=0,"",IF(H292=$Z$32,1,IF(H292=$Z$33,2,IF(H292=$Z$34,3,"")))))</f>
        <v/>
      </c>
      <c r="K292" s="13">
        <f t="array" ref="K292">IFERROR(INDEX(Unified_Matrix!$A:$ZZ,ROW(A289),MATCH("+ OVR",Unified_Matrix!$1:$1,0)),"")</f>
        <v/>
      </c>
      <c r="L292" s="13">
        <f t="array" ref="L292">IFERROR(INDEX(Unified_Matrix!$A:$ZZ,ROW(A289),MATCH("Max OVR",Unified_Matrix!$1:$1,0)),"")</f>
        <v/>
      </c>
      <c r="M292" s="13">
        <f t="array" ref="M292">IFERROR(INDEX(Unified_Matrix!$A:$ZZ,ROW(A289),MATCH("Req_Position",Unified_Matrix!$1:$1,0)),"")</f>
        <v/>
      </c>
      <c r="N292" s="13">
        <f t="array" ref="N292">IFERROR(INDEX(Unified_Matrix!$A:$ZZ,ROW(A289),MATCH("Req_OVR_Max",Unified_Matrix!$1:$1,0)),"")</f>
        <v/>
      </c>
      <c r="O292" s="25">
        <f t="array" ref="O292">IFERROR(INDEX(Unified_Matrix!$A:$ZZ,ROW(A289),MATCH("Req_Other",Unified_Matrix!$1:$1,0)),"")</f>
        <v/>
      </c>
    </row>
    <row r="293" ht="68.25" customHeight="1">
      <c r="H293" s="13">
        <f t="array" ref="H293">IFERROR(INDEX(Unified_Matrix!$A:$ZZ,ROW(A290),MATCH("Max "&amp;$H$3,Unified_Matrix!$1:$1,0)),"")</f>
        <v/>
      </c>
      <c r="I293" s="25">
        <f t="array" ref="I293">IFERROR(INDEX(Unified_Matrix!$A:$ZZ,ROW(A290),MATCH("Evolution_Name",Unified_Matrix!$1:$1,0)),"")</f>
        <v/>
      </c>
      <c r="J293" s="13">
        <f>IF(H293="","",IF(H293=0,"",IF(H293=$Z$32,1,IF(H293=$Z$33,2,IF(H293=$Z$34,3,"")))))</f>
        <v/>
      </c>
      <c r="K293" s="13">
        <f t="array" ref="K293">IFERROR(INDEX(Unified_Matrix!$A:$ZZ,ROW(A290),MATCH("+ OVR",Unified_Matrix!$1:$1,0)),"")</f>
        <v/>
      </c>
      <c r="L293" s="13">
        <f t="array" ref="L293">IFERROR(INDEX(Unified_Matrix!$A:$ZZ,ROW(A290),MATCH("Max OVR",Unified_Matrix!$1:$1,0)),"")</f>
        <v/>
      </c>
      <c r="M293" s="13">
        <f t="array" ref="M293">IFERROR(INDEX(Unified_Matrix!$A:$ZZ,ROW(A290),MATCH("Req_Position",Unified_Matrix!$1:$1,0)),"")</f>
        <v/>
      </c>
      <c r="N293" s="13">
        <f t="array" ref="N293">IFERROR(INDEX(Unified_Matrix!$A:$ZZ,ROW(A290),MATCH("Req_OVR_Max",Unified_Matrix!$1:$1,0)),"")</f>
        <v/>
      </c>
      <c r="O293" s="25">
        <f t="array" ref="O293">IFERROR(INDEX(Unified_Matrix!$A:$ZZ,ROW(A290),MATCH("Req_Other",Unified_Matrix!$1:$1,0)),"")</f>
        <v/>
      </c>
    </row>
    <row r="294" ht="68.25" customHeight="1">
      <c r="H294" s="13">
        <f t="array" ref="H294">IFERROR(INDEX(Unified_Matrix!$A:$ZZ,ROW(A291),MATCH("Max "&amp;$H$3,Unified_Matrix!$1:$1,0)),"")</f>
        <v/>
      </c>
      <c r="I294" s="25">
        <f t="array" ref="I294">IFERROR(INDEX(Unified_Matrix!$A:$ZZ,ROW(A291),MATCH("Evolution_Name",Unified_Matrix!$1:$1,0)),"")</f>
        <v/>
      </c>
      <c r="J294" s="13">
        <f>IF(H294="","",IF(H294=0,"",IF(H294=$Z$32,1,IF(H294=$Z$33,2,IF(H294=$Z$34,3,"")))))</f>
        <v/>
      </c>
      <c r="K294" s="13">
        <f t="array" ref="K294">IFERROR(INDEX(Unified_Matrix!$A:$ZZ,ROW(A291),MATCH("+ OVR",Unified_Matrix!$1:$1,0)),"")</f>
        <v/>
      </c>
      <c r="L294" s="13">
        <f t="array" ref="L294">IFERROR(INDEX(Unified_Matrix!$A:$ZZ,ROW(A291),MATCH("Max OVR",Unified_Matrix!$1:$1,0)),"")</f>
        <v/>
      </c>
      <c r="M294" s="13">
        <f t="array" ref="M294">IFERROR(INDEX(Unified_Matrix!$A:$ZZ,ROW(A291),MATCH("Req_Position",Unified_Matrix!$1:$1,0)),"")</f>
        <v/>
      </c>
      <c r="N294" s="13">
        <f t="array" ref="N294">IFERROR(INDEX(Unified_Matrix!$A:$ZZ,ROW(A291),MATCH("Req_OVR_Max",Unified_Matrix!$1:$1,0)),"")</f>
        <v/>
      </c>
      <c r="O294" s="25">
        <f t="array" ref="O294">IFERROR(INDEX(Unified_Matrix!$A:$ZZ,ROW(A291),MATCH("Req_Other",Unified_Matrix!$1:$1,0)),"")</f>
        <v/>
      </c>
    </row>
    <row r="295" ht="68.25" customHeight="1">
      <c r="H295" s="13">
        <f t="array" ref="H295">IFERROR(INDEX(Unified_Matrix!$A:$ZZ,ROW(A292),MATCH("Max "&amp;$H$3,Unified_Matrix!$1:$1,0)),"")</f>
        <v/>
      </c>
      <c r="I295" s="25">
        <f t="array" ref="I295">IFERROR(INDEX(Unified_Matrix!$A:$ZZ,ROW(A292),MATCH("Evolution_Name",Unified_Matrix!$1:$1,0)),"")</f>
        <v/>
      </c>
      <c r="J295" s="13">
        <f>IF(H295="","",IF(H295=0,"",IF(H295=$Z$32,1,IF(H295=$Z$33,2,IF(H295=$Z$34,3,"")))))</f>
        <v/>
      </c>
      <c r="K295" s="13">
        <f t="array" ref="K295">IFERROR(INDEX(Unified_Matrix!$A:$ZZ,ROW(A292),MATCH("+ OVR",Unified_Matrix!$1:$1,0)),"")</f>
        <v/>
      </c>
      <c r="L295" s="13">
        <f t="array" ref="L295">IFERROR(INDEX(Unified_Matrix!$A:$ZZ,ROW(A292),MATCH("Max OVR",Unified_Matrix!$1:$1,0)),"")</f>
        <v/>
      </c>
      <c r="M295" s="13">
        <f t="array" ref="M295">IFERROR(INDEX(Unified_Matrix!$A:$ZZ,ROW(A292),MATCH("Req_Position",Unified_Matrix!$1:$1,0)),"")</f>
        <v/>
      </c>
      <c r="N295" s="13">
        <f t="array" ref="N295">IFERROR(INDEX(Unified_Matrix!$A:$ZZ,ROW(A292),MATCH("Req_OVR_Max",Unified_Matrix!$1:$1,0)),"")</f>
        <v/>
      </c>
      <c r="O295" s="25">
        <f t="array" ref="O295">IFERROR(INDEX(Unified_Matrix!$A:$ZZ,ROW(A292),MATCH("Req_Other",Unified_Matrix!$1:$1,0)),"")</f>
        <v/>
      </c>
    </row>
    <row r="296" ht="68.25" customHeight="1">
      <c r="H296" s="13">
        <f t="array" ref="H296">IFERROR(INDEX(Unified_Matrix!$A:$ZZ,ROW(A293),MATCH("Max "&amp;$H$3,Unified_Matrix!$1:$1,0)),"")</f>
        <v/>
      </c>
      <c r="I296" s="25">
        <f t="array" ref="I296">IFERROR(INDEX(Unified_Matrix!$A:$ZZ,ROW(A293),MATCH("Evolution_Name",Unified_Matrix!$1:$1,0)),"")</f>
        <v/>
      </c>
      <c r="J296" s="13">
        <f>IF(H296="","",IF(H296=0,"",IF(H296=$Z$32,1,IF(H296=$Z$33,2,IF(H296=$Z$34,3,"")))))</f>
        <v/>
      </c>
      <c r="K296" s="13">
        <f t="array" ref="K296">IFERROR(INDEX(Unified_Matrix!$A:$ZZ,ROW(A293),MATCH("+ OVR",Unified_Matrix!$1:$1,0)),"")</f>
        <v/>
      </c>
      <c r="L296" s="13">
        <f t="array" ref="L296">IFERROR(INDEX(Unified_Matrix!$A:$ZZ,ROW(A293),MATCH("Max OVR",Unified_Matrix!$1:$1,0)),"")</f>
        <v/>
      </c>
      <c r="M296" s="13">
        <f t="array" ref="M296">IFERROR(INDEX(Unified_Matrix!$A:$ZZ,ROW(A293),MATCH("Req_Position",Unified_Matrix!$1:$1,0)),"")</f>
        <v/>
      </c>
      <c r="N296" s="13">
        <f t="array" ref="N296">IFERROR(INDEX(Unified_Matrix!$A:$ZZ,ROW(A293),MATCH("Req_OVR_Max",Unified_Matrix!$1:$1,0)),"")</f>
        <v/>
      </c>
      <c r="O296" s="25">
        <f t="array" ref="O296">IFERROR(INDEX(Unified_Matrix!$A:$ZZ,ROW(A293),MATCH("Req_Other",Unified_Matrix!$1:$1,0)),"")</f>
        <v/>
      </c>
    </row>
    <row r="297" ht="68.25" customHeight="1">
      <c r="H297" s="13">
        <f t="array" ref="H297">IFERROR(INDEX(Unified_Matrix!$A:$ZZ,ROW(A294),MATCH("Max "&amp;$H$3,Unified_Matrix!$1:$1,0)),"")</f>
        <v/>
      </c>
      <c r="I297" s="25">
        <f t="array" ref="I297">IFERROR(INDEX(Unified_Matrix!$A:$ZZ,ROW(A294),MATCH("Evolution_Name",Unified_Matrix!$1:$1,0)),"")</f>
        <v/>
      </c>
      <c r="J297" s="13">
        <f>IF(H297="","",IF(H297=0,"",IF(H297=$Z$32,1,IF(H297=$Z$33,2,IF(H297=$Z$34,3,"")))))</f>
        <v/>
      </c>
      <c r="K297" s="13">
        <f t="array" ref="K297">IFERROR(INDEX(Unified_Matrix!$A:$ZZ,ROW(A294),MATCH("+ OVR",Unified_Matrix!$1:$1,0)),"")</f>
        <v/>
      </c>
      <c r="L297" s="13">
        <f t="array" ref="L297">IFERROR(INDEX(Unified_Matrix!$A:$ZZ,ROW(A294),MATCH("Max OVR",Unified_Matrix!$1:$1,0)),"")</f>
        <v/>
      </c>
      <c r="M297" s="13">
        <f t="array" ref="M297">IFERROR(INDEX(Unified_Matrix!$A:$ZZ,ROW(A294),MATCH("Req_Position",Unified_Matrix!$1:$1,0)),"")</f>
        <v/>
      </c>
      <c r="N297" s="13">
        <f t="array" ref="N297">IFERROR(INDEX(Unified_Matrix!$A:$ZZ,ROW(A294),MATCH("Req_OVR_Max",Unified_Matrix!$1:$1,0)),"")</f>
        <v/>
      </c>
      <c r="O297" s="25">
        <f t="array" ref="O297">IFERROR(INDEX(Unified_Matrix!$A:$ZZ,ROW(A294),MATCH("Req_Other",Unified_Matrix!$1:$1,0)),"")</f>
        <v/>
      </c>
    </row>
    <row r="298" ht="68.25" customHeight="1">
      <c r="H298" s="13">
        <f t="array" ref="H298">IFERROR(INDEX(Unified_Matrix!$A:$ZZ,ROW(A295),MATCH("Max "&amp;$H$3,Unified_Matrix!$1:$1,0)),"")</f>
        <v/>
      </c>
      <c r="I298" s="25">
        <f t="array" ref="I298">IFERROR(INDEX(Unified_Matrix!$A:$ZZ,ROW(A295),MATCH("Evolution_Name",Unified_Matrix!$1:$1,0)),"")</f>
        <v/>
      </c>
      <c r="J298" s="13">
        <f>IF(H298="","",IF(H298=0,"",IF(H298=$Z$32,1,IF(H298=$Z$33,2,IF(H298=$Z$34,3,"")))))</f>
        <v/>
      </c>
      <c r="K298" s="13">
        <f t="array" ref="K298">IFERROR(INDEX(Unified_Matrix!$A:$ZZ,ROW(A295),MATCH("+ OVR",Unified_Matrix!$1:$1,0)),"")</f>
        <v/>
      </c>
      <c r="L298" s="13">
        <f t="array" ref="L298">IFERROR(INDEX(Unified_Matrix!$A:$ZZ,ROW(A295),MATCH("Max OVR",Unified_Matrix!$1:$1,0)),"")</f>
        <v/>
      </c>
      <c r="M298" s="13">
        <f t="array" ref="M298">IFERROR(INDEX(Unified_Matrix!$A:$ZZ,ROW(A295),MATCH("Req_Position",Unified_Matrix!$1:$1,0)),"")</f>
        <v/>
      </c>
      <c r="N298" s="13">
        <f t="array" ref="N298">IFERROR(INDEX(Unified_Matrix!$A:$ZZ,ROW(A295),MATCH("Req_OVR_Max",Unified_Matrix!$1:$1,0)),"")</f>
        <v/>
      </c>
      <c r="O298" s="25">
        <f t="array" ref="O298">IFERROR(INDEX(Unified_Matrix!$A:$ZZ,ROW(A295),MATCH("Req_Other",Unified_Matrix!$1:$1,0)),"")</f>
        <v/>
      </c>
    </row>
    <row r="299" ht="68.25" customHeight="1">
      <c r="H299" s="13">
        <f t="array" ref="H299">IFERROR(INDEX(Unified_Matrix!$A:$ZZ,ROW(A296),MATCH("Max "&amp;$H$3,Unified_Matrix!$1:$1,0)),"")</f>
        <v/>
      </c>
      <c r="I299" s="25">
        <f t="array" ref="I299">IFERROR(INDEX(Unified_Matrix!$A:$ZZ,ROW(A296),MATCH("Evolution_Name",Unified_Matrix!$1:$1,0)),"")</f>
        <v/>
      </c>
      <c r="J299" s="13">
        <f>IF(H299="","",IF(H299=0,"",IF(H299=$Z$32,1,IF(H299=$Z$33,2,IF(H299=$Z$34,3,"")))))</f>
        <v/>
      </c>
      <c r="K299" s="13">
        <f t="array" ref="K299">IFERROR(INDEX(Unified_Matrix!$A:$ZZ,ROW(A296),MATCH("+ OVR",Unified_Matrix!$1:$1,0)),"")</f>
        <v/>
      </c>
      <c r="L299" s="13">
        <f t="array" ref="L299">IFERROR(INDEX(Unified_Matrix!$A:$ZZ,ROW(A296),MATCH("Max OVR",Unified_Matrix!$1:$1,0)),"")</f>
        <v/>
      </c>
      <c r="M299" s="13">
        <f t="array" ref="M299">IFERROR(INDEX(Unified_Matrix!$A:$ZZ,ROW(A296),MATCH("Req_Position",Unified_Matrix!$1:$1,0)),"")</f>
        <v/>
      </c>
      <c r="N299" s="13">
        <f t="array" ref="N299">IFERROR(INDEX(Unified_Matrix!$A:$ZZ,ROW(A296),MATCH("Req_OVR_Max",Unified_Matrix!$1:$1,0)),"")</f>
        <v/>
      </c>
      <c r="O299" s="25">
        <f t="array" ref="O299">IFERROR(INDEX(Unified_Matrix!$A:$ZZ,ROW(A296),MATCH("Req_Other",Unified_Matrix!$1:$1,0)),"")</f>
        <v/>
      </c>
    </row>
    <row r="300" ht="68.25" customHeight="1">
      <c r="H300" s="13">
        <f t="array" ref="H300">IFERROR(INDEX(Unified_Matrix!$A:$ZZ,ROW(A297),MATCH("Max "&amp;$H$3,Unified_Matrix!$1:$1,0)),"")</f>
        <v/>
      </c>
      <c r="I300" s="25">
        <f t="array" ref="I300">IFERROR(INDEX(Unified_Matrix!$A:$ZZ,ROW(A297),MATCH("Evolution_Name",Unified_Matrix!$1:$1,0)),"")</f>
        <v/>
      </c>
      <c r="J300" s="13">
        <f>IF(H300="","",IF(H300=0,"",IF(H300=$Z$32,1,IF(H300=$Z$33,2,IF(H300=$Z$34,3,"")))))</f>
        <v/>
      </c>
      <c r="K300" s="13">
        <f t="array" ref="K300">IFERROR(INDEX(Unified_Matrix!$A:$ZZ,ROW(A297),MATCH("+ OVR",Unified_Matrix!$1:$1,0)),"")</f>
        <v/>
      </c>
      <c r="L300" s="13">
        <f t="array" ref="L300">IFERROR(INDEX(Unified_Matrix!$A:$ZZ,ROW(A297),MATCH("Max OVR",Unified_Matrix!$1:$1,0)),"")</f>
        <v/>
      </c>
      <c r="M300" s="13">
        <f t="array" ref="M300">IFERROR(INDEX(Unified_Matrix!$A:$ZZ,ROW(A297),MATCH("Req_Position",Unified_Matrix!$1:$1,0)),"")</f>
        <v/>
      </c>
      <c r="N300" s="13">
        <f t="array" ref="N300">IFERROR(INDEX(Unified_Matrix!$A:$ZZ,ROW(A297),MATCH("Req_OVR_Max",Unified_Matrix!$1:$1,0)),"")</f>
        <v/>
      </c>
      <c r="O300" s="25">
        <f t="array" ref="O300">IFERROR(INDEX(Unified_Matrix!$A:$ZZ,ROW(A297),MATCH("Req_Other",Unified_Matrix!$1:$1,0)),"")</f>
        <v/>
      </c>
    </row>
    <row r="301" ht="68.25" customHeight="1">
      <c r="H301" s="13">
        <f t="array" ref="H301">IFERROR(INDEX(Unified_Matrix!$A:$ZZ,ROW(A298),MATCH("Max "&amp;$H$3,Unified_Matrix!$1:$1,0)),"")</f>
        <v/>
      </c>
      <c r="I301" s="25">
        <f t="array" ref="I301">IFERROR(INDEX(Unified_Matrix!$A:$ZZ,ROW(A298),MATCH("Evolution_Name",Unified_Matrix!$1:$1,0)),"")</f>
        <v/>
      </c>
      <c r="J301" s="13">
        <f>IF(H301="","",IF(H301=0,"",IF(H301=$Z$32,1,IF(H301=$Z$33,2,IF(H301=$Z$34,3,"")))))</f>
        <v/>
      </c>
      <c r="K301" s="13">
        <f t="array" ref="K301">IFERROR(INDEX(Unified_Matrix!$A:$ZZ,ROW(A298),MATCH("+ OVR",Unified_Matrix!$1:$1,0)),"")</f>
        <v/>
      </c>
      <c r="L301" s="13">
        <f t="array" ref="L301">IFERROR(INDEX(Unified_Matrix!$A:$ZZ,ROW(A298),MATCH("Max OVR",Unified_Matrix!$1:$1,0)),"")</f>
        <v/>
      </c>
      <c r="M301" s="13">
        <f t="array" ref="M301">IFERROR(INDEX(Unified_Matrix!$A:$ZZ,ROW(A298),MATCH("Req_Position",Unified_Matrix!$1:$1,0)),"")</f>
        <v/>
      </c>
      <c r="N301" s="13">
        <f t="array" ref="N301">IFERROR(INDEX(Unified_Matrix!$A:$ZZ,ROW(A298),MATCH("Req_OVR_Max",Unified_Matrix!$1:$1,0)),"")</f>
        <v/>
      </c>
      <c r="O301" s="25">
        <f t="array" ref="O301">IFERROR(INDEX(Unified_Matrix!$A:$ZZ,ROW(A298),MATCH("Req_Other",Unified_Matrix!$1:$1,0)),"")</f>
        <v/>
      </c>
    </row>
    <row r="302" ht="68.25" customHeight="1">
      <c r="H302" s="13">
        <f t="array" ref="H302">IFERROR(INDEX(Unified_Matrix!$A:$ZZ,ROW(A299),MATCH("Max "&amp;$H$3,Unified_Matrix!$1:$1,0)),"")</f>
        <v/>
      </c>
      <c r="I302" s="25">
        <f t="array" ref="I302">IFERROR(INDEX(Unified_Matrix!$A:$ZZ,ROW(A299),MATCH("Evolution_Name",Unified_Matrix!$1:$1,0)),"")</f>
        <v/>
      </c>
      <c r="J302" s="13">
        <f>IF(H302="","",IF(H302=0,"",IF(H302=$Z$32,1,IF(H302=$Z$33,2,IF(H302=$Z$34,3,"")))))</f>
        <v/>
      </c>
      <c r="K302" s="13">
        <f t="array" ref="K302">IFERROR(INDEX(Unified_Matrix!$A:$ZZ,ROW(A299),MATCH("+ OVR",Unified_Matrix!$1:$1,0)),"")</f>
        <v/>
      </c>
      <c r="L302" s="13">
        <f t="array" ref="L302">IFERROR(INDEX(Unified_Matrix!$A:$ZZ,ROW(A299),MATCH("Max OVR",Unified_Matrix!$1:$1,0)),"")</f>
        <v/>
      </c>
      <c r="M302" s="13">
        <f t="array" ref="M302">IFERROR(INDEX(Unified_Matrix!$A:$ZZ,ROW(A299),MATCH("Req_Position",Unified_Matrix!$1:$1,0)),"")</f>
        <v/>
      </c>
      <c r="N302" s="13">
        <f t="array" ref="N302">IFERROR(INDEX(Unified_Matrix!$A:$ZZ,ROW(A299),MATCH("Req_OVR_Max",Unified_Matrix!$1:$1,0)),"")</f>
        <v/>
      </c>
      <c r="O302" s="25">
        <f t="array" ref="O302">IFERROR(INDEX(Unified_Matrix!$A:$ZZ,ROW(A299),MATCH("Req_Other",Unified_Matrix!$1:$1,0)),"")</f>
        <v/>
      </c>
    </row>
    <row r="303" ht="68.25" customHeight="1">
      <c r="H303" s="13">
        <f t="array" ref="H303">IFERROR(INDEX(Unified_Matrix!$A:$ZZ,ROW(A300),MATCH("Max "&amp;$H$3,Unified_Matrix!$1:$1,0)),"")</f>
        <v/>
      </c>
      <c r="I303" s="25">
        <f t="array" ref="I303">IFERROR(INDEX(Unified_Matrix!$A:$ZZ,ROW(A300),MATCH("Evolution_Name",Unified_Matrix!$1:$1,0)),"")</f>
        <v/>
      </c>
      <c r="J303" s="13">
        <f>IF(H303="","",IF(H303=0,"",IF(H303=$Z$32,1,IF(H303=$Z$33,2,IF(H303=$Z$34,3,"")))))</f>
        <v/>
      </c>
      <c r="K303" s="13">
        <f t="array" ref="K303">IFERROR(INDEX(Unified_Matrix!$A:$ZZ,ROW(A300),MATCH("+ OVR",Unified_Matrix!$1:$1,0)),"")</f>
        <v/>
      </c>
      <c r="L303" s="13">
        <f t="array" ref="L303">IFERROR(INDEX(Unified_Matrix!$A:$ZZ,ROW(A300),MATCH("Max OVR",Unified_Matrix!$1:$1,0)),"")</f>
        <v/>
      </c>
      <c r="M303" s="13">
        <f t="array" ref="M303">IFERROR(INDEX(Unified_Matrix!$A:$ZZ,ROW(A300),MATCH("Req_Position",Unified_Matrix!$1:$1,0)),"")</f>
        <v/>
      </c>
      <c r="N303" s="13">
        <f t="array" ref="N303">IFERROR(INDEX(Unified_Matrix!$A:$ZZ,ROW(A300),MATCH("Req_OVR_Max",Unified_Matrix!$1:$1,0)),"")</f>
        <v/>
      </c>
      <c r="O303" s="25">
        <f t="array" ref="O303">IFERROR(INDEX(Unified_Matrix!$A:$ZZ,ROW(A300),MATCH("Req_Other",Unified_Matrix!$1:$1,0)),"")</f>
        <v/>
      </c>
    </row>
    <row r="304" ht="68.25" customHeight="1">
      <c r="H304" s="13">
        <f t="array" ref="H304">IFERROR(INDEX(Unified_Matrix!$A:$ZZ,ROW(A301),MATCH("Max "&amp;$H$3,Unified_Matrix!$1:$1,0)),"")</f>
        <v/>
      </c>
      <c r="I304" s="25">
        <f t="array" ref="I304">IFERROR(INDEX(Unified_Matrix!$A:$ZZ,ROW(A301),MATCH("Evolution_Name",Unified_Matrix!$1:$1,0)),"")</f>
        <v/>
      </c>
      <c r="J304" s="13">
        <f>IF(H304="","",IF(H304=0,"",IF(H304=$Z$32,1,IF(H304=$Z$33,2,IF(H304=$Z$34,3,"")))))</f>
        <v/>
      </c>
      <c r="K304" s="13">
        <f t="array" ref="K304">IFERROR(INDEX(Unified_Matrix!$A:$ZZ,ROW(A301),MATCH("+ OVR",Unified_Matrix!$1:$1,0)),"")</f>
        <v/>
      </c>
      <c r="L304" s="13">
        <f t="array" ref="L304">IFERROR(INDEX(Unified_Matrix!$A:$ZZ,ROW(A301),MATCH("Max OVR",Unified_Matrix!$1:$1,0)),"")</f>
        <v/>
      </c>
      <c r="M304" s="13">
        <f t="array" ref="M304">IFERROR(INDEX(Unified_Matrix!$A:$ZZ,ROW(A301),MATCH("Req_Position",Unified_Matrix!$1:$1,0)),"")</f>
        <v/>
      </c>
      <c r="N304" s="13">
        <f t="array" ref="N304">IFERROR(INDEX(Unified_Matrix!$A:$ZZ,ROW(A301),MATCH("Req_OVR_Max",Unified_Matrix!$1:$1,0)),"")</f>
        <v/>
      </c>
      <c r="O304" s="25">
        <f t="array" ref="O304">IFERROR(INDEX(Unified_Matrix!$A:$ZZ,ROW(A301),MATCH("Req_Other",Unified_Matrix!$1:$1,0)),"")</f>
        <v/>
      </c>
    </row>
    <row r="305" ht="68.25" customHeight="1">
      <c r="H305" s="13">
        <f t="array" ref="H305">IFERROR(INDEX(Unified_Matrix!$A:$ZZ,ROW(A302),MATCH("Max "&amp;$H$3,Unified_Matrix!$1:$1,0)),"")</f>
        <v/>
      </c>
      <c r="I305" s="25">
        <f t="array" ref="I305">IFERROR(INDEX(Unified_Matrix!$A:$ZZ,ROW(A302),MATCH("Evolution_Name",Unified_Matrix!$1:$1,0)),"")</f>
        <v/>
      </c>
      <c r="J305" s="13">
        <f>IF(H305="","",IF(H305=0,"",IF(H305=$Z$32,1,IF(H305=$Z$33,2,IF(H305=$Z$34,3,"")))))</f>
        <v/>
      </c>
      <c r="K305" s="13">
        <f t="array" ref="K305">IFERROR(INDEX(Unified_Matrix!$A:$ZZ,ROW(A302),MATCH("+ OVR",Unified_Matrix!$1:$1,0)),"")</f>
        <v/>
      </c>
      <c r="L305" s="13">
        <f t="array" ref="L305">IFERROR(INDEX(Unified_Matrix!$A:$ZZ,ROW(A302),MATCH("Max OVR",Unified_Matrix!$1:$1,0)),"")</f>
        <v/>
      </c>
      <c r="M305" s="13">
        <f t="array" ref="M305">IFERROR(INDEX(Unified_Matrix!$A:$ZZ,ROW(A302),MATCH("Req_Position",Unified_Matrix!$1:$1,0)),"")</f>
        <v/>
      </c>
      <c r="N305" s="13">
        <f t="array" ref="N305">IFERROR(INDEX(Unified_Matrix!$A:$ZZ,ROW(A302),MATCH("Req_OVR_Max",Unified_Matrix!$1:$1,0)),"")</f>
        <v/>
      </c>
      <c r="O305" s="25">
        <f t="array" ref="O305">IFERROR(INDEX(Unified_Matrix!$A:$ZZ,ROW(A302),MATCH("Req_Other",Unified_Matrix!$1:$1,0)),"")</f>
        <v/>
      </c>
    </row>
    <row r="306" ht="68.25" customHeight="1">
      <c r="H306" s="13">
        <f t="array" ref="H306">IFERROR(INDEX(Unified_Matrix!$A:$ZZ,ROW(A303),MATCH("Max "&amp;$H$3,Unified_Matrix!$1:$1,0)),"")</f>
        <v/>
      </c>
      <c r="I306" s="25">
        <f t="array" ref="I306">IFERROR(INDEX(Unified_Matrix!$A:$ZZ,ROW(A303),MATCH("Evolution_Name",Unified_Matrix!$1:$1,0)),"")</f>
        <v/>
      </c>
      <c r="J306" s="13">
        <f>IF(H306="","",IF(H306=0,"",IF(H306=$Z$32,1,IF(H306=$Z$33,2,IF(H306=$Z$34,3,"")))))</f>
        <v/>
      </c>
      <c r="K306" s="13">
        <f t="array" ref="K306">IFERROR(INDEX(Unified_Matrix!$A:$ZZ,ROW(A303),MATCH("+ OVR",Unified_Matrix!$1:$1,0)),"")</f>
        <v/>
      </c>
      <c r="L306" s="13">
        <f t="array" ref="L306">IFERROR(INDEX(Unified_Matrix!$A:$ZZ,ROW(A303),MATCH("Max OVR",Unified_Matrix!$1:$1,0)),"")</f>
        <v/>
      </c>
      <c r="M306" s="13">
        <f t="array" ref="M306">IFERROR(INDEX(Unified_Matrix!$A:$ZZ,ROW(A303),MATCH("Req_Position",Unified_Matrix!$1:$1,0)),"")</f>
        <v/>
      </c>
      <c r="N306" s="13">
        <f t="array" ref="N306">IFERROR(INDEX(Unified_Matrix!$A:$ZZ,ROW(A303),MATCH("Req_OVR_Max",Unified_Matrix!$1:$1,0)),"")</f>
        <v/>
      </c>
      <c r="O306" s="25">
        <f t="array" ref="O306">IFERROR(INDEX(Unified_Matrix!$A:$ZZ,ROW(A303),MATCH("Req_Other",Unified_Matrix!$1:$1,0)),"")</f>
        <v/>
      </c>
    </row>
    <row r="307" ht="68.25" customHeight="1">
      <c r="H307" s="13">
        <f t="array" ref="H307">IFERROR(INDEX(Unified_Matrix!$A:$ZZ,ROW(A304),MATCH("Max "&amp;$H$3,Unified_Matrix!$1:$1,0)),"")</f>
        <v/>
      </c>
      <c r="I307" s="25">
        <f t="array" ref="I307">IFERROR(INDEX(Unified_Matrix!$A:$ZZ,ROW(A304),MATCH("Evolution_Name",Unified_Matrix!$1:$1,0)),"")</f>
        <v/>
      </c>
      <c r="J307" s="13">
        <f>IF(H307="","",IF(H307=0,"",IF(H307=$Z$32,1,IF(H307=$Z$33,2,IF(H307=$Z$34,3,"")))))</f>
        <v/>
      </c>
      <c r="K307" s="13">
        <f t="array" ref="K307">IFERROR(INDEX(Unified_Matrix!$A:$ZZ,ROW(A304),MATCH("+ OVR",Unified_Matrix!$1:$1,0)),"")</f>
        <v/>
      </c>
      <c r="L307" s="13">
        <f t="array" ref="L307">IFERROR(INDEX(Unified_Matrix!$A:$ZZ,ROW(A304),MATCH("Max OVR",Unified_Matrix!$1:$1,0)),"")</f>
        <v/>
      </c>
      <c r="M307" s="13">
        <f t="array" ref="M307">IFERROR(INDEX(Unified_Matrix!$A:$ZZ,ROW(A304),MATCH("Req_Position",Unified_Matrix!$1:$1,0)),"")</f>
        <v/>
      </c>
      <c r="N307" s="13">
        <f t="array" ref="N307">IFERROR(INDEX(Unified_Matrix!$A:$ZZ,ROW(A304),MATCH("Req_OVR_Max",Unified_Matrix!$1:$1,0)),"")</f>
        <v/>
      </c>
      <c r="O307" s="25">
        <f t="array" ref="O307">IFERROR(INDEX(Unified_Matrix!$A:$ZZ,ROW(A304),MATCH("Req_Other",Unified_Matrix!$1:$1,0)),"")</f>
        <v/>
      </c>
    </row>
    <row r="308" ht="68.25" customHeight="1">
      <c r="H308" s="13">
        <f t="array" ref="H308">IFERROR(INDEX(Unified_Matrix!$A:$ZZ,ROW(A305),MATCH("Max "&amp;$H$3,Unified_Matrix!$1:$1,0)),"")</f>
        <v/>
      </c>
      <c r="I308" s="25">
        <f t="array" ref="I308">IFERROR(INDEX(Unified_Matrix!$A:$ZZ,ROW(A305),MATCH("Evolution_Name",Unified_Matrix!$1:$1,0)),"")</f>
        <v/>
      </c>
      <c r="J308" s="13">
        <f>IF(H308="","",IF(H308=0,"",IF(H308=$Z$32,1,IF(H308=$Z$33,2,IF(H308=$Z$34,3,"")))))</f>
        <v/>
      </c>
      <c r="K308" s="13">
        <f t="array" ref="K308">IFERROR(INDEX(Unified_Matrix!$A:$ZZ,ROW(A305),MATCH("+ OVR",Unified_Matrix!$1:$1,0)),"")</f>
        <v/>
      </c>
      <c r="L308" s="13">
        <f t="array" ref="L308">IFERROR(INDEX(Unified_Matrix!$A:$ZZ,ROW(A305),MATCH("Max OVR",Unified_Matrix!$1:$1,0)),"")</f>
        <v/>
      </c>
      <c r="M308" s="13">
        <f t="array" ref="M308">IFERROR(INDEX(Unified_Matrix!$A:$ZZ,ROW(A305),MATCH("Req_Position",Unified_Matrix!$1:$1,0)),"")</f>
        <v/>
      </c>
      <c r="N308" s="13">
        <f t="array" ref="N308">IFERROR(INDEX(Unified_Matrix!$A:$ZZ,ROW(A305),MATCH("Req_OVR_Max",Unified_Matrix!$1:$1,0)),"")</f>
        <v/>
      </c>
      <c r="O308" s="25">
        <f t="array" ref="O308">IFERROR(INDEX(Unified_Matrix!$A:$ZZ,ROW(A305),MATCH("Req_Other",Unified_Matrix!$1:$1,0)),"")</f>
        <v/>
      </c>
    </row>
    <row r="309" ht="68.25" customHeight="1">
      <c r="H309" s="13">
        <f t="array" ref="H309">IFERROR(INDEX(Unified_Matrix!$A:$ZZ,ROW(A306),MATCH("Max "&amp;$H$3,Unified_Matrix!$1:$1,0)),"")</f>
        <v/>
      </c>
      <c r="I309" s="25">
        <f t="array" ref="I309">IFERROR(INDEX(Unified_Matrix!$A:$ZZ,ROW(A306),MATCH("Evolution_Name",Unified_Matrix!$1:$1,0)),"")</f>
        <v/>
      </c>
      <c r="J309" s="13">
        <f>IF(H309="","",IF(H309=0,"",IF(H309=$Z$32,1,IF(H309=$Z$33,2,IF(H309=$Z$34,3,"")))))</f>
        <v/>
      </c>
      <c r="K309" s="13">
        <f t="array" ref="K309">IFERROR(INDEX(Unified_Matrix!$A:$ZZ,ROW(A306),MATCH("+ OVR",Unified_Matrix!$1:$1,0)),"")</f>
        <v/>
      </c>
      <c r="L309" s="13">
        <f t="array" ref="L309">IFERROR(INDEX(Unified_Matrix!$A:$ZZ,ROW(A306),MATCH("Max OVR",Unified_Matrix!$1:$1,0)),"")</f>
        <v/>
      </c>
      <c r="M309" s="13">
        <f t="array" ref="M309">IFERROR(INDEX(Unified_Matrix!$A:$ZZ,ROW(A306),MATCH("Req_Position",Unified_Matrix!$1:$1,0)),"")</f>
        <v/>
      </c>
      <c r="N309" s="13">
        <f t="array" ref="N309">IFERROR(INDEX(Unified_Matrix!$A:$ZZ,ROW(A306),MATCH("Req_OVR_Max",Unified_Matrix!$1:$1,0)),"")</f>
        <v/>
      </c>
      <c r="O309" s="25">
        <f t="array" ref="O309">IFERROR(INDEX(Unified_Matrix!$A:$ZZ,ROW(A306),MATCH("Req_Other",Unified_Matrix!$1:$1,0)),"")</f>
        <v/>
      </c>
    </row>
    <row r="310" ht="68.25" customHeight="1">
      <c r="H310" s="13">
        <f t="array" ref="H310">IFERROR(INDEX(Unified_Matrix!$A:$ZZ,ROW(A307),MATCH("Max "&amp;$H$3,Unified_Matrix!$1:$1,0)),"")</f>
        <v/>
      </c>
      <c r="I310" s="25">
        <f t="array" ref="I310">IFERROR(INDEX(Unified_Matrix!$A:$ZZ,ROW(A307),MATCH("Evolution_Name",Unified_Matrix!$1:$1,0)),"")</f>
        <v/>
      </c>
      <c r="J310" s="13">
        <f>IF(H310="","",IF(H310=0,"",IF(H310=$Z$32,1,IF(H310=$Z$33,2,IF(H310=$Z$34,3,"")))))</f>
        <v/>
      </c>
      <c r="K310" s="13">
        <f t="array" ref="K310">IFERROR(INDEX(Unified_Matrix!$A:$ZZ,ROW(A307),MATCH("+ OVR",Unified_Matrix!$1:$1,0)),"")</f>
        <v/>
      </c>
      <c r="L310" s="13">
        <f t="array" ref="L310">IFERROR(INDEX(Unified_Matrix!$A:$ZZ,ROW(A307),MATCH("Max OVR",Unified_Matrix!$1:$1,0)),"")</f>
        <v/>
      </c>
      <c r="M310" s="13">
        <f t="array" ref="M310">IFERROR(INDEX(Unified_Matrix!$A:$ZZ,ROW(A307),MATCH("Req_Position",Unified_Matrix!$1:$1,0)),"")</f>
        <v/>
      </c>
      <c r="N310" s="13">
        <f t="array" ref="N310">IFERROR(INDEX(Unified_Matrix!$A:$ZZ,ROW(A307),MATCH("Req_OVR_Max",Unified_Matrix!$1:$1,0)),"")</f>
        <v/>
      </c>
      <c r="O310" s="25">
        <f t="array" ref="O310">IFERROR(INDEX(Unified_Matrix!$A:$ZZ,ROW(A307),MATCH("Req_Other",Unified_Matrix!$1:$1,0)),"")</f>
        <v/>
      </c>
    </row>
    <row r="311" ht="68.25" customHeight="1">
      <c r="H311" s="13">
        <f t="array" ref="H311">IFERROR(INDEX(Unified_Matrix!$A:$ZZ,ROW(A308),MATCH("Max "&amp;$H$3,Unified_Matrix!$1:$1,0)),"")</f>
        <v/>
      </c>
      <c r="I311" s="25">
        <f t="array" ref="I311">IFERROR(INDEX(Unified_Matrix!$A:$ZZ,ROW(A308),MATCH("Evolution_Name",Unified_Matrix!$1:$1,0)),"")</f>
        <v/>
      </c>
      <c r="J311" s="13">
        <f>IF(H311="","",IF(H311=0,"",IF(H311=$Z$32,1,IF(H311=$Z$33,2,IF(H311=$Z$34,3,"")))))</f>
        <v/>
      </c>
      <c r="K311" s="13">
        <f t="array" ref="K311">IFERROR(INDEX(Unified_Matrix!$A:$ZZ,ROW(A308),MATCH("+ OVR",Unified_Matrix!$1:$1,0)),"")</f>
        <v/>
      </c>
      <c r="L311" s="13">
        <f t="array" ref="L311">IFERROR(INDEX(Unified_Matrix!$A:$ZZ,ROW(A308),MATCH("Max OVR",Unified_Matrix!$1:$1,0)),"")</f>
        <v/>
      </c>
      <c r="M311" s="13">
        <f t="array" ref="M311">IFERROR(INDEX(Unified_Matrix!$A:$ZZ,ROW(A308),MATCH("Req_Position",Unified_Matrix!$1:$1,0)),"")</f>
        <v/>
      </c>
      <c r="N311" s="13">
        <f t="array" ref="N311">IFERROR(INDEX(Unified_Matrix!$A:$ZZ,ROW(A308),MATCH("Req_OVR_Max",Unified_Matrix!$1:$1,0)),"")</f>
        <v/>
      </c>
      <c r="O311" s="25">
        <f t="array" ref="O311">IFERROR(INDEX(Unified_Matrix!$A:$ZZ,ROW(A308),MATCH("Req_Other",Unified_Matrix!$1:$1,0)),"")</f>
        <v/>
      </c>
    </row>
    <row r="312" ht="68.25" customHeight="1">
      <c r="H312" s="13">
        <f t="array" ref="H312">IFERROR(INDEX(Unified_Matrix!$A:$ZZ,ROW(A309),MATCH("Max "&amp;$H$3,Unified_Matrix!$1:$1,0)),"")</f>
        <v/>
      </c>
      <c r="I312" s="25">
        <f t="array" ref="I312">IFERROR(INDEX(Unified_Matrix!$A:$ZZ,ROW(A309),MATCH("Evolution_Name",Unified_Matrix!$1:$1,0)),"")</f>
        <v/>
      </c>
      <c r="J312" s="13">
        <f>IF(H312="","",IF(H312=0,"",IF(H312=$Z$32,1,IF(H312=$Z$33,2,IF(H312=$Z$34,3,"")))))</f>
        <v/>
      </c>
      <c r="K312" s="13">
        <f t="array" ref="K312">IFERROR(INDEX(Unified_Matrix!$A:$ZZ,ROW(A309),MATCH("+ OVR",Unified_Matrix!$1:$1,0)),"")</f>
        <v/>
      </c>
      <c r="L312" s="13">
        <f t="array" ref="L312">IFERROR(INDEX(Unified_Matrix!$A:$ZZ,ROW(A309),MATCH("Max OVR",Unified_Matrix!$1:$1,0)),"")</f>
        <v/>
      </c>
      <c r="M312" s="13">
        <f t="array" ref="M312">IFERROR(INDEX(Unified_Matrix!$A:$ZZ,ROW(A309),MATCH("Req_Position",Unified_Matrix!$1:$1,0)),"")</f>
        <v/>
      </c>
      <c r="N312" s="13">
        <f t="array" ref="N312">IFERROR(INDEX(Unified_Matrix!$A:$ZZ,ROW(A309),MATCH("Req_OVR_Max",Unified_Matrix!$1:$1,0)),"")</f>
        <v/>
      </c>
      <c r="O312" s="25">
        <f t="array" ref="O312">IFERROR(INDEX(Unified_Matrix!$A:$ZZ,ROW(A309),MATCH("Req_Other",Unified_Matrix!$1:$1,0)),"")</f>
        <v/>
      </c>
    </row>
    <row r="313" ht="68.25" customHeight="1">
      <c r="H313" s="13">
        <f t="array" ref="H313">IFERROR(INDEX(Unified_Matrix!$A:$ZZ,ROW(A310),MATCH("Max "&amp;$H$3,Unified_Matrix!$1:$1,0)),"")</f>
        <v/>
      </c>
      <c r="I313" s="25">
        <f t="array" ref="I313">IFERROR(INDEX(Unified_Matrix!$A:$ZZ,ROW(A310),MATCH("Evolution_Name",Unified_Matrix!$1:$1,0)),"")</f>
        <v/>
      </c>
      <c r="J313" s="13">
        <f>IF(H313="","",IF(H313=0,"",IF(H313=$Z$32,1,IF(H313=$Z$33,2,IF(H313=$Z$34,3,"")))))</f>
        <v/>
      </c>
      <c r="K313" s="13">
        <f t="array" ref="K313">IFERROR(INDEX(Unified_Matrix!$A:$ZZ,ROW(A310),MATCH("+ OVR",Unified_Matrix!$1:$1,0)),"")</f>
        <v/>
      </c>
      <c r="L313" s="13">
        <f t="array" ref="L313">IFERROR(INDEX(Unified_Matrix!$A:$ZZ,ROW(A310),MATCH("Max OVR",Unified_Matrix!$1:$1,0)),"")</f>
        <v/>
      </c>
      <c r="M313" s="13">
        <f t="array" ref="M313">IFERROR(INDEX(Unified_Matrix!$A:$ZZ,ROW(A310),MATCH("Req_Position",Unified_Matrix!$1:$1,0)),"")</f>
        <v/>
      </c>
      <c r="N313" s="13">
        <f t="array" ref="N313">IFERROR(INDEX(Unified_Matrix!$A:$ZZ,ROW(A310),MATCH("Req_OVR_Max",Unified_Matrix!$1:$1,0)),"")</f>
        <v/>
      </c>
      <c r="O313" s="25">
        <f t="array" ref="O313">IFERROR(INDEX(Unified_Matrix!$A:$ZZ,ROW(A310),MATCH("Req_Other",Unified_Matrix!$1:$1,0)),"")</f>
        <v/>
      </c>
    </row>
    <row r="314" ht="68.25" customHeight="1">
      <c r="H314" s="13">
        <f t="array" ref="H314">IFERROR(INDEX(Unified_Matrix!$A:$ZZ,ROW(A311),MATCH("Max "&amp;$H$3,Unified_Matrix!$1:$1,0)),"")</f>
        <v/>
      </c>
      <c r="I314" s="25">
        <f t="array" ref="I314">IFERROR(INDEX(Unified_Matrix!$A:$ZZ,ROW(A311),MATCH("Evolution_Name",Unified_Matrix!$1:$1,0)),"")</f>
        <v/>
      </c>
      <c r="J314" s="13">
        <f>IF(H314="","",IF(H314=0,"",IF(H314=$Z$32,1,IF(H314=$Z$33,2,IF(H314=$Z$34,3,"")))))</f>
        <v/>
      </c>
      <c r="K314" s="13">
        <f t="array" ref="K314">IFERROR(INDEX(Unified_Matrix!$A:$ZZ,ROW(A311),MATCH("+ OVR",Unified_Matrix!$1:$1,0)),"")</f>
        <v/>
      </c>
      <c r="L314" s="13">
        <f t="array" ref="L314">IFERROR(INDEX(Unified_Matrix!$A:$ZZ,ROW(A311),MATCH("Max OVR",Unified_Matrix!$1:$1,0)),"")</f>
        <v/>
      </c>
      <c r="M314" s="13">
        <f t="array" ref="M314">IFERROR(INDEX(Unified_Matrix!$A:$ZZ,ROW(A311),MATCH("Req_Position",Unified_Matrix!$1:$1,0)),"")</f>
        <v/>
      </c>
      <c r="N314" s="13">
        <f t="array" ref="N314">IFERROR(INDEX(Unified_Matrix!$A:$ZZ,ROW(A311),MATCH("Req_OVR_Max",Unified_Matrix!$1:$1,0)),"")</f>
        <v/>
      </c>
      <c r="O314" s="25">
        <f t="array" ref="O314">IFERROR(INDEX(Unified_Matrix!$A:$ZZ,ROW(A311),MATCH("Req_Other",Unified_Matrix!$1:$1,0)),"")</f>
        <v/>
      </c>
    </row>
    <row r="315" ht="68.25" customHeight="1">
      <c r="H315" s="13">
        <f t="array" ref="H315">IFERROR(INDEX(Unified_Matrix!$A:$ZZ,ROW(A312),MATCH("Max "&amp;$H$3,Unified_Matrix!$1:$1,0)),"")</f>
        <v/>
      </c>
      <c r="I315" s="25">
        <f t="array" ref="I315">IFERROR(INDEX(Unified_Matrix!$A:$ZZ,ROW(A312),MATCH("Evolution_Name",Unified_Matrix!$1:$1,0)),"")</f>
        <v/>
      </c>
      <c r="J315" s="13">
        <f>IF(H315="","",IF(H315=0,"",IF(H315=$Z$32,1,IF(H315=$Z$33,2,IF(H315=$Z$34,3,"")))))</f>
        <v/>
      </c>
      <c r="K315" s="13">
        <f t="array" ref="K315">IFERROR(INDEX(Unified_Matrix!$A:$ZZ,ROW(A312),MATCH("+ OVR",Unified_Matrix!$1:$1,0)),"")</f>
        <v/>
      </c>
      <c r="L315" s="13">
        <f t="array" ref="L315">IFERROR(INDEX(Unified_Matrix!$A:$ZZ,ROW(A312),MATCH("Max OVR",Unified_Matrix!$1:$1,0)),"")</f>
        <v/>
      </c>
      <c r="M315" s="13">
        <f t="array" ref="M315">IFERROR(INDEX(Unified_Matrix!$A:$ZZ,ROW(A312),MATCH("Req_Position",Unified_Matrix!$1:$1,0)),"")</f>
        <v/>
      </c>
      <c r="N315" s="13">
        <f t="array" ref="N315">IFERROR(INDEX(Unified_Matrix!$A:$ZZ,ROW(A312),MATCH("Req_OVR_Max",Unified_Matrix!$1:$1,0)),"")</f>
        <v/>
      </c>
      <c r="O315" s="25">
        <f t="array" ref="O315">IFERROR(INDEX(Unified_Matrix!$A:$ZZ,ROW(A312),MATCH("Req_Other",Unified_Matrix!$1:$1,0)),"")</f>
        <v/>
      </c>
    </row>
    <row r="316" ht="68.25" customHeight="1">
      <c r="H316" s="13">
        <f t="array" ref="H316">IFERROR(INDEX(Unified_Matrix!$A:$ZZ,ROW(A313),MATCH("Max "&amp;$H$3,Unified_Matrix!$1:$1,0)),"")</f>
        <v/>
      </c>
      <c r="I316" s="25">
        <f t="array" ref="I316">IFERROR(INDEX(Unified_Matrix!$A:$ZZ,ROW(A313),MATCH("Evolution_Name",Unified_Matrix!$1:$1,0)),"")</f>
        <v/>
      </c>
      <c r="J316" s="13">
        <f>IF(H316="","",IF(H316=0,"",IF(H316=$Z$32,1,IF(H316=$Z$33,2,IF(H316=$Z$34,3,"")))))</f>
        <v/>
      </c>
      <c r="K316" s="13">
        <f t="array" ref="K316">IFERROR(INDEX(Unified_Matrix!$A:$ZZ,ROW(A313),MATCH("+ OVR",Unified_Matrix!$1:$1,0)),"")</f>
        <v/>
      </c>
      <c r="L316" s="13">
        <f t="array" ref="L316">IFERROR(INDEX(Unified_Matrix!$A:$ZZ,ROW(A313),MATCH("Max OVR",Unified_Matrix!$1:$1,0)),"")</f>
        <v/>
      </c>
      <c r="M316" s="13">
        <f t="array" ref="M316">IFERROR(INDEX(Unified_Matrix!$A:$ZZ,ROW(A313),MATCH("Req_Position",Unified_Matrix!$1:$1,0)),"")</f>
        <v/>
      </c>
      <c r="N316" s="13">
        <f t="array" ref="N316">IFERROR(INDEX(Unified_Matrix!$A:$ZZ,ROW(A313),MATCH("Req_OVR_Max",Unified_Matrix!$1:$1,0)),"")</f>
        <v/>
      </c>
      <c r="O316" s="25">
        <f t="array" ref="O316">IFERROR(INDEX(Unified_Matrix!$A:$ZZ,ROW(A313),MATCH("Req_Other",Unified_Matrix!$1:$1,0)),"")</f>
        <v/>
      </c>
    </row>
    <row r="317" ht="68.25" customHeight="1">
      <c r="H317" s="13">
        <f t="array" ref="H317">IFERROR(INDEX(Unified_Matrix!$A:$ZZ,ROW(A314),MATCH("Max "&amp;$H$3,Unified_Matrix!$1:$1,0)),"")</f>
        <v/>
      </c>
      <c r="I317" s="25">
        <f t="array" ref="I317">IFERROR(INDEX(Unified_Matrix!$A:$ZZ,ROW(A314),MATCH("Evolution_Name",Unified_Matrix!$1:$1,0)),"")</f>
        <v/>
      </c>
      <c r="J317" s="13">
        <f>IF(H317="","",IF(H317=0,"",IF(H317=$Z$32,1,IF(H317=$Z$33,2,IF(H317=$Z$34,3,"")))))</f>
        <v/>
      </c>
      <c r="K317" s="13">
        <f t="array" ref="K317">IFERROR(INDEX(Unified_Matrix!$A:$ZZ,ROW(A314),MATCH("+ OVR",Unified_Matrix!$1:$1,0)),"")</f>
        <v/>
      </c>
      <c r="L317" s="13">
        <f t="array" ref="L317">IFERROR(INDEX(Unified_Matrix!$A:$ZZ,ROW(A314),MATCH("Max OVR",Unified_Matrix!$1:$1,0)),"")</f>
        <v/>
      </c>
      <c r="M317" s="13">
        <f t="array" ref="M317">IFERROR(INDEX(Unified_Matrix!$A:$ZZ,ROW(A314),MATCH("Req_Position",Unified_Matrix!$1:$1,0)),"")</f>
        <v/>
      </c>
      <c r="N317" s="13">
        <f t="array" ref="N317">IFERROR(INDEX(Unified_Matrix!$A:$ZZ,ROW(A314),MATCH("Req_OVR_Max",Unified_Matrix!$1:$1,0)),"")</f>
        <v/>
      </c>
      <c r="O317" s="25">
        <f t="array" ref="O317">IFERROR(INDEX(Unified_Matrix!$A:$ZZ,ROW(A314),MATCH("Req_Other",Unified_Matrix!$1:$1,0)),"")</f>
        <v/>
      </c>
    </row>
    <row r="318" ht="68.25" customHeight="1">
      <c r="H318" s="13">
        <f t="array" ref="H318">IFERROR(INDEX(Unified_Matrix!$A:$ZZ,ROW(A315),MATCH("Max "&amp;$H$3,Unified_Matrix!$1:$1,0)),"")</f>
        <v/>
      </c>
      <c r="I318" s="25">
        <f t="array" ref="I318">IFERROR(INDEX(Unified_Matrix!$A:$ZZ,ROW(A315),MATCH("Evolution_Name",Unified_Matrix!$1:$1,0)),"")</f>
        <v/>
      </c>
      <c r="J318" s="13">
        <f>IF(H318="","",IF(H318=0,"",IF(H318=$Z$32,1,IF(H318=$Z$33,2,IF(H318=$Z$34,3,"")))))</f>
        <v/>
      </c>
      <c r="K318" s="13">
        <f t="array" ref="K318">IFERROR(INDEX(Unified_Matrix!$A:$ZZ,ROW(A315),MATCH("+ OVR",Unified_Matrix!$1:$1,0)),"")</f>
        <v/>
      </c>
      <c r="L318" s="13">
        <f t="array" ref="L318">IFERROR(INDEX(Unified_Matrix!$A:$ZZ,ROW(A315),MATCH("Max OVR",Unified_Matrix!$1:$1,0)),"")</f>
        <v/>
      </c>
      <c r="M318" s="13">
        <f t="array" ref="M318">IFERROR(INDEX(Unified_Matrix!$A:$ZZ,ROW(A315),MATCH("Req_Position",Unified_Matrix!$1:$1,0)),"")</f>
        <v/>
      </c>
      <c r="N318" s="13">
        <f t="array" ref="N318">IFERROR(INDEX(Unified_Matrix!$A:$ZZ,ROW(A315),MATCH("Req_OVR_Max",Unified_Matrix!$1:$1,0)),"")</f>
        <v/>
      </c>
      <c r="O318" s="25">
        <f t="array" ref="O318">IFERROR(INDEX(Unified_Matrix!$A:$ZZ,ROW(A315),MATCH("Req_Other",Unified_Matrix!$1:$1,0)),"")</f>
        <v/>
      </c>
    </row>
    <row r="319" ht="68.25" customHeight="1">
      <c r="H319" s="13">
        <f t="array" ref="H319">IFERROR(INDEX(Unified_Matrix!$A:$ZZ,ROW(A316),MATCH("Max "&amp;$H$3,Unified_Matrix!$1:$1,0)),"")</f>
        <v/>
      </c>
      <c r="I319" s="25">
        <f t="array" ref="I319">IFERROR(INDEX(Unified_Matrix!$A:$ZZ,ROW(A316),MATCH("Evolution_Name",Unified_Matrix!$1:$1,0)),"")</f>
        <v/>
      </c>
      <c r="J319" s="13">
        <f>IF(H319="","",IF(H319=0,"",IF(H319=$Z$32,1,IF(H319=$Z$33,2,IF(H319=$Z$34,3,"")))))</f>
        <v/>
      </c>
      <c r="K319" s="13">
        <f t="array" ref="K319">IFERROR(INDEX(Unified_Matrix!$A:$ZZ,ROW(A316),MATCH("+ OVR",Unified_Matrix!$1:$1,0)),"")</f>
        <v/>
      </c>
      <c r="L319" s="13">
        <f t="array" ref="L319">IFERROR(INDEX(Unified_Matrix!$A:$ZZ,ROW(A316),MATCH("Max OVR",Unified_Matrix!$1:$1,0)),"")</f>
        <v/>
      </c>
      <c r="M319" s="13">
        <f t="array" ref="M319">IFERROR(INDEX(Unified_Matrix!$A:$ZZ,ROW(A316),MATCH("Req_Position",Unified_Matrix!$1:$1,0)),"")</f>
        <v/>
      </c>
      <c r="N319" s="13">
        <f t="array" ref="N319">IFERROR(INDEX(Unified_Matrix!$A:$ZZ,ROW(A316),MATCH("Req_OVR_Max",Unified_Matrix!$1:$1,0)),"")</f>
        <v/>
      </c>
      <c r="O319" s="25">
        <f t="array" ref="O319">IFERROR(INDEX(Unified_Matrix!$A:$ZZ,ROW(A316),MATCH("Req_Other",Unified_Matrix!$1:$1,0)),"")</f>
        <v/>
      </c>
    </row>
    <row r="320" ht="68.25" customHeight="1">
      <c r="H320" s="13">
        <f t="array" ref="H320">IFERROR(INDEX(Unified_Matrix!$A:$ZZ,ROW(A317),MATCH("Max "&amp;$H$3,Unified_Matrix!$1:$1,0)),"")</f>
        <v/>
      </c>
      <c r="I320" s="25">
        <f t="array" ref="I320">IFERROR(INDEX(Unified_Matrix!$A:$ZZ,ROW(A317),MATCH("Evolution_Name",Unified_Matrix!$1:$1,0)),"")</f>
        <v/>
      </c>
      <c r="J320" s="13">
        <f>IF(H320="","",IF(H320=0,"",IF(H320=$Z$32,1,IF(H320=$Z$33,2,IF(H320=$Z$34,3,"")))))</f>
        <v/>
      </c>
      <c r="K320" s="13">
        <f t="array" ref="K320">IFERROR(INDEX(Unified_Matrix!$A:$ZZ,ROW(A317),MATCH("+ OVR",Unified_Matrix!$1:$1,0)),"")</f>
        <v/>
      </c>
      <c r="L320" s="13">
        <f t="array" ref="L320">IFERROR(INDEX(Unified_Matrix!$A:$ZZ,ROW(A317),MATCH("Max OVR",Unified_Matrix!$1:$1,0)),"")</f>
        <v/>
      </c>
      <c r="M320" s="13">
        <f t="array" ref="M320">IFERROR(INDEX(Unified_Matrix!$A:$ZZ,ROW(A317),MATCH("Req_Position",Unified_Matrix!$1:$1,0)),"")</f>
        <v/>
      </c>
      <c r="N320" s="13">
        <f t="array" ref="N320">IFERROR(INDEX(Unified_Matrix!$A:$ZZ,ROW(A317),MATCH("Req_OVR_Max",Unified_Matrix!$1:$1,0)),"")</f>
        <v/>
      </c>
      <c r="O320" s="25">
        <f t="array" ref="O320">IFERROR(INDEX(Unified_Matrix!$A:$ZZ,ROW(A317),MATCH("Req_Other",Unified_Matrix!$1:$1,0)),"")</f>
        <v/>
      </c>
    </row>
    <row r="321" ht="68.25" customHeight="1">
      <c r="H321" s="13">
        <f t="array" ref="H321">IFERROR(INDEX(Unified_Matrix!$A:$ZZ,ROW(A318),MATCH("Max "&amp;$H$3,Unified_Matrix!$1:$1,0)),"")</f>
        <v/>
      </c>
      <c r="I321" s="25">
        <f t="array" ref="I321">IFERROR(INDEX(Unified_Matrix!$A:$ZZ,ROW(A318),MATCH("Evolution_Name",Unified_Matrix!$1:$1,0)),"")</f>
        <v/>
      </c>
      <c r="J321" s="13">
        <f>IF(H321="","",IF(H321=0,"",IF(H321=$Z$32,1,IF(H321=$Z$33,2,IF(H321=$Z$34,3,"")))))</f>
        <v/>
      </c>
      <c r="K321" s="13">
        <f t="array" ref="K321">IFERROR(INDEX(Unified_Matrix!$A:$ZZ,ROW(A318),MATCH("+ OVR",Unified_Matrix!$1:$1,0)),"")</f>
        <v/>
      </c>
      <c r="L321" s="13">
        <f t="array" ref="L321">IFERROR(INDEX(Unified_Matrix!$A:$ZZ,ROW(A318),MATCH("Max OVR",Unified_Matrix!$1:$1,0)),"")</f>
        <v/>
      </c>
      <c r="M321" s="13">
        <f t="array" ref="M321">IFERROR(INDEX(Unified_Matrix!$A:$ZZ,ROW(A318),MATCH("Req_Position",Unified_Matrix!$1:$1,0)),"")</f>
        <v/>
      </c>
      <c r="N321" s="13">
        <f t="array" ref="N321">IFERROR(INDEX(Unified_Matrix!$A:$ZZ,ROW(A318),MATCH("Req_OVR_Max",Unified_Matrix!$1:$1,0)),"")</f>
        <v/>
      </c>
      <c r="O321" s="25">
        <f t="array" ref="O321">IFERROR(INDEX(Unified_Matrix!$A:$ZZ,ROW(A318),MATCH("Req_Other",Unified_Matrix!$1:$1,0)),"")</f>
        <v/>
      </c>
    </row>
    <row r="322" ht="68.25" customHeight="1">
      <c r="H322" s="13">
        <f t="array" ref="H322">IFERROR(INDEX(Unified_Matrix!$A:$ZZ,ROW(A319),MATCH("Max "&amp;$H$3,Unified_Matrix!$1:$1,0)),"")</f>
        <v/>
      </c>
      <c r="I322" s="25">
        <f t="array" ref="I322">IFERROR(INDEX(Unified_Matrix!$A:$ZZ,ROW(A319),MATCH("Evolution_Name",Unified_Matrix!$1:$1,0)),"")</f>
        <v/>
      </c>
      <c r="J322" s="13">
        <f>IF(H322="","",IF(H322=0,"",IF(H322=$Z$32,1,IF(H322=$Z$33,2,IF(H322=$Z$34,3,"")))))</f>
        <v/>
      </c>
      <c r="K322" s="13">
        <f t="array" ref="K322">IFERROR(INDEX(Unified_Matrix!$A:$ZZ,ROW(A319),MATCH("+ OVR",Unified_Matrix!$1:$1,0)),"")</f>
        <v/>
      </c>
      <c r="L322" s="13">
        <f t="array" ref="L322">IFERROR(INDEX(Unified_Matrix!$A:$ZZ,ROW(A319),MATCH("Max OVR",Unified_Matrix!$1:$1,0)),"")</f>
        <v/>
      </c>
      <c r="M322" s="13">
        <f t="array" ref="M322">IFERROR(INDEX(Unified_Matrix!$A:$ZZ,ROW(A319),MATCH("Req_Position",Unified_Matrix!$1:$1,0)),"")</f>
        <v/>
      </c>
      <c r="N322" s="13">
        <f t="array" ref="N322">IFERROR(INDEX(Unified_Matrix!$A:$ZZ,ROW(A319),MATCH("Req_OVR_Max",Unified_Matrix!$1:$1,0)),"")</f>
        <v/>
      </c>
      <c r="O322" s="25">
        <f t="array" ref="O322">IFERROR(INDEX(Unified_Matrix!$A:$ZZ,ROW(A319),MATCH("Req_Other",Unified_Matrix!$1:$1,0)),"")</f>
        <v/>
      </c>
    </row>
    <row r="323" ht="68.25" customHeight="1">
      <c r="H323" s="13">
        <f t="array" ref="H323">IFERROR(INDEX(Unified_Matrix!$A:$ZZ,ROW(A320),MATCH("Max "&amp;$H$3,Unified_Matrix!$1:$1,0)),"")</f>
        <v/>
      </c>
      <c r="I323" s="25">
        <f t="array" ref="I323">IFERROR(INDEX(Unified_Matrix!$A:$ZZ,ROW(A320),MATCH("Evolution_Name",Unified_Matrix!$1:$1,0)),"")</f>
        <v/>
      </c>
      <c r="J323" s="13">
        <f>IF(H323="","",IF(H323=0,"",IF(H323=$Z$32,1,IF(H323=$Z$33,2,IF(H323=$Z$34,3,"")))))</f>
        <v/>
      </c>
      <c r="K323" s="13">
        <f t="array" ref="K323">IFERROR(INDEX(Unified_Matrix!$A:$ZZ,ROW(A320),MATCH("+ OVR",Unified_Matrix!$1:$1,0)),"")</f>
        <v/>
      </c>
      <c r="L323" s="13">
        <f t="array" ref="L323">IFERROR(INDEX(Unified_Matrix!$A:$ZZ,ROW(A320),MATCH("Max OVR",Unified_Matrix!$1:$1,0)),"")</f>
        <v/>
      </c>
      <c r="M323" s="13">
        <f t="array" ref="M323">IFERROR(INDEX(Unified_Matrix!$A:$ZZ,ROW(A320),MATCH("Req_Position",Unified_Matrix!$1:$1,0)),"")</f>
        <v/>
      </c>
      <c r="N323" s="13">
        <f t="array" ref="N323">IFERROR(INDEX(Unified_Matrix!$A:$ZZ,ROW(A320),MATCH("Req_OVR_Max",Unified_Matrix!$1:$1,0)),"")</f>
        <v/>
      </c>
      <c r="O323" s="25">
        <f t="array" ref="O323">IFERROR(INDEX(Unified_Matrix!$A:$ZZ,ROW(A320),MATCH("Req_Other",Unified_Matrix!$1:$1,0)),"")</f>
        <v/>
      </c>
    </row>
    <row r="324" ht="68.25" customHeight="1">
      <c r="H324" s="13">
        <f t="array" ref="H324">IFERROR(INDEX(Unified_Matrix!$A:$ZZ,ROW(A321),MATCH("Max "&amp;$H$3,Unified_Matrix!$1:$1,0)),"")</f>
        <v/>
      </c>
      <c r="I324" s="25">
        <f t="array" ref="I324">IFERROR(INDEX(Unified_Matrix!$A:$ZZ,ROW(A321),MATCH("Evolution_Name",Unified_Matrix!$1:$1,0)),"")</f>
        <v/>
      </c>
      <c r="J324" s="13">
        <f>IF(H324="","",IF(H324=0,"",IF(H324=$Z$32,1,IF(H324=$Z$33,2,IF(H324=$Z$34,3,"")))))</f>
        <v/>
      </c>
      <c r="K324" s="13">
        <f t="array" ref="K324">IFERROR(INDEX(Unified_Matrix!$A:$ZZ,ROW(A321),MATCH("+ OVR",Unified_Matrix!$1:$1,0)),"")</f>
        <v/>
      </c>
      <c r="L324" s="13">
        <f t="array" ref="L324">IFERROR(INDEX(Unified_Matrix!$A:$ZZ,ROW(A321),MATCH("Max OVR",Unified_Matrix!$1:$1,0)),"")</f>
        <v/>
      </c>
      <c r="M324" s="13">
        <f t="array" ref="M324">IFERROR(INDEX(Unified_Matrix!$A:$ZZ,ROW(A321),MATCH("Req_Position",Unified_Matrix!$1:$1,0)),"")</f>
        <v/>
      </c>
      <c r="N324" s="13">
        <f t="array" ref="N324">IFERROR(INDEX(Unified_Matrix!$A:$ZZ,ROW(A321),MATCH("Req_OVR_Max",Unified_Matrix!$1:$1,0)),"")</f>
        <v/>
      </c>
      <c r="O324" s="25">
        <f t="array" ref="O324">IFERROR(INDEX(Unified_Matrix!$A:$ZZ,ROW(A321),MATCH("Req_Other",Unified_Matrix!$1:$1,0)),"")</f>
        <v/>
      </c>
    </row>
    <row r="325" ht="68.25" customHeight="1">
      <c r="H325" s="13">
        <f t="array" ref="H325">IFERROR(INDEX(Unified_Matrix!$A:$ZZ,ROW(A322),MATCH("Max "&amp;$H$3,Unified_Matrix!$1:$1,0)),"")</f>
        <v/>
      </c>
      <c r="I325" s="25">
        <f t="array" ref="I325">IFERROR(INDEX(Unified_Matrix!$A:$ZZ,ROW(A322),MATCH("Evolution_Name",Unified_Matrix!$1:$1,0)),"")</f>
        <v/>
      </c>
      <c r="J325" s="13">
        <f>IF(H325="","",IF(H325=0,"",IF(H325=$Z$32,1,IF(H325=$Z$33,2,IF(H325=$Z$34,3,"")))))</f>
        <v/>
      </c>
      <c r="K325" s="13">
        <f t="array" ref="K325">IFERROR(INDEX(Unified_Matrix!$A:$ZZ,ROW(A322),MATCH("+ OVR",Unified_Matrix!$1:$1,0)),"")</f>
        <v/>
      </c>
      <c r="L325" s="13">
        <f t="array" ref="L325">IFERROR(INDEX(Unified_Matrix!$A:$ZZ,ROW(A322),MATCH("Max OVR",Unified_Matrix!$1:$1,0)),"")</f>
        <v/>
      </c>
      <c r="M325" s="13">
        <f t="array" ref="M325">IFERROR(INDEX(Unified_Matrix!$A:$ZZ,ROW(A322),MATCH("Req_Position",Unified_Matrix!$1:$1,0)),"")</f>
        <v/>
      </c>
      <c r="N325" s="13">
        <f t="array" ref="N325">IFERROR(INDEX(Unified_Matrix!$A:$ZZ,ROW(A322),MATCH("Req_OVR_Max",Unified_Matrix!$1:$1,0)),"")</f>
        <v/>
      </c>
      <c r="O325" s="25">
        <f t="array" ref="O325">IFERROR(INDEX(Unified_Matrix!$A:$ZZ,ROW(A322),MATCH("Req_Other",Unified_Matrix!$1:$1,0)),"")</f>
        <v/>
      </c>
    </row>
    <row r="326" ht="68.25" customHeight="1">
      <c r="H326" s="13">
        <f t="array" ref="H326">IFERROR(INDEX(Unified_Matrix!$A:$ZZ,ROW(A323),MATCH("Max "&amp;$H$3,Unified_Matrix!$1:$1,0)),"")</f>
        <v/>
      </c>
      <c r="I326" s="25">
        <f t="array" ref="I326">IFERROR(INDEX(Unified_Matrix!$A:$ZZ,ROW(A323),MATCH("Evolution_Name",Unified_Matrix!$1:$1,0)),"")</f>
        <v/>
      </c>
      <c r="J326" s="13">
        <f>IF(H326="","",IF(H326=0,"",IF(H326=$Z$32,1,IF(H326=$Z$33,2,IF(H326=$Z$34,3,"")))))</f>
        <v/>
      </c>
      <c r="K326" s="13">
        <f t="array" ref="K326">IFERROR(INDEX(Unified_Matrix!$A:$ZZ,ROW(A323),MATCH("+ OVR",Unified_Matrix!$1:$1,0)),"")</f>
        <v/>
      </c>
      <c r="L326" s="13">
        <f t="array" ref="L326">IFERROR(INDEX(Unified_Matrix!$A:$ZZ,ROW(A323),MATCH("Max OVR",Unified_Matrix!$1:$1,0)),"")</f>
        <v/>
      </c>
      <c r="M326" s="13">
        <f t="array" ref="M326">IFERROR(INDEX(Unified_Matrix!$A:$ZZ,ROW(A323),MATCH("Req_Position",Unified_Matrix!$1:$1,0)),"")</f>
        <v/>
      </c>
      <c r="N326" s="13">
        <f t="array" ref="N326">IFERROR(INDEX(Unified_Matrix!$A:$ZZ,ROW(A323),MATCH("Req_OVR_Max",Unified_Matrix!$1:$1,0)),"")</f>
        <v/>
      </c>
      <c r="O326" s="25">
        <f t="array" ref="O326">IFERROR(INDEX(Unified_Matrix!$A:$ZZ,ROW(A323),MATCH("Req_Other",Unified_Matrix!$1:$1,0)),"")</f>
        <v/>
      </c>
    </row>
    <row r="327" ht="68.25" customHeight="1">
      <c r="H327" s="13">
        <f t="array" ref="H327">IFERROR(INDEX(Unified_Matrix!$A:$ZZ,ROW(A324),MATCH("Max "&amp;$H$3,Unified_Matrix!$1:$1,0)),"")</f>
        <v/>
      </c>
      <c r="I327" s="25">
        <f t="array" ref="I327">IFERROR(INDEX(Unified_Matrix!$A:$ZZ,ROW(A324),MATCH("Evolution_Name",Unified_Matrix!$1:$1,0)),"")</f>
        <v/>
      </c>
      <c r="J327" s="13">
        <f>IF(H327="","",IF(H327=0,"",IF(H327=$Z$32,1,IF(H327=$Z$33,2,IF(H327=$Z$34,3,"")))))</f>
        <v/>
      </c>
      <c r="K327" s="13">
        <f t="array" ref="K327">IFERROR(INDEX(Unified_Matrix!$A:$ZZ,ROW(A324),MATCH("+ OVR",Unified_Matrix!$1:$1,0)),"")</f>
        <v/>
      </c>
      <c r="L327" s="13">
        <f t="array" ref="L327">IFERROR(INDEX(Unified_Matrix!$A:$ZZ,ROW(A324),MATCH("Max OVR",Unified_Matrix!$1:$1,0)),"")</f>
        <v/>
      </c>
      <c r="M327" s="13">
        <f t="array" ref="M327">IFERROR(INDEX(Unified_Matrix!$A:$ZZ,ROW(A324),MATCH("Req_Position",Unified_Matrix!$1:$1,0)),"")</f>
        <v/>
      </c>
      <c r="N327" s="13">
        <f t="array" ref="N327">IFERROR(INDEX(Unified_Matrix!$A:$ZZ,ROW(A324),MATCH("Req_OVR_Max",Unified_Matrix!$1:$1,0)),"")</f>
        <v/>
      </c>
      <c r="O327" s="25">
        <f t="array" ref="O327">IFERROR(INDEX(Unified_Matrix!$A:$ZZ,ROW(A324),MATCH("Req_Other",Unified_Matrix!$1:$1,0)),"")</f>
        <v/>
      </c>
    </row>
    <row r="328" ht="68.25" customHeight="1">
      <c r="H328" s="13">
        <f t="array" ref="H328">IFERROR(INDEX(Unified_Matrix!$A:$ZZ,ROW(A325),MATCH("Max "&amp;$H$3,Unified_Matrix!$1:$1,0)),"")</f>
        <v/>
      </c>
      <c r="I328" s="25">
        <f t="array" ref="I328">IFERROR(INDEX(Unified_Matrix!$A:$ZZ,ROW(A325),MATCH("Evolution_Name",Unified_Matrix!$1:$1,0)),"")</f>
        <v/>
      </c>
      <c r="J328" s="13">
        <f>IF(H328="","",IF(H328=0,"",IF(H328=$Z$32,1,IF(H328=$Z$33,2,IF(H328=$Z$34,3,"")))))</f>
        <v/>
      </c>
      <c r="K328" s="13">
        <f t="array" ref="K328">IFERROR(INDEX(Unified_Matrix!$A:$ZZ,ROW(A325),MATCH("+ OVR",Unified_Matrix!$1:$1,0)),"")</f>
        <v/>
      </c>
      <c r="L328" s="13">
        <f t="array" ref="L328">IFERROR(INDEX(Unified_Matrix!$A:$ZZ,ROW(A325),MATCH("Max OVR",Unified_Matrix!$1:$1,0)),"")</f>
        <v/>
      </c>
      <c r="M328" s="13">
        <f t="array" ref="M328">IFERROR(INDEX(Unified_Matrix!$A:$ZZ,ROW(A325),MATCH("Req_Position",Unified_Matrix!$1:$1,0)),"")</f>
        <v/>
      </c>
      <c r="N328" s="13">
        <f t="array" ref="N328">IFERROR(INDEX(Unified_Matrix!$A:$ZZ,ROW(A325),MATCH("Req_OVR_Max",Unified_Matrix!$1:$1,0)),"")</f>
        <v/>
      </c>
      <c r="O328" s="25">
        <f t="array" ref="O328">IFERROR(INDEX(Unified_Matrix!$A:$ZZ,ROW(A325),MATCH("Req_Other",Unified_Matrix!$1:$1,0)),"")</f>
        <v/>
      </c>
    </row>
    <row r="329" ht="68.25" customHeight="1">
      <c r="H329" s="13">
        <f t="array" ref="H329">IFERROR(INDEX(Unified_Matrix!$A:$ZZ,ROW(A326),MATCH("Max "&amp;$H$3,Unified_Matrix!$1:$1,0)),"")</f>
        <v/>
      </c>
      <c r="I329" s="25">
        <f t="array" ref="I329">IFERROR(INDEX(Unified_Matrix!$A:$ZZ,ROW(A326),MATCH("Evolution_Name",Unified_Matrix!$1:$1,0)),"")</f>
        <v/>
      </c>
      <c r="J329" s="13">
        <f>IF(H329="","",IF(H329=0,"",IF(H329=$Z$32,1,IF(H329=$Z$33,2,IF(H329=$Z$34,3,"")))))</f>
        <v/>
      </c>
      <c r="K329" s="13">
        <f t="array" ref="K329">IFERROR(INDEX(Unified_Matrix!$A:$ZZ,ROW(A326),MATCH("+ OVR",Unified_Matrix!$1:$1,0)),"")</f>
        <v/>
      </c>
      <c r="L329" s="13">
        <f t="array" ref="L329">IFERROR(INDEX(Unified_Matrix!$A:$ZZ,ROW(A326),MATCH("Max OVR",Unified_Matrix!$1:$1,0)),"")</f>
        <v/>
      </c>
      <c r="M329" s="13">
        <f t="array" ref="M329">IFERROR(INDEX(Unified_Matrix!$A:$ZZ,ROW(A326),MATCH("Req_Position",Unified_Matrix!$1:$1,0)),"")</f>
        <v/>
      </c>
      <c r="N329" s="13">
        <f t="array" ref="N329">IFERROR(INDEX(Unified_Matrix!$A:$ZZ,ROW(A326),MATCH("Req_OVR_Max",Unified_Matrix!$1:$1,0)),"")</f>
        <v/>
      </c>
      <c r="O329" s="25">
        <f t="array" ref="O329">IFERROR(INDEX(Unified_Matrix!$A:$ZZ,ROW(A326),MATCH("Req_Other",Unified_Matrix!$1:$1,0)),"")</f>
        <v/>
      </c>
    </row>
    <row r="330" ht="68.25" customHeight="1">
      <c r="H330" s="13">
        <f t="array" ref="H330">IFERROR(INDEX(Unified_Matrix!$A:$ZZ,ROW(A327),MATCH("Max "&amp;$H$3,Unified_Matrix!$1:$1,0)),"")</f>
        <v/>
      </c>
      <c r="I330" s="25">
        <f t="array" ref="I330">IFERROR(INDEX(Unified_Matrix!$A:$ZZ,ROW(A327),MATCH("Evolution_Name",Unified_Matrix!$1:$1,0)),"")</f>
        <v/>
      </c>
      <c r="J330" s="13">
        <f>IF(H330="","",IF(H330=0,"",IF(H330=$Z$32,1,IF(H330=$Z$33,2,IF(H330=$Z$34,3,"")))))</f>
        <v/>
      </c>
      <c r="K330" s="13">
        <f t="array" ref="K330">IFERROR(INDEX(Unified_Matrix!$A:$ZZ,ROW(A327),MATCH("+ OVR",Unified_Matrix!$1:$1,0)),"")</f>
        <v/>
      </c>
      <c r="L330" s="13">
        <f t="array" ref="L330">IFERROR(INDEX(Unified_Matrix!$A:$ZZ,ROW(A327),MATCH("Max OVR",Unified_Matrix!$1:$1,0)),"")</f>
        <v/>
      </c>
      <c r="M330" s="13">
        <f t="array" ref="M330">IFERROR(INDEX(Unified_Matrix!$A:$ZZ,ROW(A327),MATCH("Req_Position",Unified_Matrix!$1:$1,0)),"")</f>
        <v/>
      </c>
      <c r="N330" s="13">
        <f t="array" ref="N330">IFERROR(INDEX(Unified_Matrix!$A:$ZZ,ROW(A327),MATCH("Req_OVR_Max",Unified_Matrix!$1:$1,0)),"")</f>
        <v/>
      </c>
      <c r="O330" s="25">
        <f t="array" ref="O330">IFERROR(INDEX(Unified_Matrix!$A:$ZZ,ROW(A327),MATCH("Req_Other",Unified_Matrix!$1:$1,0)),"")</f>
        <v/>
      </c>
    </row>
    <row r="331" ht="68.25" customHeight="1">
      <c r="H331" s="13">
        <f t="array" ref="H331">IFERROR(INDEX(Unified_Matrix!$A:$ZZ,ROW(A328),MATCH("Max "&amp;$H$3,Unified_Matrix!$1:$1,0)),"")</f>
        <v/>
      </c>
      <c r="I331" s="25">
        <f t="array" ref="I331">IFERROR(INDEX(Unified_Matrix!$A:$ZZ,ROW(A328),MATCH("Evolution_Name",Unified_Matrix!$1:$1,0)),"")</f>
        <v/>
      </c>
      <c r="J331" s="13">
        <f>IF(H331="","",IF(H331=0,"",IF(H331=$Z$32,1,IF(H331=$Z$33,2,IF(H331=$Z$34,3,"")))))</f>
        <v/>
      </c>
      <c r="K331" s="13">
        <f t="array" ref="K331">IFERROR(INDEX(Unified_Matrix!$A:$ZZ,ROW(A328),MATCH("+ OVR",Unified_Matrix!$1:$1,0)),"")</f>
        <v/>
      </c>
      <c r="L331" s="13">
        <f t="array" ref="L331">IFERROR(INDEX(Unified_Matrix!$A:$ZZ,ROW(A328),MATCH("Max OVR",Unified_Matrix!$1:$1,0)),"")</f>
        <v/>
      </c>
      <c r="M331" s="13">
        <f t="array" ref="M331">IFERROR(INDEX(Unified_Matrix!$A:$ZZ,ROW(A328),MATCH("Req_Position",Unified_Matrix!$1:$1,0)),"")</f>
        <v/>
      </c>
      <c r="N331" s="13">
        <f t="array" ref="N331">IFERROR(INDEX(Unified_Matrix!$A:$ZZ,ROW(A328),MATCH("Req_OVR_Max",Unified_Matrix!$1:$1,0)),"")</f>
        <v/>
      </c>
      <c r="O331" s="25">
        <f t="array" ref="O331">IFERROR(INDEX(Unified_Matrix!$A:$ZZ,ROW(A328),MATCH("Req_Other",Unified_Matrix!$1:$1,0)),"")</f>
        <v/>
      </c>
    </row>
    <row r="332" ht="68.25" customHeight="1">
      <c r="H332" s="13">
        <f t="array" ref="H332">IFERROR(INDEX(Unified_Matrix!$A:$ZZ,ROW(A329),MATCH("Max "&amp;$H$3,Unified_Matrix!$1:$1,0)),"")</f>
        <v/>
      </c>
      <c r="I332" s="25">
        <f t="array" ref="I332">IFERROR(INDEX(Unified_Matrix!$A:$ZZ,ROW(A329),MATCH("Evolution_Name",Unified_Matrix!$1:$1,0)),"")</f>
        <v/>
      </c>
      <c r="J332" s="13">
        <f>IF(H332="","",IF(H332=0,"",IF(H332=$Z$32,1,IF(H332=$Z$33,2,IF(H332=$Z$34,3,"")))))</f>
        <v/>
      </c>
      <c r="K332" s="13">
        <f t="array" ref="K332">IFERROR(INDEX(Unified_Matrix!$A:$ZZ,ROW(A329),MATCH("+ OVR",Unified_Matrix!$1:$1,0)),"")</f>
        <v/>
      </c>
      <c r="L332" s="13">
        <f t="array" ref="L332">IFERROR(INDEX(Unified_Matrix!$A:$ZZ,ROW(A329),MATCH("Max OVR",Unified_Matrix!$1:$1,0)),"")</f>
        <v/>
      </c>
      <c r="M332" s="13">
        <f t="array" ref="M332">IFERROR(INDEX(Unified_Matrix!$A:$ZZ,ROW(A329),MATCH("Req_Position",Unified_Matrix!$1:$1,0)),"")</f>
        <v/>
      </c>
      <c r="N332" s="13">
        <f t="array" ref="N332">IFERROR(INDEX(Unified_Matrix!$A:$ZZ,ROW(A329),MATCH("Req_OVR_Max",Unified_Matrix!$1:$1,0)),"")</f>
        <v/>
      </c>
      <c r="O332" s="25">
        <f t="array" ref="O332">IFERROR(INDEX(Unified_Matrix!$A:$ZZ,ROW(A329),MATCH("Req_Other",Unified_Matrix!$1:$1,0)),"")</f>
        <v/>
      </c>
    </row>
    <row r="333" ht="68.25" customHeight="1">
      <c r="H333" s="13">
        <f t="array" ref="H333">IFERROR(INDEX(Unified_Matrix!$A:$ZZ,ROW(A330),MATCH("Max "&amp;$H$3,Unified_Matrix!$1:$1,0)),"")</f>
        <v/>
      </c>
      <c r="I333" s="25">
        <f t="array" ref="I333">IFERROR(INDEX(Unified_Matrix!$A:$ZZ,ROW(A330),MATCH("Evolution_Name",Unified_Matrix!$1:$1,0)),"")</f>
        <v/>
      </c>
      <c r="J333" s="13">
        <f>IF(H333="","",IF(H333=0,"",IF(H333=$Z$32,1,IF(H333=$Z$33,2,IF(H333=$Z$34,3,"")))))</f>
        <v/>
      </c>
      <c r="K333" s="13">
        <f t="array" ref="K333">IFERROR(INDEX(Unified_Matrix!$A:$ZZ,ROW(A330),MATCH("+ OVR",Unified_Matrix!$1:$1,0)),"")</f>
        <v/>
      </c>
      <c r="L333" s="13">
        <f t="array" ref="L333">IFERROR(INDEX(Unified_Matrix!$A:$ZZ,ROW(A330),MATCH("Max OVR",Unified_Matrix!$1:$1,0)),"")</f>
        <v/>
      </c>
      <c r="M333" s="13">
        <f t="array" ref="M333">IFERROR(INDEX(Unified_Matrix!$A:$ZZ,ROW(A330),MATCH("Req_Position",Unified_Matrix!$1:$1,0)),"")</f>
        <v/>
      </c>
      <c r="N333" s="13">
        <f t="array" ref="N333">IFERROR(INDEX(Unified_Matrix!$A:$ZZ,ROW(A330),MATCH("Req_OVR_Max",Unified_Matrix!$1:$1,0)),"")</f>
        <v/>
      </c>
      <c r="O333" s="25">
        <f t="array" ref="O333">IFERROR(INDEX(Unified_Matrix!$A:$ZZ,ROW(A330),MATCH("Req_Other",Unified_Matrix!$1:$1,0)),"")</f>
        <v/>
      </c>
    </row>
    <row r="334" ht="68.25" customHeight="1">
      <c r="H334" s="13">
        <f t="array" ref="H334">IFERROR(INDEX(Unified_Matrix!$A:$ZZ,ROW(A331),MATCH("Max "&amp;$H$3,Unified_Matrix!$1:$1,0)),"")</f>
        <v/>
      </c>
      <c r="I334" s="25">
        <f t="array" ref="I334">IFERROR(INDEX(Unified_Matrix!$A:$ZZ,ROW(A331),MATCH("Evolution_Name",Unified_Matrix!$1:$1,0)),"")</f>
        <v/>
      </c>
      <c r="J334" s="13">
        <f>IF(H334="","",IF(H334=0,"",IF(H334=$Z$32,1,IF(H334=$Z$33,2,IF(H334=$Z$34,3,"")))))</f>
        <v/>
      </c>
      <c r="K334" s="13">
        <f t="array" ref="K334">IFERROR(INDEX(Unified_Matrix!$A:$ZZ,ROW(A331),MATCH("+ OVR",Unified_Matrix!$1:$1,0)),"")</f>
        <v/>
      </c>
      <c r="L334" s="13">
        <f t="array" ref="L334">IFERROR(INDEX(Unified_Matrix!$A:$ZZ,ROW(A331),MATCH("Max OVR",Unified_Matrix!$1:$1,0)),"")</f>
        <v/>
      </c>
      <c r="M334" s="13">
        <f t="array" ref="M334">IFERROR(INDEX(Unified_Matrix!$A:$ZZ,ROW(A331),MATCH("Req_Position",Unified_Matrix!$1:$1,0)),"")</f>
        <v/>
      </c>
      <c r="N334" s="13">
        <f t="array" ref="N334">IFERROR(INDEX(Unified_Matrix!$A:$ZZ,ROW(A331),MATCH("Req_OVR_Max",Unified_Matrix!$1:$1,0)),"")</f>
        <v/>
      </c>
      <c r="O334" s="25">
        <f t="array" ref="O334">IFERROR(INDEX(Unified_Matrix!$A:$ZZ,ROW(A331),MATCH("Req_Other",Unified_Matrix!$1:$1,0)),"")</f>
        <v/>
      </c>
    </row>
    <row r="335" ht="68.25" customHeight="1">
      <c r="H335" s="13">
        <f t="array" ref="H335">IFERROR(INDEX(Unified_Matrix!$A:$ZZ,ROW(A332),MATCH("Max "&amp;$H$3,Unified_Matrix!$1:$1,0)),"")</f>
        <v/>
      </c>
      <c r="I335" s="25">
        <f t="array" ref="I335">IFERROR(INDEX(Unified_Matrix!$A:$ZZ,ROW(A332),MATCH("Evolution_Name",Unified_Matrix!$1:$1,0)),"")</f>
        <v/>
      </c>
      <c r="J335" s="13">
        <f>IF(H335="","",IF(H335=0,"",IF(H335=$Z$32,1,IF(H335=$Z$33,2,IF(H335=$Z$34,3,"")))))</f>
        <v/>
      </c>
      <c r="K335" s="13">
        <f t="array" ref="K335">IFERROR(INDEX(Unified_Matrix!$A:$ZZ,ROW(A332),MATCH("+ OVR",Unified_Matrix!$1:$1,0)),"")</f>
        <v/>
      </c>
      <c r="L335" s="13">
        <f t="array" ref="L335">IFERROR(INDEX(Unified_Matrix!$A:$ZZ,ROW(A332),MATCH("Max OVR",Unified_Matrix!$1:$1,0)),"")</f>
        <v/>
      </c>
      <c r="M335" s="13">
        <f t="array" ref="M335">IFERROR(INDEX(Unified_Matrix!$A:$ZZ,ROW(A332),MATCH("Req_Position",Unified_Matrix!$1:$1,0)),"")</f>
        <v/>
      </c>
      <c r="N335" s="13">
        <f t="array" ref="N335">IFERROR(INDEX(Unified_Matrix!$A:$ZZ,ROW(A332),MATCH("Req_OVR_Max",Unified_Matrix!$1:$1,0)),"")</f>
        <v/>
      </c>
      <c r="O335" s="25">
        <f t="array" ref="O335">IFERROR(INDEX(Unified_Matrix!$A:$ZZ,ROW(A332),MATCH("Req_Other",Unified_Matrix!$1:$1,0)),"")</f>
        <v/>
      </c>
    </row>
    <row r="336" ht="68.25" customHeight="1">
      <c r="H336" s="13">
        <f t="array" ref="H336">IFERROR(INDEX(Unified_Matrix!$A:$ZZ,ROW(A333),MATCH("Max "&amp;$H$3,Unified_Matrix!$1:$1,0)),"")</f>
        <v/>
      </c>
      <c r="I336" s="25">
        <f t="array" ref="I336">IFERROR(INDEX(Unified_Matrix!$A:$ZZ,ROW(A333),MATCH("Evolution_Name",Unified_Matrix!$1:$1,0)),"")</f>
        <v/>
      </c>
      <c r="J336" s="13">
        <f>IF(H336="","",IF(H336=0,"",IF(H336=$Z$32,1,IF(H336=$Z$33,2,IF(H336=$Z$34,3,"")))))</f>
        <v/>
      </c>
      <c r="K336" s="13">
        <f t="array" ref="K336">IFERROR(INDEX(Unified_Matrix!$A:$ZZ,ROW(A333),MATCH("+ OVR",Unified_Matrix!$1:$1,0)),"")</f>
        <v/>
      </c>
      <c r="L336" s="13">
        <f t="array" ref="L336">IFERROR(INDEX(Unified_Matrix!$A:$ZZ,ROW(A333),MATCH("Max OVR",Unified_Matrix!$1:$1,0)),"")</f>
        <v/>
      </c>
      <c r="M336" s="13">
        <f t="array" ref="M336">IFERROR(INDEX(Unified_Matrix!$A:$ZZ,ROW(A333),MATCH("Req_Position",Unified_Matrix!$1:$1,0)),"")</f>
        <v/>
      </c>
      <c r="N336" s="13">
        <f t="array" ref="N336">IFERROR(INDEX(Unified_Matrix!$A:$ZZ,ROW(A333),MATCH("Req_OVR_Max",Unified_Matrix!$1:$1,0)),"")</f>
        <v/>
      </c>
      <c r="O336" s="25">
        <f t="array" ref="O336">IFERROR(INDEX(Unified_Matrix!$A:$ZZ,ROW(A333),MATCH("Req_Other",Unified_Matrix!$1:$1,0)),"")</f>
        <v/>
      </c>
    </row>
    <row r="337" ht="68.25" customHeight="1">
      <c r="H337" s="13">
        <f t="array" ref="H337">IFERROR(INDEX(Unified_Matrix!$A:$ZZ,ROW(A334),MATCH("Max "&amp;$H$3,Unified_Matrix!$1:$1,0)),"")</f>
        <v/>
      </c>
      <c r="I337" s="25">
        <f t="array" ref="I337">IFERROR(INDEX(Unified_Matrix!$A:$ZZ,ROW(A334),MATCH("Evolution_Name",Unified_Matrix!$1:$1,0)),"")</f>
        <v/>
      </c>
      <c r="J337" s="13">
        <f>IF(H337="","",IF(H337=0,"",IF(H337=$Z$32,1,IF(H337=$Z$33,2,IF(H337=$Z$34,3,"")))))</f>
        <v/>
      </c>
      <c r="K337" s="13">
        <f t="array" ref="K337">IFERROR(INDEX(Unified_Matrix!$A:$ZZ,ROW(A334),MATCH("+ OVR",Unified_Matrix!$1:$1,0)),"")</f>
        <v/>
      </c>
      <c r="L337" s="13">
        <f t="array" ref="L337">IFERROR(INDEX(Unified_Matrix!$A:$ZZ,ROW(A334),MATCH("Max OVR",Unified_Matrix!$1:$1,0)),"")</f>
        <v/>
      </c>
      <c r="M337" s="13">
        <f t="array" ref="M337">IFERROR(INDEX(Unified_Matrix!$A:$ZZ,ROW(A334),MATCH("Req_Position",Unified_Matrix!$1:$1,0)),"")</f>
        <v/>
      </c>
      <c r="N337" s="13">
        <f t="array" ref="N337">IFERROR(INDEX(Unified_Matrix!$A:$ZZ,ROW(A334),MATCH("Req_OVR_Max",Unified_Matrix!$1:$1,0)),"")</f>
        <v/>
      </c>
      <c r="O337" s="25">
        <f t="array" ref="O337">IFERROR(INDEX(Unified_Matrix!$A:$ZZ,ROW(A334),MATCH("Req_Other",Unified_Matrix!$1:$1,0)),"")</f>
        <v/>
      </c>
    </row>
    <row r="338" ht="68.25" customHeight="1">
      <c r="H338" s="13">
        <f t="array" ref="H338">IFERROR(INDEX(Unified_Matrix!$A:$ZZ,ROW(A335),MATCH("Max "&amp;$H$3,Unified_Matrix!$1:$1,0)),"")</f>
        <v/>
      </c>
      <c r="I338" s="25">
        <f t="array" ref="I338">IFERROR(INDEX(Unified_Matrix!$A:$ZZ,ROW(A335),MATCH("Evolution_Name",Unified_Matrix!$1:$1,0)),"")</f>
        <v/>
      </c>
      <c r="J338" s="13">
        <f>IF(H338="","",IF(H338=0,"",IF(H338=$Z$32,1,IF(H338=$Z$33,2,IF(H338=$Z$34,3,"")))))</f>
        <v/>
      </c>
      <c r="K338" s="13">
        <f t="array" ref="K338">IFERROR(INDEX(Unified_Matrix!$A:$ZZ,ROW(A335),MATCH("+ OVR",Unified_Matrix!$1:$1,0)),"")</f>
        <v/>
      </c>
      <c r="L338" s="13">
        <f t="array" ref="L338">IFERROR(INDEX(Unified_Matrix!$A:$ZZ,ROW(A335),MATCH("Max OVR",Unified_Matrix!$1:$1,0)),"")</f>
        <v/>
      </c>
      <c r="M338" s="13">
        <f t="array" ref="M338">IFERROR(INDEX(Unified_Matrix!$A:$ZZ,ROW(A335),MATCH("Req_Position",Unified_Matrix!$1:$1,0)),"")</f>
        <v/>
      </c>
      <c r="N338" s="13">
        <f t="array" ref="N338">IFERROR(INDEX(Unified_Matrix!$A:$ZZ,ROW(A335),MATCH("Req_OVR_Max",Unified_Matrix!$1:$1,0)),"")</f>
        <v/>
      </c>
      <c r="O338" s="25">
        <f t="array" ref="O338">IFERROR(INDEX(Unified_Matrix!$A:$ZZ,ROW(A335),MATCH("Req_Other",Unified_Matrix!$1:$1,0)),"")</f>
        <v/>
      </c>
    </row>
    <row r="339" ht="68.25" customHeight="1">
      <c r="H339" s="13">
        <f t="array" ref="H339">IFERROR(INDEX(Unified_Matrix!$A:$ZZ,ROW(A336),MATCH("Max "&amp;$H$3,Unified_Matrix!$1:$1,0)),"")</f>
        <v/>
      </c>
      <c r="I339" s="25">
        <f t="array" ref="I339">IFERROR(INDEX(Unified_Matrix!$A:$ZZ,ROW(A336),MATCH("Evolution_Name",Unified_Matrix!$1:$1,0)),"")</f>
        <v/>
      </c>
      <c r="J339" s="13">
        <f>IF(H339="","",IF(H339=0,"",IF(H339=$Z$32,1,IF(H339=$Z$33,2,IF(H339=$Z$34,3,"")))))</f>
        <v/>
      </c>
      <c r="K339" s="13">
        <f t="array" ref="K339">IFERROR(INDEX(Unified_Matrix!$A:$ZZ,ROW(A336),MATCH("+ OVR",Unified_Matrix!$1:$1,0)),"")</f>
        <v/>
      </c>
      <c r="L339" s="13">
        <f t="array" ref="L339">IFERROR(INDEX(Unified_Matrix!$A:$ZZ,ROW(A336),MATCH("Max OVR",Unified_Matrix!$1:$1,0)),"")</f>
        <v/>
      </c>
      <c r="M339" s="13">
        <f t="array" ref="M339">IFERROR(INDEX(Unified_Matrix!$A:$ZZ,ROW(A336),MATCH("Req_Position",Unified_Matrix!$1:$1,0)),"")</f>
        <v/>
      </c>
      <c r="N339" s="13">
        <f t="array" ref="N339">IFERROR(INDEX(Unified_Matrix!$A:$ZZ,ROW(A336),MATCH("Req_OVR_Max",Unified_Matrix!$1:$1,0)),"")</f>
        <v/>
      </c>
      <c r="O339" s="25">
        <f t="array" ref="O339">IFERROR(INDEX(Unified_Matrix!$A:$ZZ,ROW(A336),MATCH("Req_Other",Unified_Matrix!$1:$1,0)),"")</f>
        <v/>
      </c>
    </row>
    <row r="340" ht="68.25" customHeight="1">
      <c r="H340" s="13">
        <f t="array" ref="H340">IFERROR(INDEX(Unified_Matrix!$A:$ZZ,ROW(A337),MATCH("Max "&amp;$H$3,Unified_Matrix!$1:$1,0)),"")</f>
        <v/>
      </c>
      <c r="I340" s="25">
        <f t="array" ref="I340">IFERROR(INDEX(Unified_Matrix!$A:$ZZ,ROW(A337),MATCH("Evolution_Name",Unified_Matrix!$1:$1,0)),"")</f>
        <v/>
      </c>
      <c r="J340" s="13">
        <f>IF(H340="","",IF(H340=0,"",IF(H340=$Z$32,1,IF(H340=$Z$33,2,IF(H340=$Z$34,3,"")))))</f>
        <v/>
      </c>
      <c r="K340" s="13">
        <f t="array" ref="K340">IFERROR(INDEX(Unified_Matrix!$A:$ZZ,ROW(A337),MATCH("+ OVR",Unified_Matrix!$1:$1,0)),"")</f>
        <v/>
      </c>
      <c r="L340" s="13">
        <f t="array" ref="L340">IFERROR(INDEX(Unified_Matrix!$A:$ZZ,ROW(A337),MATCH("Max OVR",Unified_Matrix!$1:$1,0)),"")</f>
        <v/>
      </c>
      <c r="M340" s="13">
        <f t="array" ref="M340">IFERROR(INDEX(Unified_Matrix!$A:$ZZ,ROW(A337),MATCH("Req_Position",Unified_Matrix!$1:$1,0)),"")</f>
        <v/>
      </c>
      <c r="N340" s="13">
        <f t="array" ref="N340">IFERROR(INDEX(Unified_Matrix!$A:$ZZ,ROW(A337),MATCH("Req_OVR_Max",Unified_Matrix!$1:$1,0)),"")</f>
        <v/>
      </c>
      <c r="O340" s="25">
        <f t="array" ref="O340">IFERROR(INDEX(Unified_Matrix!$A:$ZZ,ROW(A337),MATCH("Req_Other",Unified_Matrix!$1:$1,0)),"")</f>
        <v/>
      </c>
    </row>
    <row r="341" ht="68.25" customHeight="1">
      <c r="H341" s="13">
        <f t="array" ref="H341">IFERROR(INDEX(Unified_Matrix!$A:$ZZ,ROW(A338),MATCH("Max "&amp;$H$3,Unified_Matrix!$1:$1,0)),"")</f>
        <v/>
      </c>
      <c r="I341" s="25">
        <f t="array" ref="I341">IFERROR(INDEX(Unified_Matrix!$A:$ZZ,ROW(A338),MATCH("Evolution_Name",Unified_Matrix!$1:$1,0)),"")</f>
        <v/>
      </c>
      <c r="J341" s="13">
        <f>IF(H341="","",IF(H341=0,"",IF(H341=$Z$32,1,IF(H341=$Z$33,2,IF(H341=$Z$34,3,"")))))</f>
        <v/>
      </c>
      <c r="K341" s="13">
        <f t="array" ref="K341">IFERROR(INDEX(Unified_Matrix!$A:$ZZ,ROW(A338),MATCH("+ OVR",Unified_Matrix!$1:$1,0)),"")</f>
        <v/>
      </c>
      <c r="L341" s="13">
        <f t="array" ref="L341">IFERROR(INDEX(Unified_Matrix!$A:$ZZ,ROW(A338),MATCH("Max OVR",Unified_Matrix!$1:$1,0)),"")</f>
        <v/>
      </c>
      <c r="M341" s="13">
        <f t="array" ref="M341">IFERROR(INDEX(Unified_Matrix!$A:$ZZ,ROW(A338),MATCH("Req_Position",Unified_Matrix!$1:$1,0)),"")</f>
        <v/>
      </c>
      <c r="N341" s="13">
        <f t="array" ref="N341">IFERROR(INDEX(Unified_Matrix!$A:$ZZ,ROW(A338),MATCH("Req_OVR_Max",Unified_Matrix!$1:$1,0)),"")</f>
        <v/>
      </c>
      <c r="O341" s="25">
        <f t="array" ref="O341">IFERROR(INDEX(Unified_Matrix!$A:$ZZ,ROW(A338),MATCH("Req_Other",Unified_Matrix!$1:$1,0)),"")</f>
        <v/>
      </c>
    </row>
    <row r="342" ht="68.25" customHeight="1">
      <c r="H342" s="13">
        <f t="array" ref="H342">IFERROR(INDEX(Unified_Matrix!$A:$ZZ,ROW(A339),MATCH("Max "&amp;$H$3,Unified_Matrix!$1:$1,0)),"")</f>
        <v/>
      </c>
      <c r="I342" s="25">
        <f t="array" ref="I342">IFERROR(INDEX(Unified_Matrix!$A:$ZZ,ROW(A339),MATCH("Evolution_Name",Unified_Matrix!$1:$1,0)),"")</f>
        <v/>
      </c>
      <c r="J342" s="13">
        <f>IF(H342="","",IF(H342=0,"",IF(H342=$Z$32,1,IF(H342=$Z$33,2,IF(H342=$Z$34,3,"")))))</f>
        <v/>
      </c>
      <c r="K342" s="13">
        <f t="array" ref="K342">IFERROR(INDEX(Unified_Matrix!$A:$ZZ,ROW(A339),MATCH("+ OVR",Unified_Matrix!$1:$1,0)),"")</f>
        <v/>
      </c>
      <c r="L342" s="13">
        <f t="array" ref="L342">IFERROR(INDEX(Unified_Matrix!$A:$ZZ,ROW(A339),MATCH("Max OVR",Unified_Matrix!$1:$1,0)),"")</f>
        <v/>
      </c>
      <c r="M342" s="13">
        <f t="array" ref="M342">IFERROR(INDEX(Unified_Matrix!$A:$ZZ,ROW(A339),MATCH("Req_Position",Unified_Matrix!$1:$1,0)),"")</f>
        <v/>
      </c>
      <c r="N342" s="13">
        <f t="array" ref="N342">IFERROR(INDEX(Unified_Matrix!$A:$ZZ,ROW(A339),MATCH("Req_OVR_Max",Unified_Matrix!$1:$1,0)),"")</f>
        <v/>
      </c>
      <c r="O342" s="25">
        <f t="array" ref="O342">IFERROR(INDEX(Unified_Matrix!$A:$ZZ,ROW(A339),MATCH("Req_Other",Unified_Matrix!$1:$1,0)),"")</f>
        <v/>
      </c>
    </row>
    <row r="343" ht="68.25" customHeight="1">
      <c r="H343" s="13">
        <f t="array" ref="H343">IFERROR(INDEX(Unified_Matrix!$A:$ZZ,ROW(A340),MATCH("Max "&amp;$H$3,Unified_Matrix!$1:$1,0)),"")</f>
        <v/>
      </c>
      <c r="I343" s="25">
        <f t="array" ref="I343">IFERROR(INDEX(Unified_Matrix!$A:$ZZ,ROW(A340),MATCH("Evolution_Name",Unified_Matrix!$1:$1,0)),"")</f>
        <v/>
      </c>
      <c r="J343" s="13">
        <f>IF(H343="","",IF(H343=0,"",IF(H343=$Z$32,1,IF(H343=$Z$33,2,IF(H343=$Z$34,3,"")))))</f>
        <v/>
      </c>
      <c r="K343" s="13">
        <f t="array" ref="K343">IFERROR(INDEX(Unified_Matrix!$A:$ZZ,ROW(A340),MATCH("+ OVR",Unified_Matrix!$1:$1,0)),"")</f>
        <v/>
      </c>
      <c r="L343" s="13">
        <f t="array" ref="L343">IFERROR(INDEX(Unified_Matrix!$A:$ZZ,ROW(A340),MATCH("Max OVR",Unified_Matrix!$1:$1,0)),"")</f>
        <v/>
      </c>
      <c r="M343" s="13">
        <f t="array" ref="M343">IFERROR(INDEX(Unified_Matrix!$A:$ZZ,ROW(A340),MATCH("Req_Position",Unified_Matrix!$1:$1,0)),"")</f>
        <v/>
      </c>
      <c r="N343" s="13">
        <f t="array" ref="N343">IFERROR(INDEX(Unified_Matrix!$A:$ZZ,ROW(A340),MATCH("Req_OVR_Max",Unified_Matrix!$1:$1,0)),"")</f>
        <v/>
      </c>
      <c r="O343" s="25">
        <f t="array" ref="O343">IFERROR(INDEX(Unified_Matrix!$A:$ZZ,ROW(A340),MATCH("Req_Other",Unified_Matrix!$1:$1,0)),"")</f>
        <v/>
      </c>
    </row>
    <row r="344" ht="68.25" customHeight="1">
      <c r="H344" s="13">
        <f t="array" ref="H344">IFERROR(INDEX(Unified_Matrix!$A:$ZZ,ROW(A341),MATCH("Max "&amp;$H$3,Unified_Matrix!$1:$1,0)),"")</f>
        <v/>
      </c>
      <c r="I344" s="25">
        <f t="array" ref="I344">IFERROR(INDEX(Unified_Matrix!$A:$ZZ,ROW(A341),MATCH("Evolution_Name",Unified_Matrix!$1:$1,0)),"")</f>
        <v/>
      </c>
      <c r="J344" s="13">
        <f>IF(H344="","",IF(H344=0,"",IF(H344=$Z$32,1,IF(H344=$Z$33,2,IF(H344=$Z$34,3,"")))))</f>
        <v/>
      </c>
      <c r="K344" s="13">
        <f t="array" ref="K344">IFERROR(INDEX(Unified_Matrix!$A:$ZZ,ROW(A341),MATCH("+ OVR",Unified_Matrix!$1:$1,0)),"")</f>
        <v/>
      </c>
      <c r="L344" s="13">
        <f t="array" ref="L344">IFERROR(INDEX(Unified_Matrix!$A:$ZZ,ROW(A341),MATCH("Max OVR",Unified_Matrix!$1:$1,0)),"")</f>
        <v/>
      </c>
      <c r="M344" s="13">
        <f t="array" ref="M344">IFERROR(INDEX(Unified_Matrix!$A:$ZZ,ROW(A341),MATCH("Req_Position",Unified_Matrix!$1:$1,0)),"")</f>
        <v/>
      </c>
      <c r="N344" s="13">
        <f t="array" ref="N344">IFERROR(INDEX(Unified_Matrix!$A:$ZZ,ROW(A341),MATCH("Req_OVR_Max",Unified_Matrix!$1:$1,0)),"")</f>
        <v/>
      </c>
      <c r="O344" s="25">
        <f t="array" ref="O344">IFERROR(INDEX(Unified_Matrix!$A:$ZZ,ROW(A341),MATCH("Req_Other",Unified_Matrix!$1:$1,0)),"")</f>
        <v/>
      </c>
    </row>
    <row r="345" ht="68.25" customHeight="1">
      <c r="H345" s="13">
        <f t="array" ref="H345">IFERROR(INDEX(Unified_Matrix!$A:$ZZ,ROW(A342),MATCH("Max "&amp;$H$3,Unified_Matrix!$1:$1,0)),"")</f>
        <v/>
      </c>
      <c r="I345" s="25">
        <f t="array" ref="I345">IFERROR(INDEX(Unified_Matrix!$A:$ZZ,ROW(A342),MATCH("Evolution_Name",Unified_Matrix!$1:$1,0)),"")</f>
        <v/>
      </c>
      <c r="J345" s="13">
        <f>IF(H345="","",IF(H345=0,"",IF(H345=$Z$32,1,IF(H345=$Z$33,2,IF(H345=$Z$34,3,"")))))</f>
        <v/>
      </c>
      <c r="K345" s="13">
        <f t="array" ref="K345">IFERROR(INDEX(Unified_Matrix!$A:$ZZ,ROW(A342),MATCH("+ OVR",Unified_Matrix!$1:$1,0)),"")</f>
        <v/>
      </c>
      <c r="L345" s="13">
        <f t="array" ref="L345">IFERROR(INDEX(Unified_Matrix!$A:$ZZ,ROW(A342),MATCH("Max OVR",Unified_Matrix!$1:$1,0)),"")</f>
        <v/>
      </c>
      <c r="M345" s="13">
        <f t="array" ref="M345">IFERROR(INDEX(Unified_Matrix!$A:$ZZ,ROW(A342),MATCH("Req_Position",Unified_Matrix!$1:$1,0)),"")</f>
        <v/>
      </c>
      <c r="N345" s="13">
        <f t="array" ref="N345">IFERROR(INDEX(Unified_Matrix!$A:$ZZ,ROW(A342),MATCH("Req_OVR_Max",Unified_Matrix!$1:$1,0)),"")</f>
        <v/>
      </c>
      <c r="O345" s="25">
        <f t="array" ref="O345">IFERROR(INDEX(Unified_Matrix!$A:$ZZ,ROW(A342),MATCH("Req_Other",Unified_Matrix!$1:$1,0)),"")</f>
        <v/>
      </c>
    </row>
    <row r="346" ht="68.25" customHeight="1">
      <c r="H346" s="13">
        <f t="array" ref="H346">IFERROR(INDEX(Unified_Matrix!$A:$ZZ,ROW(A343),MATCH("Max "&amp;$H$3,Unified_Matrix!$1:$1,0)),"")</f>
        <v/>
      </c>
      <c r="I346" s="25">
        <f t="array" ref="I346">IFERROR(INDEX(Unified_Matrix!$A:$ZZ,ROW(A343),MATCH("Evolution_Name",Unified_Matrix!$1:$1,0)),"")</f>
        <v/>
      </c>
      <c r="J346" s="13">
        <f>IF(H346="","",IF(H346=0,"",IF(H346=$Z$32,1,IF(H346=$Z$33,2,IF(H346=$Z$34,3,"")))))</f>
        <v/>
      </c>
      <c r="K346" s="13">
        <f t="array" ref="K346">IFERROR(INDEX(Unified_Matrix!$A:$ZZ,ROW(A343),MATCH("+ OVR",Unified_Matrix!$1:$1,0)),"")</f>
        <v/>
      </c>
      <c r="L346" s="13">
        <f t="array" ref="L346">IFERROR(INDEX(Unified_Matrix!$A:$ZZ,ROW(A343),MATCH("Max OVR",Unified_Matrix!$1:$1,0)),"")</f>
        <v/>
      </c>
      <c r="M346" s="13">
        <f t="array" ref="M346">IFERROR(INDEX(Unified_Matrix!$A:$ZZ,ROW(A343),MATCH("Req_Position",Unified_Matrix!$1:$1,0)),"")</f>
        <v/>
      </c>
      <c r="N346" s="13">
        <f t="array" ref="N346">IFERROR(INDEX(Unified_Matrix!$A:$ZZ,ROW(A343),MATCH("Req_OVR_Max",Unified_Matrix!$1:$1,0)),"")</f>
        <v/>
      </c>
      <c r="O346" s="25">
        <f t="array" ref="O346">IFERROR(INDEX(Unified_Matrix!$A:$ZZ,ROW(A343),MATCH("Req_Other",Unified_Matrix!$1:$1,0)),"")</f>
        <v/>
      </c>
    </row>
    <row r="347" ht="68.25" customHeight="1">
      <c r="H347" s="13">
        <f t="array" ref="H347">IFERROR(INDEX(Unified_Matrix!$A:$ZZ,ROW(A344),MATCH("Max "&amp;$H$3,Unified_Matrix!$1:$1,0)),"")</f>
        <v/>
      </c>
      <c r="I347" s="25">
        <f t="array" ref="I347">IFERROR(INDEX(Unified_Matrix!$A:$ZZ,ROW(A344),MATCH("Evolution_Name",Unified_Matrix!$1:$1,0)),"")</f>
        <v/>
      </c>
      <c r="J347" s="13">
        <f>IF(H347="","",IF(H347=0,"",IF(H347=$Z$32,1,IF(H347=$Z$33,2,IF(H347=$Z$34,3,"")))))</f>
        <v/>
      </c>
      <c r="K347" s="13">
        <f t="array" ref="K347">IFERROR(INDEX(Unified_Matrix!$A:$ZZ,ROW(A344),MATCH("+ OVR",Unified_Matrix!$1:$1,0)),"")</f>
        <v/>
      </c>
      <c r="L347" s="13">
        <f t="array" ref="L347">IFERROR(INDEX(Unified_Matrix!$A:$ZZ,ROW(A344),MATCH("Max OVR",Unified_Matrix!$1:$1,0)),"")</f>
        <v/>
      </c>
      <c r="M347" s="13">
        <f t="array" ref="M347">IFERROR(INDEX(Unified_Matrix!$A:$ZZ,ROW(A344),MATCH("Req_Position",Unified_Matrix!$1:$1,0)),"")</f>
        <v/>
      </c>
      <c r="N347" s="13">
        <f t="array" ref="N347">IFERROR(INDEX(Unified_Matrix!$A:$ZZ,ROW(A344),MATCH("Req_OVR_Max",Unified_Matrix!$1:$1,0)),"")</f>
        <v/>
      </c>
      <c r="O347" s="25">
        <f t="array" ref="O347">IFERROR(INDEX(Unified_Matrix!$A:$ZZ,ROW(A344),MATCH("Req_Other",Unified_Matrix!$1:$1,0)),"")</f>
        <v/>
      </c>
    </row>
    <row r="348" ht="68.25" customHeight="1">
      <c r="H348" s="13">
        <f t="array" ref="H348">IFERROR(INDEX(Unified_Matrix!$A:$ZZ,ROW(A345),MATCH("Max "&amp;$H$3,Unified_Matrix!$1:$1,0)),"")</f>
        <v/>
      </c>
      <c r="I348" s="25">
        <f t="array" ref="I348">IFERROR(INDEX(Unified_Matrix!$A:$ZZ,ROW(A345),MATCH("Evolution_Name",Unified_Matrix!$1:$1,0)),"")</f>
        <v/>
      </c>
      <c r="J348" s="13">
        <f>IF(H348="","",IF(H348=0,"",IF(H348=$Z$32,1,IF(H348=$Z$33,2,IF(H348=$Z$34,3,"")))))</f>
        <v/>
      </c>
      <c r="K348" s="13">
        <f t="array" ref="K348">IFERROR(INDEX(Unified_Matrix!$A:$ZZ,ROW(A345),MATCH("+ OVR",Unified_Matrix!$1:$1,0)),"")</f>
        <v/>
      </c>
      <c r="L348" s="13">
        <f t="array" ref="L348">IFERROR(INDEX(Unified_Matrix!$A:$ZZ,ROW(A345),MATCH("Max OVR",Unified_Matrix!$1:$1,0)),"")</f>
        <v/>
      </c>
      <c r="M348" s="13">
        <f t="array" ref="M348">IFERROR(INDEX(Unified_Matrix!$A:$ZZ,ROW(A345),MATCH("Req_Position",Unified_Matrix!$1:$1,0)),"")</f>
        <v/>
      </c>
      <c r="N348" s="13">
        <f t="array" ref="N348">IFERROR(INDEX(Unified_Matrix!$A:$ZZ,ROW(A345),MATCH("Req_OVR_Max",Unified_Matrix!$1:$1,0)),"")</f>
        <v/>
      </c>
      <c r="O348" s="25">
        <f t="array" ref="O348">IFERROR(INDEX(Unified_Matrix!$A:$ZZ,ROW(A345),MATCH("Req_Other",Unified_Matrix!$1:$1,0)),"")</f>
        <v/>
      </c>
    </row>
    <row r="349" ht="68.25" customHeight="1">
      <c r="H349" s="13">
        <f t="array" ref="H349">IFERROR(INDEX(Unified_Matrix!$A:$ZZ,ROW(A346),MATCH("Max "&amp;$H$3,Unified_Matrix!$1:$1,0)),"")</f>
        <v/>
      </c>
      <c r="I349" s="25">
        <f t="array" ref="I349">IFERROR(INDEX(Unified_Matrix!$A:$ZZ,ROW(A346),MATCH("Evolution_Name",Unified_Matrix!$1:$1,0)),"")</f>
        <v/>
      </c>
      <c r="J349" s="13">
        <f>IF(H349="","",IF(H349=0,"",IF(H349=$Z$32,1,IF(H349=$Z$33,2,IF(H349=$Z$34,3,"")))))</f>
        <v/>
      </c>
      <c r="K349" s="13">
        <f t="array" ref="K349">IFERROR(INDEX(Unified_Matrix!$A:$ZZ,ROW(A346),MATCH("+ OVR",Unified_Matrix!$1:$1,0)),"")</f>
        <v/>
      </c>
      <c r="L349" s="13">
        <f t="array" ref="L349">IFERROR(INDEX(Unified_Matrix!$A:$ZZ,ROW(A346),MATCH("Max OVR",Unified_Matrix!$1:$1,0)),"")</f>
        <v/>
      </c>
      <c r="M349" s="13">
        <f t="array" ref="M349">IFERROR(INDEX(Unified_Matrix!$A:$ZZ,ROW(A346),MATCH("Req_Position",Unified_Matrix!$1:$1,0)),"")</f>
        <v/>
      </c>
      <c r="N349" s="13">
        <f t="array" ref="N349">IFERROR(INDEX(Unified_Matrix!$A:$ZZ,ROW(A346),MATCH("Req_OVR_Max",Unified_Matrix!$1:$1,0)),"")</f>
        <v/>
      </c>
      <c r="O349" s="25">
        <f t="array" ref="O349">IFERROR(INDEX(Unified_Matrix!$A:$ZZ,ROW(A346),MATCH("Req_Other",Unified_Matrix!$1:$1,0)),"")</f>
        <v/>
      </c>
    </row>
    <row r="350" ht="68.25" customHeight="1">
      <c r="H350" s="13">
        <f t="array" ref="H350">IFERROR(INDEX(Unified_Matrix!$A:$ZZ,ROW(A347),MATCH("Max "&amp;$H$3,Unified_Matrix!$1:$1,0)),"")</f>
        <v/>
      </c>
      <c r="I350" s="25">
        <f t="array" ref="I350">IFERROR(INDEX(Unified_Matrix!$A:$ZZ,ROW(A347),MATCH("Evolution_Name",Unified_Matrix!$1:$1,0)),"")</f>
        <v/>
      </c>
      <c r="J350" s="13">
        <f>IF(H350="","",IF(H350=0,"",IF(H350=$Z$32,1,IF(H350=$Z$33,2,IF(H350=$Z$34,3,"")))))</f>
        <v/>
      </c>
      <c r="K350" s="13">
        <f t="array" ref="K350">IFERROR(INDEX(Unified_Matrix!$A:$ZZ,ROW(A347),MATCH("+ OVR",Unified_Matrix!$1:$1,0)),"")</f>
        <v/>
      </c>
      <c r="L350" s="13">
        <f t="array" ref="L350">IFERROR(INDEX(Unified_Matrix!$A:$ZZ,ROW(A347),MATCH("Max OVR",Unified_Matrix!$1:$1,0)),"")</f>
        <v/>
      </c>
      <c r="M350" s="13">
        <f t="array" ref="M350">IFERROR(INDEX(Unified_Matrix!$A:$ZZ,ROW(A347),MATCH("Req_Position",Unified_Matrix!$1:$1,0)),"")</f>
        <v/>
      </c>
      <c r="N350" s="13">
        <f t="array" ref="N350">IFERROR(INDEX(Unified_Matrix!$A:$ZZ,ROW(A347),MATCH("Req_OVR_Max",Unified_Matrix!$1:$1,0)),"")</f>
        <v/>
      </c>
      <c r="O350" s="25">
        <f t="array" ref="O350">IFERROR(INDEX(Unified_Matrix!$A:$ZZ,ROW(A347),MATCH("Req_Other",Unified_Matrix!$1:$1,0)),"")</f>
        <v/>
      </c>
    </row>
    <row r="351" ht="68.25" customHeight="1">
      <c r="H351" s="13">
        <f t="array" ref="H351">IFERROR(INDEX(Unified_Matrix!$A:$ZZ,ROW(A348),MATCH("Max "&amp;$H$3,Unified_Matrix!$1:$1,0)),"")</f>
        <v/>
      </c>
      <c r="I351" s="25">
        <f t="array" ref="I351">IFERROR(INDEX(Unified_Matrix!$A:$ZZ,ROW(A348),MATCH("Evolution_Name",Unified_Matrix!$1:$1,0)),"")</f>
        <v/>
      </c>
      <c r="J351" s="13">
        <f>IF(H351="","",IF(H351=0,"",IF(H351=$Z$32,1,IF(H351=$Z$33,2,IF(H351=$Z$34,3,"")))))</f>
        <v/>
      </c>
      <c r="K351" s="13">
        <f t="array" ref="K351">IFERROR(INDEX(Unified_Matrix!$A:$ZZ,ROW(A348),MATCH("+ OVR",Unified_Matrix!$1:$1,0)),"")</f>
        <v/>
      </c>
      <c r="L351" s="13">
        <f t="array" ref="L351">IFERROR(INDEX(Unified_Matrix!$A:$ZZ,ROW(A348),MATCH("Max OVR",Unified_Matrix!$1:$1,0)),"")</f>
        <v/>
      </c>
      <c r="M351" s="13">
        <f t="array" ref="M351">IFERROR(INDEX(Unified_Matrix!$A:$ZZ,ROW(A348),MATCH("Req_Position",Unified_Matrix!$1:$1,0)),"")</f>
        <v/>
      </c>
      <c r="N351" s="13">
        <f t="array" ref="N351">IFERROR(INDEX(Unified_Matrix!$A:$ZZ,ROW(A348),MATCH("Req_OVR_Max",Unified_Matrix!$1:$1,0)),"")</f>
        <v/>
      </c>
      <c r="O351" s="25">
        <f t="array" ref="O351">IFERROR(INDEX(Unified_Matrix!$A:$ZZ,ROW(A348),MATCH("Req_Other",Unified_Matrix!$1:$1,0)),"")</f>
        <v/>
      </c>
    </row>
    <row r="352" ht="68.25" customHeight="1">
      <c r="H352" s="13">
        <f t="array" ref="H352">IFERROR(INDEX(Unified_Matrix!$A:$ZZ,ROW(A349),MATCH("Max "&amp;$H$3,Unified_Matrix!$1:$1,0)),"")</f>
        <v/>
      </c>
      <c r="I352" s="25">
        <f t="array" ref="I352">IFERROR(INDEX(Unified_Matrix!$A:$ZZ,ROW(A349),MATCH("Evolution_Name",Unified_Matrix!$1:$1,0)),"")</f>
        <v/>
      </c>
      <c r="J352" s="13">
        <f>IF(H352="","",IF(H352=0,"",IF(H352=$Z$32,1,IF(H352=$Z$33,2,IF(H352=$Z$34,3,"")))))</f>
        <v/>
      </c>
      <c r="K352" s="13">
        <f t="array" ref="K352">IFERROR(INDEX(Unified_Matrix!$A:$ZZ,ROW(A349),MATCH("+ OVR",Unified_Matrix!$1:$1,0)),"")</f>
        <v/>
      </c>
      <c r="L352" s="13">
        <f t="array" ref="L352">IFERROR(INDEX(Unified_Matrix!$A:$ZZ,ROW(A349),MATCH("Max OVR",Unified_Matrix!$1:$1,0)),"")</f>
        <v/>
      </c>
      <c r="M352" s="13">
        <f t="array" ref="M352">IFERROR(INDEX(Unified_Matrix!$A:$ZZ,ROW(A349),MATCH("Req_Position",Unified_Matrix!$1:$1,0)),"")</f>
        <v/>
      </c>
      <c r="N352" s="13">
        <f t="array" ref="N352">IFERROR(INDEX(Unified_Matrix!$A:$ZZ,ROW(A349),MATCH("Req_OVR_Max",Unified_Matrix!$1:$1,0)),"")</f>
        <v/>
      </c>
      <c r="O352" s="25">
        <f t="array" ref="O352">IFERROR(INDEX(Unified_Matrix!$A:$ZZ,ROW(A349),MATCH("Req_Other",Unified_Matrix!$1:$1,0)),"")</f>
        <v/>
      </c>
    </row>
    <row r="353" ht="68.25" customHeight="1">
      <c r="H353" s="13">
        <f t="array" ref="H353">IFERROR(INDEX(Unified_Matrix!$A:$ZZ,ROW(A350),MATCH("Max "&amp;$H$3,Unified_Matrix!$1:$1,0)),"")</f>
        <v/>
      </c>
      <c r="I353" s="25">
        <f t="array" ref="I353">IFERROR(INDEX(Unified_Matrix!$A:$ZZ,ROW(A350),MATCH("Evolution_Name",Unified_Matrix!$1:$1,0)),"")</f>
        <v/>
      </c>
      <c r="J353" s="13">
        <f>IF(H353="","",IF(H353=0,"",IF(H353=$Z$32,1,IF(H353=$Z$33,2,IF(H353=$Z$34,3,"")))))</f>
        <v/>
      </c>
      <c r="K353" s="13">
        <f t="array" ref="K353">IFERROR(INDEX(Unified_Matrix!$A:$ZZ,ROW(A350),MATCH("+ OVR",Unified_Matrix!$1:$1,0)),"")</f>
        <v/>
      </c>
      <c r="L353" s="13">
        <f t="array" ref="L353">IFERROR(INDEX(Unified_Matrix!$A:$ZZ,ROW(A350),MATCH("Max OVR",Unified_Matrix!$1:$1,0)),"")</f>
        <v/>
      </c>
      <c r="M353" s="13">
        <f t="array" ref="M353">IFERROR(INDEX(Unified_Matrix!$A:$ZZ,ROW(A350),MATCH("Req_Position",Unified_Matrix!$1:$1,0)),"")</f>
        <v/>
      </c>
      <c r="N353" s="13">
        <f t="array" ref="N353">IFERROR(INDEX(Unified_Matrix!$A:$ZZ,ROW(A350),MATCH("Req_OVR_Max",Unified_Matrix!$1:$1,0)),"")</f>
        <v/>
      </c>
      <c r="O353" s="25">
        <f t="array" ref="O353">IFERROR(INDEX(Unified_Matrix!$A:$ZZ,ROW(A350),MATCH("Req_Other",Unified_Matrix!$1:$1,0)),"")</f>
        <v/>
      </c>
    </row>
    <row r="354" ht="68.25" customHeight="1">
      <c r="H354" s="13">
        <f t="array" ref="H354">IFERROR(INDEX(Unified_Matrix!$A:$ZZ,ROW(A351),MATCH("Max "&amp;$H$3,Unified_Matrix!$1:$1,0)),"")</f>
        <v/>
      </c>
      <c r="I354" s="25">
        <f t="array" ref="I354">IFERROR(INDEX(Unified_Matrix!$A:$ZZ,ROW(A351),MATCH("Evolution_Name",Unified_Matrix!$1:$1,0)),"")</f>
        <v/>
      </c>
      <c r="J354" s="13">
        <f>IF(H354="","",IF(H354=0,"",IF(H354=$Z$32,1,IF(H354=$Z$33,2,IF(H354=$Z$34,3,"")))))</f>
        <v/>
      </c>
      <c r="K354" s="13">
        <f t="array" ref="K354">IFERROR(INDEX(Unified_Matrix!$A:$ZZ,ROW(A351),MATCH("+ OVR",Unified_Matrix!$1:$1,0)),"")</f>
        <v/>
      </c>
      <c r="L354" s="13">
        <f t="array" ref="L354">IFERROR(INDEX(Unified_Matrix!$A:$ZZ,ROW(A351),MATCH("Max OVR",Unified_Matrix!$1:$1,0)),"")</f>
        <v/>
      </c>
      <c r="M354" s="13">
        <f t="array" ref="M354">IFERROR(INDEX(Unified_Matrix!$A:$ZZ,ROW(A351),MATCH("Req_Position",Unified_Matrix!$1:$1,0)),"")</f>
        <v/>
      </c>
      <c r="N354" s="13">
        <f t="array" ref="N354">IFERROR(INDEX(Unified_Matrix!$A:$ZZ,ROW(A351),MATCH("Req_OVR_Max",Unified_Matrix!$1:$1,0)),"")</f>
        <v/>
      </c>
      <c r="O354" s="25">
        <f t="array" ref="O354">IFERROR(INDEX(Unified_Matrix!$A:$ZZ,ROW(A351),MATCH("Req_Other",Unified_Matrix!$1:$1,0)),"")</f>
        <v/>
      </c>
    </row>
    <row r="355" ht="68.25" customHeight="1">
      <c r="H355" s="13">
        <f t="array" ref="H355">IFERROR(INDEX(Unified_Matrix!$A:$ZZ,ROW(A352),MATCH("Max "&amp;$H$3,Unified_Matrix!$1:$1,0)),"")</f>
        <v/>
      </c>
      <c r="I355" s="25">
        <f t="array" ref="I355">IFERROR(INDEX(Unified_Matrix!$A:$ZZ,ROW(A352),MATCH("Evolution_Name",Unified_Matrix!$1:$1,0)),"")</f>
        <v/>
      </c>
      <c r="J355" s="13">
        <f>IF(H355="","",IF(H355=0,"",IF(H355=$Z$32,1,IF(H355=$Z$33,2,IF(H355=$Z$34,3,"")))))</f>
        <v/>
      </c>
      <c r="K355" s="13">
        <f t="array" ref="K355">IFERROR(INDEX(Unified_Matrix!$A:$ZZ,ROW(A352),MATCH("+ OVR",Unified_Matrix!$1:$1,0)),"")</f>
        <v/>
      </c>
      <c r="L355" s="13">
        <f t="array" ref="L355">IFERROR(INDEX(Unified_Matrix!$A:$ZZ,ROW(A352),MATCH("Max OVR",Unified_Matrix!$1:$1,0)),"")</f>
        <v/>
      </c>
      <c r="M355" s="13">
        <f t="array" ref="M355">IFERROR(INDEX(Unified_Matrix!$A:$ZZ,ROW(A352),MATCH("Req_Position",Unified_Matrix!$1:$1,0)),"")</f>
        <v/>
      </c>
      <c r="N355" s="13">
        <f t="array" ref="N355">IFERROR(INDEX(Unified_Matrix!$A:$ZZ,ROW(A352),MATCH("Req_OVR_Max",Unified_Matrix!$1:$1,0)),"")</f>
        <v/>
      </c>
      <c r="O355" s="25">
        <f t="array" ref="O355">IFERROR(INDEX(Unified_Matrix!$A:$ZZ,ROW(A352),MATCH("Req_Other",Unified_Matrix!$1:$1,0)),"")</f>
        <v/>
      </c>
    </row>
    <row r="356" ht="68.25" customHeight="1">
      <c r="H356" s="13">
        <f t="array" ref="H356">IFERROR(INDEX(Unified_Matrix!$A:$ZZ,ROW(A353),MATCH("Max "&amp;$H$3,Unified_Matrix!$1:$1,0)),"")</f>
        <v/>
      </c>
      <c r="I356" s="25">
        <f t="array" ref="I356">IFERROR(INDEX(Unified_Matrix!$A:$ZZ,ROW(A353),MATCH("Evolution_Name",Unified_Matrix!$1:$1,0)),"")</f>
        <v/>
      </c>
      <c r="J356" s="13">
        <f>IF(H356="","",IF(H356=0,"",IF(H356=$Z$32,1,IF(H356=$Z$33,2,IF(H356=$Z$34,3,"")))))</f>
        <v/>
      </c>
      <c r="K356" s="13">
        <f t="array" ref="K356">IFERROR(INDEX(Unified_Matrix!$A:$ZZ,ROW(A353),MATCH("+ OVR",Unified_Matrix!$1:$1,0)),"")</f>
        <v/>
      </c>
      <c r="L356" s="13">
        <f t="array" ref="L356">IFERROR(INDEX(Unified_Matrix!$A:$ZZ,ROW(A353),MATCH("Max OVR",Unified_Matrix!$1:$1,0)),"")</f>
        <v/>
      </c>
      <c r="M356" s="13">
        <f t="array" ref="M356">IFERROR(INDEX(Unified_Matrix!$A:$ZZ,ROW(A353),MATCH("Req_Position",Unified_Matrix!$1:$1,0)),"")</f>
        <v/>
      </c>
      <c r="N356" s="13">
        <f t="array" ref="N356">IFERROR(INDEX(Unified_Matrix!$A:$ZZ,ROW(A353),MATCH("Req_OVR_Max",Unified_Matrix!$1:$1,0)),"")</f>
        <v/>
      </c>
      <c r="O356" s="25">
        <f t="array" ref="O356">IFERROR(INDEX(Unified_Matrix!$A:$ZZ,ROW(A353),MATCH("Req_Other",Unified_Matrix!$1:$1,0)),"")</f>
        <v/>
      </c>
    </row>
    <row r="357" ht="68.25" customHeight="1">
      <c r="H357" s="13">
        <f t="array" ref="H357">IFERROR(INDEX(Unified_Matrix!$A:$ZZ,ROW(A354),MATCH("Max "&amp;$H$3,Unified_Matrix!$1:$1,0)),"")</f>
        <v/>
      </c>
      <c r="I357" s="25">
        <f t="array" ref="I357">IFERROR(INDEX(Unified_Matrix!$A:$ZZ,ROW(A354),MATCH("Evolution_Name",Unified_Matrix!$1:$1,0)),"")</f>
        <v/>
      </c>
      <c r="J357" s="13">
        <f>IF(H357="","",IF(H357=0,"",IF(H357=$Z$32,1,IF(H357=$Z$33,2,IF(H357=$Z$34,3,"")))))</f>
        <v/>
      </c>
      <c r="K357" s="13">
        <f t="array" ref="K357">IFERROR(INDEX(Unified_Matrix!$A:$ZZ,ROW(A354),MATCH("+ OVR",Unified_Matrix!$1:$1,0)),"")</f>
        <v/>
      </c>
      <c r="L357" s="13">
        <f t="array" ref="L357">IFERROR(INDEX(Unified_Matrix!$A:$ZZ,ROW(A354),MATCH("Max OVR",Unified_Matrix!$1:$1,0)),"")</f>
        <v/>
      </c>
      <c r="M357" s="13">
        <f t="array" ref="M357">IFERROR(INDEX(Unified_Matrix!$A:$ZZ,ROW(A354),MATCH("Req_Position",Unified_Matrix!$1:$1,0)),"")</f>
        <v/>
      </c>
      <c r="N357" s="13">
        <f t="array" ref="N357">IFERROR(INDEX(Unified_Matrix!$A:$ZZ,ROW(A354),MATCH("Req_OVR_Max",Unified_Matrix!$1:$1,0)),"")</f>
        <v/>
      </c>
      <c r="O357" s="25">
        <f t="array" ref="O357">IFERROR(INDEX(Unified_Matrix!$A:$ZZ,ROW(A354),MATCH("Req_Other",Unified_Matrix!$1:$1,0)),"")</f>
        <v/>
      </c>
    </row>
    <row r="358" ht="68.25" customHeight="1">
      <c r="H358" s="13">
        <f t="array" ref="H358">IFERROR(INDEX(Unified_Matrix!$A:$ZZ,ROW(A355),MATCH("Max "&amp;$H$3,Unified_Matrix!$1:$1,0)),"")</f>
        <v/>
      </c>
      <c r="I358" s="25">
        <f t="array" ref="I358">IFERROR(INDEX(Unified_Matrix!$A:$ZZ,ROW(A355),MATCH("Evolution_Name",Unified_Matrix!$1:$1,0)),"")</f>
        <v/>
      </c>
      <c r="J358" s="13">
        <f>IF(H358="","",IF(H358=0,"",IF(H358=$Z$32,1,IF(H358=$Z$33,2,IF(H358=$Z$34,3,"")))))</f>
        <v/>
      </c>
      <c r="K358" s="13">
        <f t="array" ref="K358">IFERROR(INDEX(Unified_Matrix!$A:$ZZ,ROW(A355),MATCH("+ OVR",Unified_Matrix!$1:$1,0)),"")</f>
        <v/>
      </c>
      <c r="L358" s="13">
        <f t="array" ref="L358">IFERROR(INDEX(Unified_Matrix!$A:$ZZ,ROW(A355),MATCH("Max OVR",Unified_Matrix!$1:$1,0)),"")</f>
        <v/>
      </c>
      <c r="M358" s="13">
        <f t="array" ref="M358">IFERROR(INDEX(Unified_Matrix!$A:$ZZ,ROW(A355),MATCH("Req_Position",Unified_Matrix!$1:$1,0)),"")</f>
        <v/>
      </c>
      <c r="N358" s="13">
        <f t="array" ref="N358">IFERROR(INDEX(Unified_Matrix!$A:$ZZ,ROW(A355),MATCH("Req_OVR_Max",Unified_Matrix!$1:$1,0)),"")</f>
        <v/>
      </c>
      <c r="O358" s="25">
        <f t="array" ref="O358">IFERROR(INDEX(Unified_Matrix!$A:$ZZ,ROW(A355),MATCH("Req_Other",Unified_Matrix!$1:$1,0)),"")</f>
        <v/>
      </c>
    </row>
    <row r="359" ht="68.25" customHeight="1">
      <c r="H359" s="13">
        <f t="array" ref="H359">IFERROR(INDEX(Unified_Matrix!$A:$ZZ,ROW(A356),MATCH("Max "&amp;$H$3,Unified_Matrix!$1:$1,0)),"")</f>
        <v/>
      </c>
      <c r="I359" s="25">
        <f t="array" ref="I359">IFERROR(INDEX(Unified_Matrix!$A:$ZZ,ROW(A356),MATCH("Evolution_Name",Unified_Matrix!$1:$1,0)),"")</f>
        <v/>
      </c>
      <c r="J359" s="13">
        <f>IF(H359="","",IF(H359=0,"",IF(H359=$Z$32,1,IF(H359=$Z$33,2,IF(H359=$Z$34,3,"")))))</f>
        <v/>
      </c>
      <c r="K359" s="13">
        <f t="array" ref="K359">IFERROR(INDEX(Unified_Matrix!$A:$ZZ,ROW(A356),MATCH("+ OVR",Unified_Matrix!$1:$1,0)),"")</f>
        <v/>
      </c>
      <c r="L359" s="13">
        <f t="array" ref="L359">IFERROR(INDEX(Unified_Matrix!$A:$ZZ,ROW(A356),MATCH("Max OVR",Unified_Matrix!$1:$1,0)),"")</f>
        <v/>
      </c>
      <c r="M359" s="13">
        <f t="array" ref="M359">IFERROR(INDEX(Unified_Matrix!$A:$ZZ,ROW(A356),MATCH("Req_Position",Unified_Matrix!$1:$1,0)),"")</f>
        <v/>
      </c>
      <c r="N359" s="13">
        <f t="array" ref="N359">IFERROR(INDEX(Unified_Matrix!$A:$ZZ,ROW(A356),MATCH("Req_OVR_Max",Unified_Matrix!$1:$1,0)),"")</f>
        <v/>
      </c>
      <c r="O359" s="25">
        <f t="array" ref="O359">IFERROR(INDEX(Unified_Matrix!$A:$ZZ,ROW(A356),MATCH("Req_Other",Unified_Matrix!$1:$1,0)),"")</f>
        <v/>
      </c>
    </row>
    <row r="360" ht="68.25" customHeight="1">
      <c r="H360" s="13">
        <f t="array" ref="H360">IFERROR(INDEX(Unified_Matrix!$A:$ZZ,ROW(A357),MATCH("Max "&amp;$H$3,Unified_Matrix!$1:$1,0)),"")</f>
        <v/>
      </c>
      <c r="I360" s="25">
        <f t="array" ref="I360">IFERROR(INDEX(Unified_Matrix!$A:$ZZ,ROW(A357),MATCH("Evolution_Name",Unified_Matrix!$1:$1,0)),"")</f>
        <v/>
      </c>
      <c r="J360" s="13">
        <f>IF(H360="","",IF(H360=0,"",IF(H360=$Z$32,1,IF(H360=$Z$33,2,IF(H360=$Z$34,3,"")))))</f>
        <v/>
      </c>
      <c r="K360" s="13">
        <f t="array" ref="K360">IFERROR(INDEX(Unified_Matrix!$A:$ZZ,ROW(A357),MATCH("+ OVR",Unified_Matrix!$1:$1,0)),"")</f>
        <v/>
      </c>
      <c r="L360" s="13">
        <f t="array" ref="L360">IFERROR(INDEX(Unified_Matrix!$A:$ZZ,ROW(A357),MATCH("Max OVR",Unified_Matrix!$1:$1,0)),"")</f>
        <v/>
      </c>
      <c r="M360" s="13">
        <f t="array" ref="M360">IFERROR(INDEX(Unified_Matrix!$A:$ZZ,ROW(A357),MATCH("Req_Position",Unified_Matrix!$1:$1,0)),"")</f>
        <v/>
      </c>
      <c r="N360" s="13">
        <f t="array" ref="N360">IFERROR(INDEX(Unified_Matrix!$A:$ZZ,ROW(A357),MATCH("Req_OVR_Max",Unified_Matrix!$1:$1,0)),"")</f>
        <v/>
      </c>
      <c r="O360" s="25">
        <f t="array" ref="O360">IFERROR(INDEX(Unified_Matrix!$A:$ZZ,ROW(A357),MATCH("Req_Other",Unified_Matrix!$1:$1,0)),"")</f>
        <v/>
      </c>
    </row>
    <row r="361" ht="68.25" customHeight="1">
      <c r="H361" s="13">
        <f t="array" ref="H361">IFERROR(INDEX(Unified_Matrix!$A:$ZZ,ROW(A358),MATCH("Max "&amp;$H$3,Unified_Matrix!$1:$1,0)),"")</f>
        <v/>
      </c>
      <c r="I361" s="25">
        <f t="array" ref="I361">IFERROR(INDEX(Unified_Matrix!$A:$ZZ,ROW(A358),MATCH("Evolution_Name",Unified_Matrix!$1:$1,0)),"")</f>
        <v/>
      </c>
      <c r="J361" s="13">
        <f>IF(H361="","",IF(H361=0,"",IF(H361=$Z$32,1,IF(H361=$Z$33,2,IF(H361=$Z$34,3,"")))))</f>
        <v/>
      </c>
      <c r="K361" s="13">
        <f t="array" ref="K361">IFERROR(INDEX(Unified_Matrix!$A:$ZZ,ROW(A358),MATCH("+ OVR",Unified_Matrix!$1:$1,0)),"")</f>
        <v/>
      </c>
      <c r="L361" s="13">
        <f t="array" ref="L361">IFERROR(INDEX(Unified_Matrix!$A:$ZZ,ROW(A358),MATCH("Max OVR",Unified_Matrix!$1:$1,0)),"")</f>
        <v/>
      </c>
      <c r="M361" s="13">
        <f t="array" ref="M361">IFERROR(INDEX(Unified_Matrix!$A:$ZZ,ROW(A358),MATCH("Req_Position",Unified_Matrix!$1:$1,0)),"")</f>
        <v/>
      </c>
      <c r="N361" s="13">
        <f t="array" ref="N361">IFERROR(INDEX(Unified_Matrix!$A:$ZZ,ROW(A358),MATCH("Req_OVR_Max",Unified_Matrix!$1:$1,0)),"")</f>
        <v/>
      </c>
      <c r="O361" s="25">
        <f t="array" ref="O361">IFERROR(INDEX(Unified_Matrix!$A:$ZZ,ROW(A358),MATCH("Req_Other",Unified_Matrix!$1:$1,0)),"")</f>
        <v/>
      </c>
    </row>
    <row r="362" ht="68.25" customHeight="1">
      <c r="H362" s="13">
        <f t="array" ref="H362">IFERROR(INDEX(Unified_Matrix!$A:$ZZ,ROW(A359),MATCH("Max "&amp;$H$3,Unified_Matrix!$1:$1,0)),"")</f>
        <v/>
      </c>
      <c r="I362" s="25">
        <f t="array" ref="I362">IFERROR(INDEX(Unified_Matrix!$A:$ZZ,ROW(A359),MATCH("Evolution_Name",Unified_Matrix!$1:$1,0)),"")</f>
        <v/>
      </c>
      <c r="J362" s="13">
        <f>IF(H362="","",IF(H362=0,"",IF(H362=$Z$32,1,IF(H362=$Z$33,2,IF(H362=$Z$34,3,"")))))</f>
        <v/>
      </c>
      <c r="K362" s="13">
        <f t="array" ref="K362">IFERROR(INDEX(Unified_Matrix!$A:$ZZ,ROW(A359),MATCH("+ OVR",Unified_Matrix!$1:$1,0)),"")</f>
        <v/>
      </c>
      <c r="L362" s="13">
        <f t="array" ref="L362">IFERROR(INDEX(Unified_Matrix!$A:$ZZ,ROW(A359),MATCH("Max OVR",Unified_Matrix!$1:$1,0)),"")</f>
        <v/>
      </c>
      <c r="M362" s="13">
        <f t="array" ref="M362">IFERROR(INDEX(Unified_Matrix!$A:$ZZ,ROW(A359),MATCH("Req_Position",Unified_Matrix!$1:$1,0)),"")</f>
        <v/>
      </c>
      <c r="N362" s="13">
        <f t="array" ref="N362">IFERROR(INDEX(Unified_Matrix!$A:$ZZ,ROW(A359),MATCH("Req_OVR_Max",Unified_Matrix!$1:$1,0)),"")</f>
        <v/>
      </c>
      <c r="O362" s="25">
        <f t="array" ref="O362">IFERROR(INDEX(Unified_Matrix!$A:$ZZ,ROW(A359),MATCH("Req_Other",Unified_Matrix!$1:$1,0)),"")</f>
        <v/>
      </c>
    </row>
    <row r="363" ht="68.25" customHeight="1">
      <c r="H363" s="13">
        <f t="array" ref="H363">IFERROR(INDEX(Unified_Matrix!$A:$ZZ,ROW(A360),MATCH("Max "&amp;$H$3,Unified_Matrix!$1:$1,0)),"")</f>
        <v/>
      </c>
      <c r="I363" s="25">
        <f t="array" ref="I363">IFERROR(INDEX(Unified_Matrix!$A:$ZZ,ROW(A360),MATCH("Evolution_Name",Unified_Matrix!$1:$1,0)),"")</f>
        <v/>
      </c>
      <c r="J363" s="13">
        <f>IF(H363="","",IF(H363=0,"",IF(H363=$Z$32,1,IF(H363=$Z$33,2,IF(H363=$Z$34,3,"")))))</f>
        <v/>
      </c>
      <c r="K363" s="13">
        <f t="array" ref="K363">IFERROR(INDEX(Unified_Matrix!$A:$ZZ,ROW(A360),MATCH("+ OVR",Unified_Matrix!$1:$1,0)),"")</f>
        <v/>
      </c>
      <c r="L363" s="13">
        <f t="array" ref="L363">IFERROR(INDEX(Unified_Matrix!$A:$ZZ,ROW(A360),MATCH("Max OVR",Unified_Matrix!$1:$1,0)),"")</f>
        <v/>
      </c>
      <c r="M363" s="13">
        <f t="array" ref="M363">IFERROR(INDEX(Unified_Matrix!$A:$ZZ,ROW(A360),MATCH("Req_Position",Unified_Matrix!$1:$1,0)),"")</f>
        <v/>
      </c>
      <c r="N363" s="13">
        <f t="array" ref="N363">IFERROR(INDEX(Unified_Matrix!$A:$ZZ,ROW(A360),MATCH("Req_OVR_Max",Unified_Matrix!$1:$1,0)),"")</f>
        <v/>
      </c>
      <c r="O363" s="25">
        <f t="array" ref="O363">IFERROR(INDEX(Unified_Matrix!$A:$ZZ,ROW(A360),MATCH("Req_Other",Unified_Matrix!$1:$1,0)),"")</f>
        <v/>
      </c>
    </row>
    <row r="364" ht="68.25" customHeight="1">
      <c r="H364" s="13">
        <f t="array" ref="H364">IFERROR(INDEX(Unified_Matrix!$A:$ZZ,ROW(A361),MATCH("Max "&amp;$H$3,Unified_Matrix!$1:$1,0)),"")</f>
        <v/>
      </c>
      <c r="I364" s="25">
        <f t="array" ref="I364">IFERROR(INDEX(Unified_Matrix!$A:$ZZ,ROW(A361),MATCH("Evolution_Name",Unified_Matrix!$1:$1,0)),"")</f>
        <v/>
      </c>
      <c r="J364" s="13">
        <f>IF(H364="","",IF(H364=0,"",IF(H364=$Z$32,1,IF(H364=$Z$33,2,IF(H364=$Z$34,3,"")))))</f>
        <v/>
      </c>
      <c r="K364" s="13">
        <f t="array" ref="K364">IFERROR(INDEX(Unified_Matrix!$A:$ZZ,ROW(A361),MATCH("+ OVR",Unified_Matrix!$1:$1,0)),"")</f>
        <v/>
      </c>
      <c r="L364" s="13">
        <f t="array" ref="L364">IFERROR(INDEX(Unified_Matrix!$A:$ZZ,ROW(A361),MATCH("Max OVR",Unified_Matrix!$1:$1,0)),"")</f>
        <v/>
      </c>
      <c r="M364" s="13">
        <f t="array" ref="M364">IFERROR(INDEX(Unified_Matrix!$A:$ZZ,ROW(A361),MATCH("Req_Position",Unified_Matrix!$1:$1,0)),"")</f>
        <v/>
      </c>
      <c r="N364" s="13">
        <f t="array" ref="N364">IFERROR(INDEX(Unified_Matrix!$A:$ZZ,ROW(A361),MATCH("Req_OVR_Max",Unified_Matrix!$1:$1,0)),"")</f>
        <v/>
      </c>
      <c r="O364" s="25">
        <f t="array" ref="O364">IFERROR(INDEX(Unified_Matrix!$A:$ZZ,ROW(A361),MATCH("Req_Other",Unified_Matrix!$1:$1,0)),"")</f>
        <v/>
      </c>
    </row>
    <row r="365" ht="68.25" customHeight="1">
      <c r="H365" s="13">
        <f t="array" ref="H365">IFERROR(INDEX(Unified_Matrix!$A:$ZZ,ROW(A362),MATCH("Max "&amp;$H$3,Unified_Matrix!$1:$1,0)),"")</f>
        <v/>
      </c>
      <c r="I365" s="25">
        <f t="array" ref="I365">IFERROR(INDEX(Unified_Matrix!$A:$ZZ,ROW(A362),MATCH("Evolution_Name",Unified_Matrix!$1:$1,0)),"")</f>
        <v/>
      </c>
      <c r="J365" s="13">
        <f>IF(H365="","",IF(H365=0,"",IF(H365=$Z$32,1,IF(H365=$Z$33,2,IF(H365=$Z$34,3,"")))))</f>
        <v/>
      </c>
      <c r="K365" s="13">
        <f t="array" ref="K365">IFERROR(INDEX(Unified_Matrix!$A:$ZZ,ROW(A362),MATCH("+ OVR",Unified_Matrix!$1:$1,0)),"")</f>
        <v/>
      </c>
      <c r="L365" s="13">
        <f t="array" ref="L365">IFERROR(INDEX(Unified_Matrix!$A:$ZZ,ROW(A362),MATCH("Max OVR",Unified_Matrix!$1:$1,0)),"")</f>
        <v/>
      </c>
      <c r="M365" s="13">
        <f t="array" ref="M365">IFERROR(INDEX(Unified_Matrix!$A:$ZZ,ROW(A362),MATCH("Req_Position",Unified_Matrix!$1:$1,0)),"")</f>
        <v/>
      </c>
      <c r="N365" s="13">
        <f t="array" ref="N365">IFERROR(INDEX(Unified_Matrix!$A:$ZZ,ROW(A362),MATCH("Req_OVR_Max",Unified_Matrix!$1:$1,0)),"")</f>
        <v/>
      </c>
      <c r="O365" s="25">
        <f t="array" ref="O365">IFERROR(INDEX(Unified_Matrix!$A:$ZZ,ROW(A362),MATCH("Req_Other",Unified_Matrix!$1:$1,0)),"")</f>
        <v/>
      </c>
    </row>
    <row r="366" ht="68.25" customHeight="1">
      <c r="H366" s="13">
        <f t="array" ref="H366">IFERROR(INDEX(Unified_Matrix!$A:$ZZ,ROW(A363),MATCH("Max "&amp;$H$3,Unified_Matrix!$1:$1,0)),"")</f>
        <v/>
      </c>
      <c r="I366" s="25">
        <f t="array" ref="I366">IFERROR(INDEX(Unified_Matrix!$A:$ZZ,ROW(A363),MATCH("Evolution_Name",Unified_Matrix!$1:$1,0)),"")</f>
        <v/>
      </c>
      <c r="J366" s="13">
        <f>IF(H366="","",IF(H366=0,"",IF(H366=$Z$32,1,IF(H366=$Z$33,2,IF(H366=$Z$34,3,"")))))</f>
        <v/>
      </c>
      <c r="K366" s="13">
        <f t="array" ref="K366">IFERROR(INDEX(Unified_Matrix!$A:$ZZ,ROW(A363),MATCH("+ OVR",Unified_Matrix!$1:$1,0)),"")</f>
        <v/>
      </c>
      <c r="L366" s="13">
        <f t="array" ref="L366">IFERROR(INDEX(Unified_Matrix!$A:$ZZ,ROW(A363),MATCH("Max OVR",Unified_Matrix!$1:$1,0)),"")</f>
        <v/>
      </c>
      <c r="M366" s="13">
        <f t="array" ref="M366">IFERROR(INDEX(Unified_Matrix!$A:$ZZ,ROW(A363),MATCH("Req_Position",Unified_Matrix!$1:$1,0)),"")</f>
        <v/>
      </c>
      <c r="N366" s="13">
        <f t="array" ref="N366">IFERROR(INDEX(Unified_Matrix!$A:$ZZ,ROW(A363),MATCH("Req_OVR_Max",Unified_Matrix!$1:$1,0)),"")</f>
        <v/>
      </c>
      <c r="O366" s="25">
        <f t="array" ref="O366">IFERROR(INDEX(Unified_Matrix!$A:$ZZ,ROW(A363),MATCH("Req_Other",Unified_Matrix!$1:$1,0)),"")</f>
        <v/>
      </c>
    </row>
    <row r="367" ht="68.25" customHeight="1">
      <c r="H367" s="13">
        <f t="array" ref="H367">IFERROR(INDEX(Unified_Matrix!$A:$ZZ,ROW(A364),MATCH("Max "&amp;$H$3,Unified_Matrix!$1:$1,0)),"")</f>
        <v/>
      </c>
      <c r="I367" s="25">
        <f t="array" ref="I367">IFERROR(INDEX(Unified_Matrix!$A:$ZZ,ROW(A364),MATCH("Evolution_Name",Unified_Matrix!$1:$1,0)),"")</f>
        <v/>
      </c>
      <c r="J367" s="13">
        <f>IF(H367="","",IF(H367=0,"",IF(H367=$Z$32,1,IF(H367=$Z$33,2,IF(H367=$Z$34,3,"")))))</f>
        <v/>
      </c>
      <c r="K367" s="13">
        <f t="array" ref="K367">IFERROR(INDEX(Unified_Matrix!$A:$ZZ,ROW(A364),MATCH("+ OVR",Unified_Matrix!$1:$1,0)),"")</f>
        <v/>
      </c>
      <c r="L367" s="13">
        <f t="array" ref="L367">IFERROR(INDEX(Unified_Matrix!$A:$ZZ,ROW(A364),MATCH("Max OVR",Unified_Matrix!$1:$1,0)),"")</f>
        <v/>
      </c>
      <c r="M367" s="13">
        <f t="array" ref="M367">IFERROR(INDEX(Unified_Matrix!$A:$ZZ,ROW(A364),MATCH("Req_Position",Unified_Matrix!$1:$1,0)),"")</f>
        <v/>
      </c>
      <c r="N367" s="13">
        <f t="array" ref="N367">IFERROR(INDEX(Unified_Matrix!$A:$ZZ,ROW(A364),MATCH("Req_OVR_Max",Unified_Matrix!$1:$1,0)),"")</f>
        <v/>
      </c>
      <c r="O367" s="25">
        <f t="array" ref="O367">IFERROR(INDEX(Unified_Matrix!$A:$ZZ,ROW(A364),MATCH("Req_Other",Unified_Matrix!$1:$1,0)),"")</f>
        <v/>
      </c>
    </row>
    <row r="368" ht="68.25" customHeight="1">
      <c r="H368" s="13">
        <f t="array" ref="H368">IFERROR(INDEX(Unified_Matrix!$A:$ZZ,ROW(A365),MATCH("Max "&amp;$H$3,Unified_Matrix!$1:$1,0)),"")</f>
        <v/>
      </c>
      <c r="I368" s="25">
        <f t="array" ref="I368">IFERROR(INDEX(Unified_Matrix!$A:$ZZ,ROW(A365),MATCH("Evolution_Name",Unified_Matrix!$1:$1,0)),"")</f>
        <v/>
      </c>
      <c r="J368" s="13">
        <f>IF(H368="","",IF(H368=0,"",IF(H368=$Z$32,1,IF(H368=$Z$33,2,IF(H368=$Z$34,3,"")))))</f>
        <v/>
      </c>
      <c r="K368" s="13">
        <f t="array" ref="K368">IFERROR(INDEX(Unified_Matrix!$A:$ZZ,ROW(A365),MATCH("+ OVR",Unified_Matrix!$1:$1,0)),"")</f>
        <v/>
      </c>
      <c r="L368" s="13">
        <f t="array" ref="L368">IFERROR(INDEX(Unified_Matrix!$A:$ZZ,ROW(A365),MATCH("Max OVR",Unified_Matrix!$1:$1,0)),"")</f>
        <v/>
      </c>
      <c r="M368" s="13">
        <f t="array" ref="M368">IFERROR(INDEX(Unified_Matrix!$A:$ZZ,ROW(A365),MATCH("Req_Position",Unified_Matrix!$1:$1,0)),"")</f>
        <v/>
      </c>
      <c r="N368" s="13">
        <f t="array" ref="N368">IFERROR(INDEX(Unified_Matrix!$A:$ZZ,ROW(A365),MATCH("Req_OVR_Max",Unified_Matrix!$1:$1,0)),"")</f>
        <v/>
      </c>
      <c r="O368" s="25">
        <f t="array" ref="O368">IFERROR(INDEX(Unified_Matrix!$A:$ZZ,ROW(A365),MATCH("Req_Other",Unified_Matrix!$1:$1,0)),"")</f>
        <v/>
      </c>
    </row>
    <row r="369" ht="68.25" customHeight="1">
      <c r="H369" s="13">
        <f t="array" ref="H369">IFERROR(INDEX(Unified_Matrix!$A:$ZZ,ROW(A366),MATCH("Max "&amp;$H$3,Unified_Matrix!$1:$1,0)),"")</f>
        <v/>
      </c>
      <c r="I369" s="25">
        <f t="array" ref="I369">IFERROR(INDEX(Unified_Matrix!$A:$ZZ,ROW(A366),MATCH("Evolution_Name",Unified_Matrix!$1:$1,0)),"")</f>
        <v/>
      </c>
      <c r="J369" s="13">
        <f>IF(H369="","",IF(H369=0,"",IF(H369=$Z$32,1,IF(H369=$Z$33,2,IF(H369=$Z$34,3,"")))))</f>
        <v/>
      </c>
      <c r="K369" s="13">
        <f t="array" ref="K369">IFERROR(INDEX(Unified_Matrix!$A:$ZZ,ROW(A366),MATCH("+ OVR",Unified_Matrix!$1:$1,0)),"")</f>
        <v/>
      </c>
      <c r="L369" s="13">
        <f t="array" ref="L369">IFERROR(INDEX(Unified_Matrix!$A:$ZZ,ROW(A366),MATCH("Max OVR",Unified_Matrix!$1:$1,0)),"")</f>
        <v/>
      </c>
      <c r="M369" s="13">
        <f t="array" ref="M369">IFERROR(INDEX(Unified_Matrix!$A:$ZZ,ROW(A366),MATCH("Req_Position",Unified_Matrix!$1:$1,0)),"")</f>
        <v/>
      </c>
      <c r="N369" s="13">
        <f t="array" ref="N369">IFERROR(INDEX(Unified_Matrix!$A:$ZZ,ROW(A366),MATCH("Req_OVR_Max",Unified_Matrix!$1:$1,0)),"")</f>
        <v/>
      </c>
      <c r="O369" s="25">
        <f t="array" ref="O369">IFERROR(INDEX(Unified_Matrix!$A:$ZZ,ROW(A366),MATCH("Req_Other",Unified_Matrix!$1:$1,0)),"")</f>
        <v/>
      </c>
    </row>
    <row r="370" ht="68.25" customHeight="1">
      <c r="H370" s="13">
        <f t="array" ref="H370">IFERROR(INDEX(Unified_Matrix!$A:$ZZ,ROW(A367),MATCH("Max "&amp;$H$3,Unified_Matrix!$1:$1,0)),"")</f>
        <v/>
      </c>
      <c r="I370" s="25">
        <f t="array" ref="I370">IFERROR(INDEX(Unified_Matrix!$A:$ZZ,ROW(A367),MATCH("Evolution_Name",Unified_Matrix!$1:$1,0)),"")</f>
        <v/>
      </c>
      <c r="J370" s="13">
        <f>IF(H370="","",IF(H370=0,"",IF(H370=$Z$32,1,IF(H370=$Z$33,2,IF(H370=$Z$34,3,"")))))</f>
        <v/>
      </c>
      <c r="K370" s="13">
        <f t="array" ref="K370">IFERROR(INDEX(Unified_Matrix!$A:$ZZ,ROW(A367),MATCH("+ OVR",Unified_Matrix!$1:$1,0)),"")</f>
        <v/>
      </c>
      <c r="L370" s="13">
        <f t="array" ref="L370">IFERROR(INDEX(Unified_Matrix!$A:$ZZ,ROW(A367),MATCH("Max OVR",Unified_Matrix!$1:$1,0)),"")</f>
        <v/>
      </c>
      <c r="M370" s="13">
        <f t="array" ref="M370">IFERROR(INDEX(Unified_Matrix!$A:$ZZ,ROW(A367),MATCH("Req_Position",Unified_Matrix!$1:$1,0)),"")</f>
        <v/>
      </c>
      <c r="N370" s="13">
        <f t="array" ref="N370">IFERROR(INDEX(Unified_Matrix!$A:$ZZ,ROW(A367),MATCH("Req_OVR_Max",Unified_Matrix!$1:$1,0)),"")</f>
        <v/>
      </c>
      <c r="O370" s="25">
        <f t="array" ref="O370">IFERROR(INDEX(Unified_Matrix!$A:$ZZ,ROW(A367),MATCH("Req_Other",Unified_Matrix!$1:$1,0)),"")</f>
        <v/>
      </c>
    </row>
    <row r="371" ht="68.25" customHeight="1">
      <c r="H371" s="13">
        <f t="array" ref="H371">IFERROR(INDEX(Unified_Matrix!$A:$ZZ,ROW(A368),MATCH("Max "&amp;$H$3,Unified_Matrix!$1:$1,0)),"")</f>
        <v/>
      </c>
      <c r="I371" s="25">
        <f t="array" ref="I371">IFERROR(INDEX(Unified_Matrix!$A:$ZZ,ROW(A368),MATCH("Evolution_Name",Unified_Matrix!$1:$1,0)),"")</f>
        <v/>
      </c>
      <c r="J371" s="13">
        <f>IF(H371="","",IF(H371=0,"",IF(H371=$Z$32,1,IF(H371=$Z$33,2,IF(H371=$Z$34,3,"")))))</f>
        <v/>
      </c>
      <c r="K371" s="13">
        <f t="array" ref="K371">IFERROR(INDEX(Unified_Matrix!$A:$ZZ,ROW(A368),MATCH("+ OVR",Unified_Matrix!$1:$1,0)),"")</f>
        <v/>
      </c>
      <c r="L371" s="13">
        <f t="array" ref="L371">IFERROR(INDEX(Unified_Matrix!$A:$ZZ,ROW(A368),MATCH("Max OVR",Unified_Matrix!$1:$1,0)),"")</f>
        <v/>
      </c>
      <c r="M371" s="13">
        <f t="array" ref="M371">IFERROR(INDEX(Unified_Matrix!$A:$ZZ,ROW(A368),MATCH("Req_Position",Unified_Matrix!$1:$1,0)),"")</f>
        <v/>
      </c>
      <c r="N371" s="13">
        <f t="array" ref="N371">IFERROR(INDEX(Unified_Matrix!$A:$ZZ,ROW(A368),MATCH("Req_OVR_Max",Unified_Matrix!$1:$1,0)),"")</f>
        <v/>
      </c>
      <c r="O371" s="25">
        <f t="array" ref="O371">IFERROR(INDEX(Unified_Matrix!$A:$ZZ,ROW(A368),MATCH("Req_Other",Unified_Matrix!$1:$1,0)),"")</f>
        <v/>
      </c>
    </row>
    <row r="372" ht="68.25" customHeight="1">
      <c r="H372" s="13">
        <f t="array" ref="H372">IFERROR(INDEX(Unified_Matrix!$A:$ZZ,ROW(A369),MATCH("Max "&amp;$H$3,Unified_Matrix!$1:$1,0)),"")</f>
        <v/>
      </c>
      <c r="I372" s="25">
        <f t="array" ref="I372">IFERROR(INDEX(Unified_Matrix!$A:$ZZ,ROW(A369),MATCH("Evolution_Name",Unified_Matrix!$1:$1,0)),"")</f>
        <v/>
      </c>
      <c r="J372" s="13">
        <f>IF(H372="","",IF(H372=0,"",IF(H372=$Z$32,1,IF(H372=$Z$33,2,IF(H372=$Z$34,3,"")))))</f>
        <v/>
      </c>
      <c r="K372" s="13">
        <f t="array" ref="K372">IFERROR(INDEX(Unified_Matrix!$A:$ZZ,ROW(A369),MATCH("+ OVR",Unified_Matrix!$1:$1,0)),"")</f>
        <v/>
      </c>
      <c r="L372" s="13">
        <f t="array" ref="L372">IFERROR(INDEX(Unified_Matrix!$A:$ZZ,ROW(A369),MATCH("Max OVR",Unified_Matrix!$1:$1,0)),"")</f>
        <v/>
      </c>
      <c r="M372" s="13">
        <f t="array" ref="M372">IFERROR(INDEX(Unified_Matrix!$A:$ZZ,ROW(A369),MATCH("Req_Position",Unified_Matrix!$1:$1,0)),"")</f>
        <v/>
      </c>
      <c r="N372" s="13">
        <f t="array" ref="N372">IFERROR(INDEX(Unified_Matrix!$A:$ZZ,ROW(A369),MATCH("Req_OVR_Max",Unified_Matrix!$1:$1,0)),"")</f>
        <v/>
      </c>
      <c r="O372" s="25">
        <f t="array" ref="O372">IFERROR(INDEX(Unified_Matrix!$A:$ZZ,ROW(A369),MATCH("Req_Other",Unified_Matrix!$1:$1,0)),"")</f>
        <v/>
      </c>
    </row>
    <row r="373" ht="68.25" customHeight="1">
      <c r="H373" s="13">
        <f t="array" ref="H373">IFERROR(INDEX(Unified_Matrix!$A:$ZZ,ROW(A370),MATCH("Max "&amp;$H$3,Unified_Matrix!$1:$1,0)),"")</f>
        <v/>
      </c>
      <c r="I373" s="25">
        <f t="array" ref="I373">IFERROR(INDEX(Unified_Matrix!$A:$ZZ,ROW(A370),MATCH("Evolution_Name",Unified_Matrix!$1:$1,0)),"")</f>
        <v/>
      </c>
      <c r="J373" s="13">
        <f>IF(H373="","",IF(H373=0,"",IF(H373=$Z$32,1,IF(H373=$Z$33,2,IF(H373=$Z$34,3,"")))))</f>
        <v/>
      </c>
      <c r="K373" s="13">
        <f t="array" ref="K373">IFERROR(INDEX(Unified_Matrix!$A:$ZZ,ROW(A370),MATCH("+ OVR",Unified_Matrix!$1:$1,0)),"")</f>
        <v/>
      </c>
      <c r="L373" s="13">
        <f t="array" ref="L373">IFERROR(INDEX(Unified_Matrix!$A:$ZZ,ROW(A370),MATCH("Max OVR",Unified_Matrix!$1:$1,0)),"")</f>
        <v/>
      </c>
      <c r="M373" s="13">
        <f t="array" ref="M373">IFERROR(INDEX(Unified_Matrix!$A:$ZZ,ROW(A370),MATCH("Req_Position",Unified_Matrix!$1:$1,0)),"")</f>
        <v/>
      </c>
      <c r="N373" s="13">
        <f t="array" ref="N373">IFERROR(INDEX(Unified_Matrix!$A:$ZZ,ROW(A370),MATCH("Req_OVR_Max",Unified_Matrix!$1:$1,0)),"")</f>
        <v/>
      </c>
      <c r="O373" s="25">
        <f t="array" ref="O373">IFERROR(INDEX(Unified_Matrix!$A:$ZZ,ROW(A370),MATCH("Req_Other",Unified_Matrix!$1:$1,0)),"")</f>
        <v/>
      </c>
    </row>
    <row r="374" ht="68.25" customHeight="1">
      <c r="H374" s="13">
        <f t="array" ref="H374">IFERROR(INDEX(Unified_Matrix!$A:$ZZ,ROW(A371),MATCH("Max "&amp;$H$3,Unified_Matrix!$1:$1,0)),"")</f>
        <v/>
      </c>
      <c r="I374" s="25">
        <f t="array" ref="I374">IFERROR(INDEX(Unified_Matrix!$A:$ZZ,ROW(A371),MATCH("Evolution_Name",Unified_Matrix!$1:$1,0)),"")</f>
        <v/>
      </c>
      <c r="J374" s="13">
        <f>IF(H374="","",IF(H374=0,"",IF(H374=$Z$32,1,IF(H374=$Z$33,2,IF(H374=$Z$34,3,"")))))</f>
        <v/>
      </c>
      <c r="K374" s="13">
        <f t="array" ref="K374">IFERROR(INDEX(Unified_Matrix!$A:$ZZ,ROW(A371),MATCH("+ OVR",Unified_Matrix!$1:$1,0)),"")</f>
        <v/>
      </c>
      <c r="L374" s="13">
        <f t="array" ref="L374">IFERROR(INDEX(Unified_Matrix!$A:$ZZ,ROW(A371),MATCH("Max OVR",Unified_Matrix!$1:$1,0)),"")</f>
        <v/>
      </c>
      <c r="M374" s="13">
        <f t="array" ref="M374">IFERROR(INDEX(Unified_Matrix!$A:$ZZ,ROW(A371),MATCH("Req_Position",Unified_Matrix!$1:$1,0)),"")</f>
        <v/>
      </c>
      <c r="N374" s="13">
        <f t="array" ref="N374">IFERROR(INDEX(Unified_Matrix!$A:$ZZ,ROW(A371),MATCH("Req_OVR_Max",Unified_Matrix!$1:$1,0)),"")</f>
        <v/>
      </c>
      <c r="O374" s="25">
        <f t="array" ref="O374">IFERROR(INDEX(Unified_Matrix!$A:$ZZ,ROW(A371),MATCH("Req_Other",Unified_Matrix!$1:$1,0)),"")</f>
        <v/>
      </c>
    </row>
    <row r="375" ht="68.25" customHeight="1">
      <c r="H375" s="13">
        <f t="array" ref="H375">IFERROR(INDEX(Unified_Matrix!$A:$ZZ,ROW(A372),MATCH("Max "&amp;$H$3,Unified_Matrix!$1:$1,0)),"")</f>
        <v/>
      </c>
      <c r="I375" s="25">
        <f t="array" ref="I375">IFERROR(INDEX(Unified_Matrix!$A:$ZZ,ROW(A372),MATCH("Evolution_Name",Unified_Matrix!$1:$1,0)),"")</f>
        <v/>
      </c>
      <c r="J375" s="13">
        <f>IF(H375="","",IF(H375=0,"",IF(H375=$Z$32,1,IF(H375=$Z$33,2,IF(H375=$Z$34,3,"")))))</f>
        <v/>
      </c>
      <c r="K375" s="13">
        <f t="array" ref="K375">IFERROR(INDEX(Unified_Matrix!$A:$ZZ,ROW(A372),MATCH("+ OVR",Unified_Matrix!$1:$1,0)),"")</f>
        <v/>
      </c>
      <c r="L375" s="13">
        <f t="array" ref="L375">IFERROR(INDEX(Unified_Matrix!$A:$ZZ,ROW(A372),MATCH("Max OVR",Unified_Matrix!$1:$1,0)),"")</f>
        <v/>
      </c>
      <c r="M375" s="13">
        <f t="array" ref="M375">IFERROR(INDEX(Unified_Matrix!$A:$ZZ,ROW(A372),MATCH("Req_Position",Unified_Matrix!$1:$1,0)),"")</f>
        <v/>
      </c>
      <c r="N375" s="13">
        <f t="array" ref="N375">IFERROR(INDEX(Unified_Matrix!$A:$ZZ,ROW(A372),MATCH("Req_OVR_Max",Unified_Matrix!$1:$1,0)),"")</f>
        <v/>
      </c>
      <c r="O375" s="25">
        <f t="array" ref="O375">IFERROR(INDEX(Unified_Matrix!$A:$ZZ,ROW(A372),MATCH("Req_Other",Unified_Matrix!$1:$1,0)),"")</f>
        <v/>
      </c>
    </row>
    <row r="376" ht="68.25" customHeight="1">
      <c r="H376" s="13">
        <f t="array" ref="H376">IFERROR(INDEX(Unified_Matrix!$A:$ZZ,ROW(A373),MATCH("Max "&amp;$H$3,Unified_Matrix!$1:$1,0)),"")</f>
        <v/>
      </c>
      <c r="I376" s="25">
        <f t="array" ref="I376">IFERROR(INDEX(Unified_Matrix!$A:$ZZ,ROW(A373),MATCH("Evolution_Name",Unified_Matrix!$1:$1,0)),"")</f>
        <v/>
      </c>
      <c r="J376" s="13">
        <f>IF(H376="","",IF(H376=0,"",IF(H376=$Z$32,1,IF(H376=$Z$33,2,IF(H376=$Z$34,3,"")))))</f>
        <v/>
      </c>
      <c r="K376" s="13">
        <f t="array" ref="K376">IFERROR(INDEX(Unified_Matrix!$A:$ZZ,ROW(A373),MATCH("+ OVR",Unified_Matrix!$1:$1,0)),"")</f>
        <v/>
      </c>
      <c r="L376" s="13">
        <f t="array" ref="L376">IFERROR(INDEX(Unified_Matrix!$A:$ZZ,ROW(A373),MATCH("Max OVR",Unified_Matrix!$1:$1,0)),"")</f>
        <v/>
      </c>
      <c r="M376" s="13">
        <f t="array" ref="M376">IFERROR(INDEX(Unified_Matrix!$A:$ZZ,ROW(A373),MATCH("Req_Position",Unified_Matrix!$1:$1,0)),"")</f>
        <v/>
      </c>
      <c r="N376" s="13">
        <f t="array" ref="N376">IFERROR(INDEX(Unified_Matrix!$A:$ZZ,ROW(A373),MATCH("Req_OVR_Max",Unified_Matrix!$1:$1,0)),"")</f>
        <v/>
      </c>
      <c r="O376" s="25">
        <f t="array" ref="O376">IFERROR(INDEX(Unified_Matrix!$A:$ZZ,ROW(A373),MATCH("Req_Other",Unified_Matrix!$1:$1,0)),"")</f>
        <v/>
      </c>
    </row>
    <row r="377" ht="68.25" customHeight="1">
      <c r="H377" s="13">
        <f t="array" ref="H377">IFERROR(INDEX(Unified_Matrix!$A:$ZZ,ROW(A374),MATCH("Max "&amp;$H$3,Unified_Matrix!$1:$1,0)),"")</f>
        <v/>
      </c>
      <c r="I377" s="25">
        <f t="array" ref="I377">IFERROR(INDEX(Unified_Matrix!$A:$ZZ,ROW(A374),MATCH("Evolution_Name",Unified_Matrix!$1:$1,0)),"")</f>
        <v/>
      </c>
      <c r="J377" s="13">
        <f>IF(H377="","",IF(H377=0,"",IF(H377=$Z$32,1,IF(H377=$Z$33,2,IF(H377=$Z$34,3,"")))))</f>
        <v/>
      </c>
      <c r="K377" s="13">
        <f t="array" ref="K377">IFERROR(INDEX(Unified_Matrix!$A:$ZZ,ROW(A374),MATCH("+ OVR",Unified_Matrix!$1:$1,0)),"")</f>
        <v/>
      </c>
      <c r="L377" s="13">
        <f t="array" ref="L377">IFERROR(INDEX(Unified_Matrix!$A:$ZZ,ROW(A374),MATCH("Max OVR",Unified_Matrix!$1:$1,0)),"")</f>
        <v/>
      </c>
      <c r="M377" s="13">
        <f t="array" ref="M377">IFERROR(INDEX(Unified_Matrix!$A:$ZZ,ROW(A374),MATCH("Req_Position",Unified_Matrix!$1:$1,0)),"")</f>
        <v/>
      </c>
      <c r="N377" s="13">
        <f t="array" ref="N377">IFERROR(INDEX(Unified_Matrix!$A:$ZZ,ROW(A374),MATCH("Req_OVR_Max",Unified_Matrix!$1:$1,0)),"")</f>
        <v/>
      </c>
      <c r="O377" s="25">
        <f t="array" ref="O377">IFERROR(INDEX(Unified_Matrix!$A:$ZZ,ROW(A374),MATCH("Req_Other",Unified_Matrix!$1:$1,0)),"")</f>
        <v/>
      </c>
    </row>
    <row r="378" ht="68.25" customHeight="1">
      <c r="H378" s="13">
        <f t="array" ref="H378">IFERROR(INDEX(Unified_Matrix!$A:$ZZ,ROW(A375),MATCH("Max "&amp;$H$3,Unified_Matrix!$1:$1,0)),"")</f>
        <v/>
      </c>
      <c r="I378" s="25">
        <f t="array" ref="I378">IFERROR(INDEX(Unified_Matrix!$A:$ZZ,ROW(A375),MATCH("Evolution_Name",Unified_Matrix!$1:$1,0)),"")</f>
        <v/>
      </c>
      <c r="J378" s="13">
        <f>IF(H378="","",IF(H378=0,"",IF(H378=$Z$32,1,IF(H378=$Z$33,2,IF(H378=$Z$34,3,"")))))</f>
        <v/>
      </c>
      <c r="K378" s="13">
        <f t="array" ref="K378">IFERROR(INDEX(Unified_Matrix!$A:$ZZ,ROW(A375),MATCH("+ OVR",Unified_Matrix!$1:$1,0)),"")</f>
        <v/>
      </c>
      <c r="L378" s="13">
        <f t="array" ref="L378">IFERROR(INDEX(Unified_Matrix!$A:$ZZ,ROW(A375),MATCH("Max OVR",Unified_Matrix!$1:$1,0)),"")</f>
        <v/>
      </c>
      <c r="M378" s="13">
        <f t="array" ref="M378">IFERROR(INDEX(Unified_Matrix!$A:$ZZ,ROW(A375),MATCH("Req_Position",Unified_Matrix!$1:$1,0)),"")</f>
        <v/>
      </c>
      <c r="N378" s="13">
        <f t="array" ref="N378">IFERROR(INDEX(Unified_Matrix!$A:$ZZ,ROW(A375),MATCH("Req_OVR_Max",Unified_Matrix!$1:$1,0)),"")</f>
        <v/>
      </c>
      <c r="O378" s="25">
        <f t="array" ref="O378">IFERROR(INDEX(Unified_Matrix!$A:$ZZ,ROW(A375),MATCH("Req_Other",Unified_Matrix!$1:$1,0)),"")</f>
        <v/>
      </c>
    </row>
    <row r="379" ht="68.25" customHeight="1">
      <c r="H379" s="13">
        <f t="array" ref="H379">IFERROR(INDEX(Unified_Matrix!$A:$ZZ,ROW(A376),MATCH("Max "&amp;$H$3,Unified_Matrix!$1:$1,0)),"")</f>
        <v/>
      </c>
      <c r="I379" s="25">
        <f t="array" ref="I379">IFERROR(INDEX(Unified_Matrix!$A:$ZZ,ROW(A376),MATCH("Evolution_Name",Unified_Matrix!$1:$1,0)),"")</f>
        <v/>
      </c>
      <c r="J379" s="13">
        <f>IF(H379="","",IF(H379=0,"",IF(H379=$Z$32,1,IF(H379=$Z$33,2,IF(H379=$Z$34,3,"")))))</f>
        <v/>
      </c>
      <c r="K379" s="13">
        <f t="array" ref="K379">IFERROR(INDEX(Unified_Matrix!$A:$ZZ,ROW(A376),MATCH("+ OVR",Unified_Matrix!$1:$1,0)),"")</f>
        <v/>
      </c>
      <c r="L379" s="13">
        <f t="array" ref="L379">IFERROR(INDEX(Unified_Matrix!$A:$ZZ,ROW(A376),MATCH("Max OVR",Unified_Matrix!$1:$1,0)),"")</f>
        <v/>
      </c>
      <c r="M379" s="13">
        <f t="array" ref="M379">IFERROR(INDEX(Unified_Matrix!$A:$ZZ,ROW(A376),MATCH("Req_Position",Unified_Matrix!$1:$1,0)),"")</f>
        <v/>
      </c>
      <c r="N379" s="13">
        <f t="array" ref="N379">IFERROR(INDEX(Unified_Matrix!$A:$ZZ,ROW(A376),MATCH("Req_OVR_Max",Unified_Matrix!$1:$1,0)),"")</f>
        <v/>
      </c>
      <c r="O379" s="25">
        <f t="array" ref="O379">IFERROR(INDEX(Unified_Matrix!$A:$ZZ,ROW(A376),MATCH("Req_Other",Unified_Matrix!$1:$1,0)),"")</f>
        <v/>
      </c>
    </row>
    <row r="380" ht="68.25" customHeight="1">
      <c r="H380" s="13">
        <f t="array" ref="H380">IFERROR(INDEX(Unified_Matrix!$A:$ZZ,ROW(A377),MATCH("Max "&amp;$H$3,Unified_Matrix!$1:$1,0)),"")</f>
        <v/>
      </c>
      <c r="I380" s="25">
        <f t="array" ref="I380">IFERROR(INDEX(Unified_Matrix!$A:$ZZ,ROW(A377),MATCH("Evolution_Name",Unified_Matrix!$1:$1,0)),"")</f>
        <v/>
      </c>
      <c r="J380" s="13">
        <f>IF(H380="","",IF(H380=0,"",IF(H380=$Z$32,1,IF(H380=$Z$33,2,IF(H380=$Z$34,3,"")))))</f>
        <v/>
      </c>
      <c r="K380" s="13">
        <f t="array" ref="K380">IFERROR(INDEX(Unified_Matrix!$A:$ZZ,ROW(A377),MATCH("+ OVR",Unified_Matrix!$1:$1,0)),"")</f>
        <v/>
      </c>
      <c r="L380" s="13">
        <f t="array" ref="L380">IFERROR(INDEX(Unified_Matrix!$A:$ZZ,ROW(A377),MATCH("Max OVR",Unified_Matrix!$1:$1,0)),"")</f>
        <v/>
      </c>
      <c r="M380" s="13">
        <f t="array" ref="M380">IFERROR(INDEX(Unified_Matrix!$A:$ZZ,ROW(A377),MATCH("Req_Position",Unified_Matrix!$1:$1,0)),"")</f>
        <v/>
      </c>
      <c r="N380" s="13">
        <f t="array" ref="N380">IFERROR(INDEX(Unified_Matrix!$A:$ZZ,ROW(A377),MATCH("Req_OVR_Max",Unified_Matrix!$1:$1,0)),"")</f>
        <v/>
      </c>
      <c r="O380" s="25">
        <f t="array" ref="O380">IFERROR(INDEX(Unified_Matrix!$A:$ZZ,ROW(A377),MATCH("Req_Other",Unified_Matrix!$1:$1,0)),"")</f>
        <v/>
      </c>
    </row>
    <row r="381" ht="68.25" customHeight="1">
      <c r="H381" s="13">
        <f t="array" ref="H381">IFERROR(INDEX(Unified_Matrix!$A:$ZZ,ROW(A378),MATCH("Max "&amp;$H$3,Unified_Matrix!$1:$1,0)),"")</f>
        <v/>
      </c>
      <c r="I381" s="25">
        <f t="array" ref="I381">IFERROR(INDEX(Unified_Matrix!$A:$ZZ,ROW(A378),MATCH("Evolution_Name",Unified_Matrix!$1:$1,0)),"")</f>
        <v/>
      </c>
      <c r="J381" s="13">
        <f>IF(H381="","",IF(H381=0,"",IF(H381=$Z$32,1,IF(H381=$Z$33,2,IF(H381=$Z$34,3,"")))))</f>
        <v/>
      </c>
      <c r="K381" s="13">
        <f t="array" ref="K381">IFERROR(INDEX(Unified_Matrix!$A:$ZZ,ROW(A378),MATCH("+ OVR",Unified_Matrix!$1:$1,0)),"")</f>
        <v/>
      </c>
      <c r="L381" s="13">
        <f t="array" ref="L381">IFERROR(INDEX(Unified_Matrix!$A:$ZZ,ROW(A378),MATCH("Max OVR",Unified_Matrix!$1:$1,0)),"")</f>
        <v/>
      </c>
      <c r="M381" s="13">
        <f t="array" ref="M381">IFERROR(INDEX(Unified_Matrix!$A:$ZZ,ROW(A378),MATCH("Req_Position",Unified_Matrix!$1:$1,0)),"")</f>
        <v/>
      </c>
      <c r="N381" s="13">
        <f t="array" ref="N381">IFERROR(INDEX(Unified_Matrix!$A:$ZZ,ROW(A378),MATCH("Req_OVR_Max",Unified_Matrix!$1:$1,0)),"")</f>
        <v/>
      </c>
      <c r="O381" s="25">
        <f t="array" ref="O381">IFERROR(INDEX(Unified_Matrix!$A:$ZZ,ROW(A378),MATCH("Req_Other",Unified_Matrix!$1:$1,0)),"")</f>
        <v/>
      </c>
    </row>
    <row r="382" ht="68.25" customHeight="1">
      <c r="H382" s="13">
        <f t="array" ref="H382">IFERROR(INDEX(Unified_Matrix!$A:$ZZ,ROW(A379),MATCH("Max "&amp;$H$3,Unified_Matrix!$1:$1,0)),"")</f>
        <v/>
      </c>
      <c r="I382" s="25">
        <f t="array" ref="I382">IFERROR(INDEX(Unified_Matrix!$A:$ZZ,ROW(A379),MATCH("Evolution_Name",Unified_Matrix!$1:$1,0)),"")</f>
        <v/>
      </c>
      <c r="J382" s="13">
        <f>IF(H382="","",IF(H382=0,"",IF(H382=$Z$32,1,IF(H382=$Z$33,2,IF(H382=$Z$34,3,"")))))</f>
        <v/>
      </c>
      <c r="K382" s="13">
        <f t="array" ref="K382">IFERROR(INDEX(Unified_Matrix!$A:$ZZ,ROW(A379),MATCH("+ OVR",Unified_Matrix!$1:$1,0)),"")</f>
        <v/>
      </c>
      <c r="L382" s="13">
        <f t="array" ref="L382">IFERROR(INDEX(Unified_Matrix!$A:$ZZ,ROW(A379),MATCH("Max OVR",Unified_Matrix!$1:$1,0)),"")</f>
        <v/>
      </c>
      <c r="M382" s="13">
        <f t="array" ref="M382">IFERROR(INDEX(Unified_Matrix!$A:$ZZ,ROW(A379),MATCH("Req_Position",Unified_Matrix!$1:$1,0)),"")</f>
        <v/>
      </c>
      <c r="N382" s="13">
        <f t="array" ref="N382">IFERROR(INDEX(Unified_Matrix!$A:$ZZ,ROW(A379),MATCH("Req_OVR_Max",Unified_Matrix!$1:$1,0)),"")</f>
        <v/>
      </c>
      <c r="O382" s="25">
        <f t="array" ref="O382">IFERROR(INDEX(Unified_Matrix!$A:$ZZ,ROW(A379),MATCH("Req_Other",Unified_Matrix!$1:$1,0)),"")</f>
        <v/>
      </c>
    </row>
    <row r="383" ht="68.25" customHeight="1">
      <c r="H383" s="13">
        <f t="array" ref="H383">IFERROR(INDEX(Unified_Matrix!$A:$ZZ,ROW(A380),MATCH("Max "&amp;$H$3,Unified_Matrix!$1:$1,0)),"")</f>
        <v/>
      </c>
      <c r="I383" s="25">
        <f t="array" ref="I383">IFERROR(INDEX(Unified_Matrix!$A:$ZZ,ROW(A380),MATCH("Evolution_Name",Unified_Matrix!$1:$1,0)),"")</f>
        <v/>
      </c>
      <c r="J383" s="13">
        <f>IF(H383="","",IF(H383=0,"",IF(H383=$Z$32,1,IF(H383=$Z$33,2,IF(H383=$Z$34,3,"")))))</f>
        <v/>
      </c>
      <c r="K383" s="13">
        <f t="array" ref="K383">IFERROR(INDEX(Unified_Matrix!$A:$ZZ,ROW(A380),MATCH("+ OVR",Unified_Matrix!$1:$1,0)),"")</f>
        <v/>
      </c>
      <c r="L383" s="13">
        <f t="array" ref="L383">IFERROR(INDEX(Unified_Matrix!$A:$ZZ,ROW(A380),MATCH("Max OVR",Unified_Matrix!$1:$1,0)),"")</f>
        <v/>
      </c>
      <c r="M383" s="13">
        <f t="array" ref="M383">IFERROR(INDEX(Unified_Matrix!$A:$ZZ,ROW(A380),MATCH("Req_Position",Unified_Matrix!$1:$1,0)),"")</f>
        <v/>
      </c>
      <c r="N383" s="13">
        <f t="array" ref="N383">IFERROR(INDEX(Unified_Matrix!$A:$ZZ,ROW(A380),MATCH("Req_OVR_Max",Unified_Matrix!$1:$1,0)),"")</f>
        <v/>
      </c>
      <c r="O383" s="25">
        <f t="array" ref="O383">IFERROR(INDEX(Unified_Matrix!$A:$ZZ,ROW(A380),MATCH("Req_Other",Unified_Matrix!$1:$1,0)),"")</f>
        <v/>
      </c>
    </row>
    <row r="384" ht="68.25" customHeight="1">
      <c r="H384" s="13">
        <f t="array" ref="H384">IFERROR(INDEX(Unified_Matrix!$A:$ZZ,ROW(A381),MATCH("Max "&amp;$H$3,Unified_Matrix!$1:$1,0)),"")</f>
        <v/>
      </c>
      <c r="I384" s="25">
        <f t="array" ref="I384">IFERROR(INDEX(Unified_Matrix!$A:$ZZ,ROW(A381),MATCH("Evolution_Name",Unified_Matrix!$1:$1,0)),"")</f>
        <v/>
      </c>
      <c r="J384" s="13">
        <f>IF(H384="","",IF(H384=0,"",IF(H384=$Z$32,1,IF(H384=$Z$33,2,IF(H384=$Z$34,3,"")))))</f>
        <v/>
      </c>
      <c r="K384" s="13">
        <f t="array" ref="K384">IFERROR(INDEX(Unified_Matrix!$A:$ZZ,ROW(A381),MATCH("+ OVR",Unified_Matrix!$1:$1,0)),"")</f>
        <v/>
      </c>
      <c r="L384" s="13">
        <f t="array" ref="L384">IFERROR(INDEX(Unified_Matrix!$A:$ZZ,ROW(A381),MATCH("Max OVR",Unified_Matrix!$1:$1,0)),"")</f>
        <v/>
      </c>
      <c r="M384" s="13">
        <f t="array" ref="M384">IFERROR(INDEX(Unified_Matrix!$A:$ZZ,ROW(A381),MATCH("Req_Position",Unified_Matrix!$1:$1,0)),"")</f>
        <v/>
      </c>
      <c r="N384" s="13">
        <f t="array" ref="N384">IFERROR(INDEX(Unified_Matrix!$A:$ZZ,ROW(A381),MATCH("Req_OVR_Max",Unified_Matrix!$1:$1,0)),"")</f>
        <v/>
      </c>
      <c r="O384" s="25">
        <f t="array" ref="O384">IFERROR(INDEX(Unified_Matrix!$A:$ZZ,ROW(A381),MATCH("Req_Other",Unified_Matrix!$1:$1,0)),"")</f>
        <v/>
      </c>
    </row>
    <row r="385" ht="68.25" customHeight="1">
      <c r="H385" s="13">
        <f t="array" ref="H385">IFERROR(INDEX(Unified_Matrix!$A:$ZZ,ROW(A382),MATCH("Max "&amp;$H$3,Unified_Matrix!$1:$1,0)),"")</f>
        <v/>
      </c>
      <c r="I385" s="25">
        <f t="array" ref="I385">IFERROR(INDEX(Unified_Matrix!$A:$ZZ,ROW(A382),MATCH("Evolution_Name",Unified_Matrix!$1:$1,0)),"")</f>
        <v/>
      </c>
      <c r="J385" s="13">
        <f>IF(H385="","",IF(H385=0,"",IF(H385=$Z$32,1,IF(H385=$Z$33,2,IF(H385=$Z$34,3,"")))))</f>
        <v/>
      </c>
      <c r="K385" s="13">
        <f t="array" ref="K385">IFERROR(INDEX(Unified_Matrix!$A:$ZZ,ROW(A382),MATCH("+ OVR",Unified_Matrix!$1:$1,0)),"")</f>
        <v/>
      </c>
      <c r="L385" s="13">
        <f t="array" ref="L385">IFERROR(INDEX(Unified_Matrix!$A:$ZZ,ROW(A382),MATCH("Max OVR",Unified_Matrix!$1:$1,0)),"")</f>
        <v/>
      </c>
      <c r="M385" s="13">
        <f t="array" ref="M385">IFERROR(INDEX(Unified_Matrix!$A:$ZZ,ROW(A382),MATCH("Req_Position",Unified_Matrix!$1:$1,0)),"")</f>
        <v/>
      </c>
      <c r="N385" s="13">
        <f t="array" ref="N385">IFERROR(INDEX(Unified_Matrix!$A:$ZZ,ROW(A382),MATCH("Req_OVR_Max",Unified_Matrix!$1:$1,0)),"")</f>
        <v/>
      </c>
      <c r="O385" s="25">
        <f t="array" ref="O385">IFERROR(INDEX(Unified_Matrix!$A:$ZZ,ROW(A382),MATCH("Req_Other",Unified_Matrix!$1:$1,0)),"")</f>
        <v/>
      </c>
    </row>
    <row r="386" ht="68.25" customHeight="1">
      <c r="H386" s="13">
        <f t="array" ref="H386">IFERROR(INDEX(Unified_Matrix!$A:$ZZ,ROW(A383),MATCH("Max "&amp;$H$3,Unified_Matrix!$1:$1,0)),"")</f>
        <v/>
      </c>
      <c r="I386" s="25">
        <f t="array" ref="I386">IFERROR(INDEX(Unified_Matrix!$A:$ZZ,ROW(A383),MATCH("Evolution_Name",Unified_Matrix!$1:$1,0)),"")</f>
        <v/>
      </c>
      <c r="J386" s="13">
        <f>IF(H386="","",IF(H386=0,"",IF(H386=$Z$32,1,IF(H386=$Z$33,2,IF(H386=$Z$34,3,"")))))</f>
        <v/>
      </c>
      <c r="K386" s="13">
        <f t="array" ref="K386">IFERROR(INDEX(Unified_Matrix!$A:$ZZ,ROW(A383),MATCH("+ OVR",Unified_Matrix!$1:$1,0)),"")</f>
        <v/>
      </c>
      <c r="L386" s="13">
        <f t="array" ref="L386">IFERROR(INDEX(Unified_Matrix!$A:$ZZ,ROW(A383),MATCH("Max OVR",Unified_Matrix!$1:$1,0)),"")</f>
        <v/>
      </c>
      <c r="M386" s="13">
        <f t="array" ref="M386">IFERROR(INDEX(Unified_Matrix!$A:$ZZ,ROW(A383),MATCH("Req_Position",Unified_Matrix!$1:$1,0)),"")</f>
        <v/>
      </c>
      <c r="N386" s="13">
        <f t="array" ref="N386">IFERROR(INDEX(Unified_Matrix!$A:$ZZ,ROW(A383),MATCH("Req_OVR_Max",Unified_Matrix!$1:$1,0)),"")</f>
        <v/>
      </c>
      <c r="O386" s="25">
        <f t="array" ref="O386">IFERROR(INDEX(Unified_Matrix!$A:$ZZ,ROW(A383),MATCH("Req_Other",Unified_Matrix!$1:$1,0)),"")</f>
        <v/>
      </c>
    </row>
    <row r="387" ht="68.25" customHeight="1">
      <c r="H387" s="13">
        <f t="array" ref="H387">IFERROR(INDEX(Unified_Matrix!$A:$ZZ,ROW(A384),MATCH("Max "&amp;$H$3,Unified_Matrix!$1:$1,0)),"")</f>
        <v/>
      </c>
      <c r="I387" s="25">
        <f t="array" ref="I387">IFERROR(INDEX(Unified_Matrix!$A:$ZZ,ROW(A384),MATCH("Evolution_Name",Unified_Matrix!$1:$1,0)),"")</f>
        <v/>
      </c>
      <c r="J387" s="13">
        <f>IF(H387="","",IF(H387=0,"",IF(H387=$Z$32,1,IF(H387=$Z$33,2,IF(H387=$Z$34,3,"")))))</f>
        <v/>
      </c>
      <c r="K387" s="13">
        <f t="array" ref="K387">IFERROR(INDEX(Unified_Matrix!$A:$ZZ,ROW(A384),MATCH("+ OVR",Unified_Matrix!$1:$1,0)),"")</f>
        <v/>
      </c>
      <c r="L387" s="13">
        <f t="array" ref="L387">IFERROR(INDEX(Unified_Matrix!$A:$ZZ,ROW(A384),MATCH("Max OVR",Unified_Matrix!$1:$1,0)),"")</f>
        <v/>
      </c>
      <c r="M387" s="13">
        <f t="array" ref="M387">IFERROR(INDEX(Unified_Matrix!$A:$ZZ,ROW(A384),MATCH("Req_Position",Unified_Matrix!$1:$1,0)),"")</f>
        <v/>
      </c>
      <c r="N387" s="13">
        <f t="array" ref="N387">IFERROR(INDEX(Unified_Matrix!$A:$ZZ,ROW(A384),MATCH("Req_OVR_Max",Unified_Matrix!$1:$1,0)),"")</f>
        <v/>
      </c>
      <c r="O387" s="25">
        <f t="array" ref="O387">IFERROR(INDEX(Unified_Matrix!$A:$ZZ,ROW(A384),MATCH("Req_Other",Unified_Matrix!$1:$1,0)),"")</f>
        <v/>
      </c>
    </row>
    <row r="388" ht="68.25" customHeight="1">
      <c r="H388" s="13">
        <f t="array" ref="H388">IFERROR(INDEX(Unified_Matrix!$A:$ZZ,ROW(A385),MATCH("Max "&amp;$H$3,Unified_Matrix!$1:$1,0)),"")</f>
        <v/>
      </c>
      <c r="I388" s="25">
        <f t="array" ref="I388">IFERROR(INDEX(Unified_Matrix!$A:$ZZ,ROW(A385),MATCH("Evolution_Name",Unified_Matrix!$1:$1,0)),"")</f>
        <v/>
      </c>
      <c r="J388" s="13">
        <f>IF(H388="","",IF(H388=0,"",IF(H388=$Z$32,1,IF(H388=$Z$33,2,IF(H388=$Z$34,3,"")))))</f>
        <v/>
      </c>
      <c r="K388" s="13">
        <f t="array" ref="K388">IFERROR(INDEX(Unified_Matrix!$A:$ZZ,ROW(A385),MATCH("+ OVR",Unified_Matrix!$1:$1,0)),"")</f>
        <v/>
      </c>
      <c r="L388" s="13">
        <f t="array" ref="L388">IFERROR(INDEX(Unified_Matrix!$A:$ZZ,ROW(A385),MATCH("Max OVR",Unified_Matrix!$1:$1,0)),"")</f>
        <v/>
      </c>
      <c r="M388" s="13">
        <f t="array" ref="M388">IFERROR(INDEX(Unified_Matrix!$A:$ZZ,ROW(A385),MATCH("Req_Position",Unified_Matrix!$1:$1,0)),"")</f>
        <v/>
      </c>
      <c r="N388" s="13">
        <f t="array" ref="N388">IFERROR(INDEX(Unified_Matrix!$A:$ZZ,ROW(A385),MATCH("Req_OVR_Max",Unified_Matrix!$1:$1,0)),"")</f>
        <v/>
      </c>
      <c r="O388" s="25">
        <f t="array" ref="O388">IFERROR(INDEX(Unified_Matrix!$A:$ZZ,ROW(A385),MATCH("Req_Other",Unified_Matrix!$1:$1,0)),"")</f>
        <v/>
      </c>
    </row>
    <row r="389" ht="68.25" customHeight="1">
      <c r="H389" s="13">
        <f t="array" ref="H389">IFERROR(INDEX(Unified_Matrix!$A:$ZZ,ROW(A386),MATCH("Max "&amp;$H$3,Unified_Matrix!$1:$1,0)),"")</f>
        <v/>
      </c>
      <c r="I389" s="25">
        <f t="array" ref="I389">IFERROR(INDEX(Unified_Matrix!$A:$ZZ,ROW(A386),MATCH("Evolution_Name",Unified_Matrix!$1:$1,0)),"")</f>
        <v/>
      </c>
      <c r="J389" s="13">
        <f>IF(H389="","",IF(H389=0,"",IF(H389=$Z$32,1,IF(H389=$Z$33,2,IF(H389=$Z$34,3,"")))))</f>
        <v/>
      </c>
      <c r="K389" s="13">
        <f t="array" ref="K389">IFERROR(INDEX(Unified_Matrix!$A:$ZZ,ROW(A386),MATCH("+ OVR",Unified_Matrix!$1:$1,0)),"")</f>
        <v/>
      </c>
      <c r="L389" s="13">
        <f t="array" ref="L389">IFERROR(INDEX(Unified_Matrix!$A:$ZZ,ROW(A386),MATCH("Max OVR",Unified_Matrix!$1:$1,0)),"")</f>
        <v/>
      </c>
      <c r="M389" s="13">
        <f t="array" ref="M389">IFERROR(INDEX(Unified_Matrix!$A:$ZZ,ROW(A386),MATCH("Req_Position",Unified_Matrix!$1:$1,0)),"")</f>
        <v/>
      </c>
      <c r="N389" s="13">
        <f t="array" ref="N389">IFERROR(INDEX(Unified_Matrix!$A:$ZZ,ROW(A386),MATCH("Req_OVR_Max",Unified_Matrix!$1:$1,0)),"")</f>
        <v/>
      </c>
      <c r="O389" s="25">
        <f t="array" ref="O389">IFERROR(INDEX(Unified_Matrix!$A:$ZZ,ROW(A386),MATCH("Req_Other",Unified_Matrix!$1:$1,0)),"")</f>
        <v/>
      </c>
    </row>
    <row r="390" ht="68.25" customHeight="1">
      <c r="H390" s="13">
        <f t="array" ref="H390">IFERROR(INDEX(Unified_Matrix!$A:$ZZ,ROW(A387),MATCH("Max "&amp;$H$3,Unified_Matrix!$1:$1,0)),"")</f>
        <v/>
      </c>
      <c r="I390" s="25">
        <f t="array" ref="I390">IFERROR(INDEX(Unified_Matrix!$A:$ZZ,ROW(A387),MATCH("Evolution_Name",Unified_Matrix!$1:$1,0)),"")</f>
        <v/>
      </c>
      <c r="J390" s="13">
        <f>IF(H390="","",IF(H390=0,"",IF(H390=$Z$32,1,IF(H390=$Z$33,2,IF(H390=$Z$34,3,"")))))</f>
        <v/>
      </c>
      <c r="K390" s="13">
        <f t="array" ref="K390">IFERROR(INDEX(Unified_Matrix!$A:$ZZ,ROW(A387),MATCH("+ OVR",Unified_Matrix!$1:$1,0)),"")</f>
        <v/>
      </c>
      <c r="L390" s="13">
        <f t="array" ref="L390">IFERROR(INDEX(Unified_Matrix!$A:$ZZ,ROW(A387),MATCH("Max OVR",Unified_Matrix!$1:$1,0)),"")</f>
        <v/>
      </c>
      <c r="M390" s="13">
        <f t="array" ref="M390">IFERROR(INDEX(Unified_Matrix!$A:$ZZ,ROW(A387),MATCH("Req_Position",Unified_Matrix!$1:$1,0)),"")</f>
        <v/>
      </c>
      <c r="N390" s="13">
        <f t="array" ref="N390">IFERROR(INDEX(Unified_Matrix!$A:$ZZ,ROW(A387),MATCH("Req_OVR_Max",Unified_Matrix!$1:$1,0)),"")</f>
        <v/>
      </c>
      <c r="O390" s="25">
        <f t="array" ref="O390">IFERROR(INDEX(Unified_Matrix!$A:$ZZ,ROW(A387),MATCH("Req_Other",Unified_Matrix!$1:$1,0)),"")</f>
        <v/>
      </c>
    </row>
    <row r="391" ht="68.25" customHeight="1">
      <c r="H391" s="13">
        <f t="array" ref="H391">IFERROR(INDEX(Unified_Matrix!$A:$ZZ,ROW(A388),MATCH("Max "&amp;$H$3,Unified_Matrix!$1:$1,0)),"")</f>
        <v/>
      </c>
      <c r="I391" s="25">
        <f t="array" ref="I391">IFERROR(INDEX(Unified_Matrix!$A:$ZZ,ROW(A388),MATCH("Evolution_Name",Unified_Matrix!$1:$1,0)),"")</f>
        <v/>
      </c>
      <c r="J391" s="13">
        <f>IF(H391="","",IF(H391=0,"",IF(H391=$Z$32,1,IF(H391=$Z$33,2,IF(H391=$Z$34,3,"")))))</f>
        <v/>
      </c>
      <c r="K391" s="13">
        <f t="array" ref="K391">IFERROR(INDEX(Unified_Matrix!$A:$ZZ,ROW(A388),MATCH("+ OVR",Unified_Matrix!$1:$1,0)),"")</f>
        <v/>
      </c>
      <c r="L391" s="13">
        <f t="array" ref="L391">IFERROR(INDEX(Unified_Matrix!$A:$ZZ,ROW(A388),MATCH("Max OVR",Unified_Matrix!$1:$1,0)),"")</f>
        <v/>
      </c>
      <c r="M391" s="13">
        <f t="array" ref="M391">IFERROR(INDEX(Unified_Matrix!$A:$ZZ,ROW(A388),MATCH("Req_Position",Unified_Matrix!$1:$1,0)),"")</f>
        <v/>
      </c>
      <c r="N391" s="13">
        <f t="array" ref="N391">IFERROR(INDEX(Unified_Matrix!$A:$ZZ,ROW(A388),MATCH("Req_OVR_Max",Unified_Matrix!$1:$1,0)),"")</f>
        <v/>
      </c>
      <c r="O391" s="25">
        <f t="array" ref="O391">IFERROR(INDEX(Unified_Matrix!$A:$ZZ,ROW(A388),MATCH("Req_Other",Unified_Matrix!$1:$1,0)),"")</f>
        <v/>
      </c>
    </row>
    <row r="392" ht="68.25" customHeight="1">
      <c r="H392" s="13">
        <f t="array" ref="H392">IFERROR(INDEX(Unified_Matrix!$A:$ZZ,ROW(A389),MATCH("Max "&amp;$H$3,Unified_Matrix!$1:$1,0)),"")</f>
        <v/>
      </c>
      <c r="I392" s="25">
        <f t="array" ref="I392">IFERROR(INDEX(Unified_Matrix!$A:$ZZ,ROW(A389),MATCH("Evolution_Name",Unified_Matrix!$1:$1,0)),"")</f>
        <v/>
      </c>
      <c r="J392" s="13">
        <f>IF(H392="","",IF(H392=0,"",IF(H392=$Z$32,1,IF(H392=$Z$33,2,IF(H392=$Z$34,3,"")))))</f>
        <v/>
      </c>
      <c r="K392" s="13">
        <f t="array" ref="K392">IFERROR(INDEX(Unified_Matrix!$A:$ZZ,ROW(A389),MATCH("+ OVR",Unified_Matrix!$1:$1,0)),"")</f>
        <v/>
      </c>
      <c r="L392" s="13">
        <f t="array" ref="L392">IFERROR(INDEX(Unified_Matrix!$A:$ZZ,ROW(A389),MATCH("Max OVR",Unified_Matrix!$1:$1,0)),"")</f>
        <v/>
      </c>
      <c r="M392" s="13">
        <f t="array" ref="M392">IFERROR(INDEX(Unified_Matrix!$A:$ZZ,ROW(A389),MATCH("Req_Position",Unified_Matrix!$1:$1,0)),"")</f>
        <v/>
      </c>
      <c r="N392" s="13">
        <f t="array" ref="N392">IFERROR(INDEX(Unified_Matrix!$A:$ZZ,ROW(A389),MATCH("Req_OVR_Max",Unified_Matrix!$1:$1,0)),"")</f>
        <v/>
      </c>
      <c r="O392" s="25">
        <f t="array" ref="O392">IFERROR(INDEX(Unified_Matrix!$A:$ZZ,ROW(A389),MATCH("Req_Other",Unified_Matrix!$1:$1,0)),"")</f>
        <v/>
      </c>
    </row>
    <row r="393" ht="68.25" customHeight="1">
      <c r="H393" s="13">
        <f t="array" ref="H393">IFERROR(INDEX(Unified_Matrix!$A:$ZZ,ROW(A390),MATCH("Max "&amp;$H$3,Unified_Matrix!$1:$1,0)),"")</f>
        <v/>
      </c>
      <c r="I393" s="25">
        <f t="array" ref="I393">IFERROR(INDEX(Unified_Matrix!$A:$ZZ,ROW(A390),MATCH("Evolution_Name",Unified_Matrix!$1:$1,0)),"")</f>
        <v/>
      </c>
      <c r="J393" s="13">
        <f>IF(H393="","",IF(H393=0,"",IF(H393=$Z$32,1,IF(H393=$Z$33,2,IF(H393=$Z$34,3,"")))))</f>
        <v/>
      </c>
      <c r="K393" s="13">
        <f t="array" ref="K393">IFERROR(INDEX(Unified_Matrix!$A:$ZZ,ROW(A390),MATCH("+ OVR",Unified_Matrix!$1:$1,0)),"")</f>
        <v/>
      </c>
      <c r="L393" s="13">
        <f t="array" ref="L393">IFERROR(INDEX(Unified_Matrix!$A:$ZZ,ROW(A390),MATCH("Max OVR",Unified_Matrix!$1:$1,0)),"")</f>
        <v/>
      </c>
      <c r="M393" s="13">
        <f t="array" ref="M393">IFERROR(INDEX(Unified_Matrix!$A:$ZZ,ROW(A390),MATCH("Req_Position",Unified_Matrix!$1:$1,0)),"")</f>
        <v/>
      </c>
      <c r="N393" s="13">
        <f t="array" ref="N393">IFERROR(INDEX(Unified_Matrix!$A:$ZZ,ROW(A390),MATCH("Req_OVR_Max",Unified_Matrix!$1:$1,0)),"")</f>
        <v/>
      </c>
      <c r="O393" s="25">
        <f t="array" ref="O393">IFERROR(INDEX(Unified_Matrix!$A:$ZZ,ROW(A390),MATCH("Req_Other",Unified_Matrix!$1:$1,0)),"")</f>
        <v/>
      </c>
    </row>
    <row r="394" ht="68.25" customHeight="1">
      <c r="H394" s="13">
        <f t="array" ref="H394">IFERROR(INDEX(Unified_Matrix!$A:$ZZ,ROW(A391),MATCH("Max "&amp;$H$3,Unified_Matrix!$1:$1,0)),"")</f>
        <v/>
      </c>
      <c r="I394" s="25">
        <f t="array" ref="I394">IFERROR(INDEX(Unified_Matrix!$A:$ZZ,ROW(A391),MATCH("Evolution_Name",Unified_Matrix!$1:$1,0)),"")</f>
        <v/>
      </c>
      <c r="J394" s="13">
        <f>IF(H394="","",IF(H394=0,"",IF(H394=$Z$32,1,IF(H394=$Z$33,2,IF(H394=$Z$34,3,"")))))</f>
        <v/>
      </c>
      <c r="K394" s="13">
        <f t="array" ref="K394">IFERROR(INDEX(Unified_Matrix!$A:$ZZ,ROW(A391),MATCH("+ OVR",Unified_Matrix!$1:$1,0)),"")</f>
        <v/>
      </c>
      <c r="L394" s="13">
        <f t="array" ref="L394">IFERROR(INDEX(Unified_Matrix!$A:$ZZ,ROW(A391),MATCH("Max OVR",Unified_Matrix!$1:$1,0)),"")</f>
        <v/>
      </c>
      <c r="M394" s="13">
        <f t="array" ref="M394">IFERROR(INDEX(Unified_Matrix!$A:$ZZ,ROW(A391),MATCH("Req_Position",Unified_Matrix!$1:$1,0)),"")</f>
        <v/>
      </c>
      <c r="N394" s="13">
        <f t="array" ref="N394">IFERROR(INDEX(Unified_Matrix!$A:$ZZ,ROW(A391),MATCH("Req_OVR_Max",Unified_Matrix!$1:$1,0)),"")</f>
        <v/>
      </c>
      <c r="O394" s="25">
        <f t="array" ref="O394">IFERROR(INDEX(Unified_Matrix!$A:$ZZ,ROW(A391),MATCH("Req_Other",Unified_Matrix!$1:$1,0)),"")</f>
        <v/>
      </c>
    </row>
    <row r="395" ht="68.25" customHeight="1">
      <c r="H395" s="13">
        <f t="array" ref="H395">IFERROR(INDEX(Unified_Matrix!$A:$ZZ,ROW(A392),MATCH("Max "&amp;$H$3,Unified_Matrix!$1:$1,0)),"")</f>
        <v/>
      </c>
      <c r="I395" s="25">
        <f t="array" ref="I395">IFERROR(INDEX(Unified_Matrix!$A:$ZZ,ROW(A392),MATCH("Evolution_Name",Unified_Matrix!$1:$1,0)),"")</f>
        <v/>
      </c>
      <c r="J395" s="13">
        <f>IF(H395="","",IF(H395=0,"",IF(H395=$Z$32,1,IF(H395=$Z$33,2,IF(H395=$Z$34,3,"")))))</f>
        <v/>
      </c>
      <c r="K395" s="13">
        <f t="array" ref="K395">IFERROR(INDEX(Unified_Matrix!$A:$ZZ,ROW(A392),MATCH("+ OVR",Unified_Matrix!$1:$1,0)),"")</f>
        <v/>
      </c>
      <c r="L395" s="13">
        <f t="array" ref="L395">IFERROR(INDEX(Unified_Matrix!$A:$ZZ,ROW(A392),MATCH("Max OVR",Unified_Matrix!$1:$1,0)),"")</f>
        <v/>
      </c>
      <c r="M395" s="13">
        <f t="array" ref="M395">IFERROR(INDEX(Unified_Matrix!$A:$ZZ,ROW(A392),MATCH("Req_Position",Unified_Matrix!$1:$1,0)),"")</f>
        <v/>
      </c>
      <c r="N395" s="13">
        <f t="array" ref="N395">IFERROR(INDEX(Unified_Matrix!$A:$ZZ,ROW(A392),MATCH("Req_OVR_Max",Unified_Matrix!$1:$1,0)),"")</f>
        <v/>
      </c>
      <c r="O395" s="25">
        <f t="array" ref="O395">IFERROR(INDEX(Unified_Matrix!$A:$ZZ,ROW(A392),MATCH("Req_Other",Unified_Matrix!$1:$1,0)),"")</f>
        <v/>
      </c>
    </row>
    <row r="396" ht="68.25" customHeight="1">
      <c r="H396" s="13">
        <f t="array" ref="H396">IFERROR(INDEX(Unified_Matrix!$A:$ZZ,ROW(A393),MATCH("Max "&amp;$H$3,Unified_Matrix!$1:$1,0)),"")</f>
        <v/>
      </c>
      <c r="I396" s="25">
        <f t="array" ref="I396">IFERROR(INDEX(Unified_Matrix!$A:$ZZ,ROW(A393),MATCH("Evolution_Name",Unified_Matrix!$1:$1,0)),"")</f>
        <v/>
      </c>
      <c r="J396" s="13">
        <f>IF(H396="","",IF(H396=0,"",IF(H396=$Z$32,1,IF(H396=$Z$33,2,IF(H396=$Z$34,3,"")))))</f>
        <v/>
      </c>
      <c r="K396" s="13">
        <f t="array" ref="K396">IFERROR(INDEX(Unified_Matrix!$A:$ZZ,ROW(A393),MATCH("+ OVR",Unified_Matrix!$1:$1,0)),"")</f>
        <v/>
      </c>
      <c r="L396" s="13">
        <f t="array" ref="L396">IFERROR(INDEX(Unified_Matrix!$A:$ZZ,ROW(A393),MATCH("Max OVR",Unified_Matrix!$1:$1,0)),"")</f>
        <v/>
      </c>
      <c r="M396" s="13">
        <f t="array" ref="M396">IFERROR(INDEX(Unified_Matrix!$A:$ZZ,ROW(A393),MATCH("Req_Position",Unified_Matrix!$1:$1,0)),"")</f>
        <v/>
      </c>
      <c r="N396" s="13">
        <f t="array" ref="N396">IFERROR(INDEX(Unified_Matrix!$A:$ZZ,ROW(A393),MATCH("Req_OVR_Max",Unified_Matrix!$1:$1,0)),"")</f>
        <v/>
      </c>
      <c r="O396" s="25">
        <f t="array" ref="O396">IFERROR(INDEX(Unified_Matrix!$A:$ZZ,ROW(A393),MATCH("Req_Other",Unified_Matrix!$1:$1,0)),"")</f>
        <v/>
      </c>
    </row>
    <row r="397" ht="68.25" customHeight="1">
      <c r="H397" s="13">
        <f t="array" ref="H397">IFERROR(INDEX(Unified_Matrix!$A:$ZZ,ROW(A394),MATCH("Max "&amp;$H$3,Unified_Matrix!$1:$1,0)),"")</f>
        <v/>
      </c>
      <c r="I397" s="25">
        <f t="array" ref="I397">IFERROR(INDEX(Unified_Matrix!$A:$ZZ,ROW(A394),MATCH("Evolution_Name",Unified_Matrix!$1:$1,0)),"")</f>
        <v/>
      </c>
      <c r="J397" s="13">
        <f>IF(H397="","",IF(H397=0,"",IF(H397=$Z$32,1,IF(H397=$Z$33,2,IF(H397=$Z$34,3,"")))))</f>
        <v/>
      </c>
      <c r="K397" s="13">
        <f t="array" ref="K397">IFERROR(INDEX(Unified_Matrix!$A:$ZZ,ROW(A394),MATCH("+ OVR",Unified_Matrix!$1:$1,0)),"")</f>
        <v/>
      </c>
      <c r="L397" s="13">
        <f t="array" ref="L397">IFERROR(INDEX(Unified_Matrix!$A:$ZZ,ROW(A394),MATCH("Max OVR",Unified_Matrix!$1:$1,0)),"")</f>
        <v/>
      </c>
      <c r="M397" s="13">
        <f t="array" ref="M397">IFERROR(INDEX(Unified_Matrix!$A:$ZZ,ROW(A394),MATCH("Req_Position",Unified_Matrix!$1:$1,0)),"")</f>
        <v/>
      </c>
      <c r="N397" s="13">
        <f t="array" ref="N397">IFERROR(INDEX(Unified_Matrix!$A:$ZZ,ROW(A394),MATCH("Req_OVR_Max",Unified_Matrix!$1:$1,0)),"")</f>
        <v/>
      </c>
      <c r="O397" s="25">
        <f t="array" ref="O397">IFERROR(INDEX(Unified_Matrix!$A:$ZZ,ROW(A394),MATCH("Req_Other",Unified_Matrix!$1:$1,0)),"")</f>
        <v/>
      </c>
    </row>
    <row r="398" ht="68.25" customHeight="1">
      <c r="H398" s="13">
        <f t="array" ref="H398">IFERROR(INDEX(Unified_Matrix!$A:$ZZ,ROW(A395),MATCH("Max "&amp;$H$3,Unified_Matrix!$1:$1,0)),"")</f>
        <v/>
      </c>
      <c r="I398" s="25">
        <f t="array" ref="I398">IFERROR(INDEX(Unified_Matrix!$A:$ZZ,ROW(A395),MATCH("Evolution_Name",Unified_Matrix!$1:$1,0)),"")</f>
        <v/>
      </c>
      <c r="J398" s="13">
        <f>IF(H398="","",IF(H398=0,"",IF(H398=$Z$32,1,IF(H398=$Z$33,2,IF(H398=$Z$34,3,"")))))</f>
        <v/>
      </c>
      <c r="K398" s="13">
        <f t="array" ref="K398">IFERROR(INDEX(Unified_Matrix!$A:$ZZ,ROW(A395),MATCH("+ OVR",Unified_Matrix!$1:$1,0)),"")</f>
        <v/>
      </c>
      <c r="L398" s="13">
        <f t="array" ref="L398">IFERROR(INDEX(Unified_Matrix!$A:$ZZ,ROW(A395),MATCH("Max OVR",Unified_Matrix!$1:$1,0)),"")</f>
        <v/>
      </c>
      <c r="M398" s="13">
        <f t="array" ref="M398">IFERROR(INDEX(Unified_Matrix!$A:$ZZ,ROW(A395),MATCH("Req_Position",Unified_Matrix!$1:$1,0)),"")</f>
        <v/>
      </c>
      <c r="N398" s="13">
        <f t="array" ref="N398">IFERROR(INDEX(Unified_Matrix!$A:$ZZ,ROW(A395),MATCH("Req_OVR_Max",Unified_Matrix!$1:$1,0)),"")</f>
        <v/>
      </c>
      <c r="O398" s="25">
        <f t="array" ref="O398">IFERROR(INDEX(Unified_Matrix!$A:$ZZ,ROW(A395),MATCH("Req_Other",Unified_Matrix!$1:$1,0)),"")</f>
        <v/>
      </c>
    </row>
    <row r="399" ht="68.25" customHeight="1">
      <c r="H399" s="13">
        <f t="array" ref="H399">IFERROR(INDEX(Unified_Matrix!$A:$ZZ,ROW(A396),MATCH("Max "&amp;$H$3,Unified_Matrix!$1:$1,0)),"")</f>
        <v/>
      </c>
      <c r="I399" s="25">
        <f t="array" ref="I399">IFERROR(INDEX(Unified_Matrix!$A:$ZZ,ROW(A396),MATCH("Evolution_Name",Unified_Matrix!$1:$1,0)),"")</f>
        <v/>
      </c>
      <c r="J399" s="13">
        <f>IF(H399="","",IF(H399=0,"",IF(H399=$Z$32,1,IF(H399=$Z$33,2,IF(H399=$Z$34,3,"")))))</f>
        <v/>
      </c>
      <c r="K399" s="13">
        <f t="array" ref="K399">IFERROR(INDEX(Unified_Matrix!$A:$ZZ,ROW(A396),MATCH("+ OVR",Unified_Matrix!$1:$1,0)),"")</f>
        <v/>
      </c>
      <c r="L399" s="13">
        <f t="array" ref="L399">IFERROR(INDEX(Unified_Matrix!$A:$ZZ,ROW(A396),MATCH("Max OVR",Unified_Matrix!$1:$1,0)),"")</f>
        <v/>
      </c>
      <c r="M399" s="13">
        <f t="array" ref="M399">IFERROR(INDEX(Unified_Matrix!$A:$ZZ,ROW(A396),MATCH("Req_Position",Unified_Matrix!$1:$1,0)),"")</f>
        <v/>
      </c>
      <c r="N399" s="13">
        <f t="array" ref="N399">IFERROR(INDEX(Unified_Matrix!$A:$ZZ,ROW(A396),MATCH("Req_OVR_Max",Unified_Matrix!$1:$1,0)),"")</f>
        <v/>
      </c>
      <c r="O399" s="25">
        <f t="array" ref="O399">IFERROR(INDEX(Unified_Matrix!$A:$ZZ,ROW(A396),MATCH("Req_Other",Unified_Matrix!$1:$1,0)),"")</f>
        <v/>
      </c>
    </row>
    <row r="400" ht="68.25" customHeight="1">
      <c r="H400" s="13">
        <f t="array" ref="H400">IFERROR(INDEX(Unified_Matrix!$A:$ZZ,ROW(A397),MATCH("Max "&amp;$H$3,Unified_Matrix!$1:$1,0)),"")</f>
        <v/>
      </c>
      <c r="I400" s="25">
        <f t="array" ref="I400">IFERROR(INDEX(Unified_Matrix!$A:$ZZ,ROW(A397),MATCH("Evolution_Name",Unified_Matrix!$1:$1,0)),"")</f>
        <v/>
      </c>
      <c r="J400" s="13">
        <f>IF(H400="","",IF(H400=0,"",IF(H400=$Z$32,1,IF(H400=$Z$33,2,IF(H400=$Z$34,3,"")))))</f>
        <v/>
      </c>
      <c r="K400" s="13">
        <f t="array" ref="K400">IFERROR(INDEX(Unified_Matrix!$A:$ZZ,ROW(A397),MATCH("+ OVR",Unified_Matrix!$1:$1,0)),"")</f>
        <v/>
      </c>
      <c r="L400" s="13">
        <f t="array" ref="L400">IFERROR(INDEX(Unified_Matrix!$A:$ZZ,ROW(A397),MATCH("Max OVR",Unified_Matrix!$1:$1,0)),"")</f>
        <v/>
      </c>
      <c r="M400" s="13">
        <f t="array" ref="M400">IFERROR(INDEX(Unified_Matrix!$A:$ZZ,ROW(A397),MATCH("Req_Position",Unified_Matrix!$1:$1,0)),"")</f>
        <v/>
      </c>
      <c r="N400" s="13">
        <f t="array" ref="N400">IFERROR(INDEX(Unified_Matrix!$A:$ZZ,ROW(A397),MATCH("Req_OVR_Max",Unified_Matrix!$1:$1,0)),"")</f>
        <v/>
      </c>
      <c r="O400" s="25">
        <f t="array" ref="O400">IFERROR(INDEX(Unified_Matrix!$A:$ZZ,ROW(A397),MATCH("Req_Other",Unified_Matrix!$1:$1,0)),"")</f>
        <v/>
      </c>
    </row>
    <row r="401" ht="68.25" customHeight="1">
      <c r="H401" s="13">
        <f t="array" ref="H401">IFERROR(INDEX(Unified_Matrix!$A:$ZZ,ROW(A398),MATCH("Max "&amp;$H$3,Unified_Matrix!$1:$1,0)),"")</f>
        <v/>
      </c>
      <c r="I401" s="25">
        <f t="array" ref="I401">IFERROR(INDEX(Unified_Matrix!$A:$ZZ,ROW(A398),MATCH("Evolution_Name",Unified_Matrix!$1:$1,0)),"")</f>
        <v/>
      </c>
      <c r="J401" s="13">
        <f>IF(H401="","",IF(H401=0,"",IF(H401=$Z$32,1,IF(H401=$Z$33,2,IF(H401=$Z$34,3,"")))))</f>
        <v/>
      </c>
      <c r="K401" s="13">
        <f t="array" ref="K401">IFERROR(INDEX(Unified_Matrix!$A:$ZZ,ROW(A398),MATCH("+ OVR",Unified_Matrix!$1:$1,0)),"")</f>
        <v/>
      </c>
      <c r="L401" s="13">
        <f t="array" ref="L401">IFERROR(INDEX(Unified_Matrix!$A:$ZZ,ROW(A398),MATCH("Max OVR",Unified_Matrix!$1:$1,0)),"")</f>
        <v/>
      </c>
      <c r="M401" s="13">
        <f t="array" ref="M401">IFERROR(INDEX(Unified_Matrix!$A:$ZZ,ROW(A398),MATCH("Req_Position",Unified_Matrix!$1:$1,0)),"")</f>
        <v/>
      </c>
      <c r="N401" s="13">
        <f t="array" ref="N401">IFERROR(INDEX(Unified_Matrix!$A:$ZZ,ROW(A398),MATCH("Req_OVR_Max",Unified_Matrix!$1:$1,0)),"")</f>
        <v/>
      </c>
      <c r="O401" s="25">
        <f t="array" ref="O401">IFERROR(INDEX(Unified_Matrix!$A:$ZZ,ROW(A398),MATCH("Req_Other",Unified_Matrix!$1:$1,0)),"")</f>
        <v/>
      </c>
    </row>
    <row r="402" ht="68.25" customHeight="1">
      <c r="H402" s="13">
        <f t="array" ref="H402">IFERROR(INDEX(Unified_Matrix!$A:$ZZ,ROW(A399),MATCH("Max "&amp;$H$3,Unified_Matrix!$1:$1,0)),"")</f>
        <v/>
      </c>
      <c r="I402" s="25">
        <f t="array" ref="I402">IFERROR(INDEX(Unified_Matrix!$A:$ZZ,ROW(A399),MATCH("Evolution_Name",Unified_Matrix!$1:$1,0)),"")</f>
        <v/>
      </c>
      <c r="J402" s="13">
        <f>IF(H402="","",IF(H402=0,"",IF(H402=$Z$32,1,IF(H402=$Z$33,2,IF(H402=$Z$34,3,"")))))</f>
        <v/>
      </c>
      <c r="K402" s="13">
        <f t="array" ref="K402">IFERROR(INDEX(Unified_Matrix!$A:$ZZ,ROW(A399),MATCH("+ OVR",Unified_Matrix!$1:$1,0)),"")</f>
        <v/>
      </c>
      <c r="L402" s="13">
        <f t="array" ref="L402">IFERROR(INDEX(Unified_Matrix!$A:$ZZ,ROW(A399),MATCH("Max OVR",Unified_Matrix!$1:$1,0)),"")</f>
        <v/>
      </c>
      <c r="M402" s="13">
        <f t="array" ref="M402">IFERROR(INDEX(Unified_Matrix!$A:$ZZ,ROW(A399),MATCH("Req_Position",Unified_Matrix!$1:$1,0)),"")</f>
        <v/>
      </c>
      <c r="N402" s="13">
        <f t="array" ref="N402">IFERROR(INDEX(Unified_Matrix!$A:$ZZ,ROW(A399),MATCH("Req_OVR_Max",Unified_Matrix!$1:$1,0)),"")</f>
        <v/>
      </c>
      <c r="O402" s="25">
        <f t="array" ref="O402">IFERROR(INDEX(Unified_Matrix!$A:$ZZ,ROW(A399),MATCH("Req_Other",Unified_Matrix!$1:$1,0)),"")</f>
        <v/>
      </c>
    </row>
    <row r="403" ht="68.25" customHeight="1">
      <c r="H403" s="13">
        <f t="array" ref="H403">IFERROR(INDEX(Unified_Matrix!$A:$ZZ,ROW(A400),MATCH("Max "&amp;$H$3,Unified_Matrix!$1:$1,0)),"")</f>
        <v/>
      </c>
      <c r="I403" s="25">
        <f t="array" ref="I403">IFERROR(INDEX(Unified_Matrix!$A:$ZZ,ROW(A400),MATCH("Evolution_Name",Unified_Matrix!$1:$1,0)),"")</f>
        <v/>
      </c>
      <c r="J403" s="13">
        <f>IF(H403="","",IF(H403=0,"",IF(H403=$Z$32,1,IF(H403=$Z$33,2,IF(H403=$Z$34,3,"")))))</f>
        <v/>
      </c>
      <c r="K403" s="13">
        <f t="array" ref="K403">IFERROR(INDEX(Unified_Matrix!$A:$ZZ,ROW(A400),MATCH("+ OVR",Unified_Matrix!$1:$1,0)),"")</f>
        <v/>
      </c>
      <c r="L403" s="13">
        <f t="array" ref="L403">IFERROR(INDEX(Unified_Matrix!$A:$ZZ,ROW(A400),MATCH("Max OVR",Unified_Matrix!$1:$1,0)),"")</f>
        <v/>
      </c>
      <c r="M403" s="13">
        <f t="array" ref="M403">IFERROR(INDEX(Unified_Matrix!$A:$ZZ,ROW(A400),MATCH("Req_Position",Unified_Matrix!$1:$1,0)),"")</f>
        <v/>
      </c>
      <c r="N403" s="13">
        <f t="array" ref="N403">IFERROR(INDEX(Unified_Matrix!$A:$ZZ,ROW(A400),MATCH("Req_OVR_Max",Unified_Matrix!$1:$1,0)),"")</f>
        <v/>
      </c>
      <c r="O403" s="25">
        <f t="array" ref="O403">IFERROR(INDEX(Unified_Matrix!$A:$ZZ,ROW(A400),MATCH("Req_Other",Unified_Matrix!$1:$1,0)),"")</f>
        <v/>
      </c>
    </row>
    <row r="404" ht="68.25" customHeight="1">
      <c r="H404" s="13">
        <f t="array" ref="H404">IFERROR(INDEX(Unified_Matrix!$A:$ZZ,ROW(A401),MATCH("Max "&amp;$H$3,Unified_Matrix!$1:$1,0)),"")</f>
        <v/>
      </c>
      <c r="I404" s="25">
        <f t="array" ref="I404">IFERROR(INDEX(Unified_Matrix!$A:$ZZ,ROW(A401),MATCH("Evolution_Name",Unified_Matrix!$1:$1,0)),"")</f>
        <v/>
      </c>
      <c r="J404" s="13">
        <f>IF(H404="","",IF(H404=0,"",IF(H404=$Z$32,1,IF(H404=$Z$33,2,IF(H404=$Z$34,3,"")))))</f>
        <v/>
      </c>
      <c r="K404" s="13">
        <f t="array" ref="K404">IFERROR(INDEX(Unified_Matrix!$A:$ZZ,ROW(A401),MATCH("+ OVR",Unified_Matrix!$1:$1,0)),"")</f>
        <v/>
      </c>
      <c r="L404" s="13">
        <f t="array" ref="L404">IFERROR(INDEX(Unified_Matrix!$A:$ZZ,ROW(A401),MATCH("Max OVR",Unified_Matrix!$1:$1,0)),"")</f>
        <v/>
      </c>
      <c r="M404" s="13">
        <f t="array" ref="M404">IFERROR(INDEX(Unified_Matrix!$A:$ZZ,ROW(A401),MATCH("Req_Position",Unified_Matrix!$1:$1,0)),"")</f>
        <v/>
      </c>
      <c r="N404" s="13">
        <f t="array" ref="N404">IFERROR(INDEX(Unified_Matrix!$A:$ZZ,ROW(A401),MATCH("Req_OVR_Max",Unified_Matrix!$1:$1,0)),"")</f>
        <v/>
      </c>
      <c r="O404" s="25">
        <f t="array" ref="O404">IFERROR(INDEX(Unified_Matrix!$A:$ZZ,ROW(A401),MATCH("Req_Other",Unified_Matrix!$1:$1,0)),"")</f>
        <v/>
      </c>
    </row>
    <row r="405" ht="68.25" customHeight="1">
      <c r="H405" s="13">
        <f t="array" ref="H405">IFERROR(INDEX(Unified_Matrix!$A:$ZZ,ROW(A402),MATCH("Max "&amp;$H$3,Unified_Matrix!$1:$1,0)),"")</f>
        <v/>
      </c>
      <c r="I405" s="25">
        <f t="array" ref="I405">IFERROR(INDEX(Unified_Matrix!$A:$ZZ,ROW(A402),MATCH("Evolution_Name",Unified_Matrix!$1:$1,0)),"")</f>
        <v/>
      </c>
      <c r="J405" s="13">
        <f>IF(H405="","",IF(H405=0,"",IF(H405=$Z$32,1,IF(H405=$Z$33,2,IF(H405=$Z$34,3,"")))))</f>
        <v/>
      </c>
      <c r="K405" s="13">
        <f t="array" ref="K405">IFERROR(INDEX(Unified_Matrix!$A:$ZZ,ROW(A402),MATCH("+ OVR",Unified_Matrix!$1:$1,0)),"")</f>
        <v/>
      </c>
      <c r="L405" s="13">
        <f t="array" ref="L405">IFERROR(INDEX(Unified_Matrix!$A:$ZZ,ROW(A402),MATCH("Max OVR",Unified_Matrix!$1:$1,0)),"")</f>
        <v/>
      </c>
      <c r="M405" s="13">
        <f t="array" ref="M405">IFERROR(INDEX(Unified_Matrix!$A:$ZZ,ROW(A402),MATCH("Req_Position",Unified_Matrix!$1:$1,0)),"")</f>
        <v/>
      </c>
      <c r="N405" s="13">
        <f t="array" ref="N405">IFERROR(INDEX(Unified_Matrix!$A:$ZZ,ROW(A402),MATCH("Req_OVR_Max",Unified_Matrix!$1:$1,0)),"")</f>
        <v/>
      </c>
      <c r="O405" s="25">
        <f t="array" ref="O405">IFERROR(INDEX(Unified_Matrix!$A:$ZZ,ROW(A402),MATCH("Req_Other",Unified_Matrix!$1:$1,0)),"")</f>
        <v/>
      </c>
    </row>
    <row r="406" ht="68.25" customHeight="1">
      <c r="H406" s="13">
        <f t="array" ref="H406">IFERROR(INDEX(Unified_Matrix!$A:$ZZ,ROW(A403),MATCH("Max "&amp;$H$3,Unified_Matrix!$1:$1,0)),"")</f>
        <v/>
      </c>
      <c r="I406" s="25">
        <f t="array" ref="I406">IFERROR(INDEX(Unified_Matrix!$A:$ZZ,ROW(A403),MATCH("Evolution_Name",Unified_Matrix!$1:$1,0)),"")</f>
        <v/>
      </c>
      <c r="J406" s="13">
        <f>IF(H406="","",IF(H406=0,"",IF(H406=$Z$32,1,IF(H406=$Z$33,2,IF(H406=$Z$34,3,"")))))</f>
        <v/>
      </c>
      <c r="K406" s="13">
        <f t="array" ref="K406">IFERROR(INDEX(Unified_Matrix!$A:$ZZ,ROW(A403),MATCH("+ OVR",Unified_Matrix!$1:$1,0)),"")</f>
        <v/>
      </c>
      <c r="L406" s="13">
        <f t="array" ref="L406">IFERROR(INDEX(Unified_Matrix!$A:$ZZ,ROW(A403),MATCH("Max OVR",Unified_Matrix!$1:$1,0)),"")</f>
        <v/>
      </c>
      <c r="M406" s="13">
        <f t="array" ref="M406">IFERROR(INDEX(Unified_Matrix!$A:$ZZ,ROW(A403),MATCH("Req_Position",Unified_Matrix!$1:$1,0)),"")</f>
        <v/>
      </c>
      <c r="N406" s="13">
        <f t="array" ref="N406">IFERROR(INDEX(Unified_Matrix!$A:$ZZ,ROW(A403),MATCH("Req_OVR_Max",Unified_Matrix!$1:$1,0)),"")</f>
        <v/>
      </c>
      <c r="O406" s="25">
        <f t="array" ref="O406">IFERROR(INDEX(Unified_Matrix!$A:$ZZ,ROW(A403),MATCH("Req_Other",Unified_Matrix!$1:$1,0)),"")</f>
        <v/>
      </c>
    </row>
    <row r="407" ht="68.25" customHeight="1">
      <c r="H407" s="13">
        <f t="array" ref="H407">IFERROR(INDEX(Unified_Matrix!$A:$ZZ,ROW(A404),MATCH("Max "&amp;$H$3,Unified_Matrix!$1:$1,0)),"")</f>
        <v/>
      </c>
      <c r="I407" s="25">
        <f t="array" ref="I407">IFERROR(INDEX(Unified_Matrix!$A:$ZZ,ROW(A404),MATCH("Evolution_Name",Unified_Matrix!$1:$1,0)),"")</f>
        <v/>
      </c>
      <c r="J407" s="13">
        <f>IF(H407="","",IF(H407=0,"",IF(H407=$Z$32,1,IF(H407=$Z$33,2,IF(H407=$Z$34,3,"")))))</f>
        <v/>
      </c>
      <c r="K407" s="13">
        <f t="array" ref="K407">IFERROR(INDEX(Unified_Matrix!$A:$ZZ,ROW(A404),MATCH("+ OVR",Unified_Matrix!$1:$1,0)),"")</f>
        <v/>
      </c>
      <c r="L407" s="13">
        <f t="array" ref="L407">IFERROR(INDEX(Unified_Matrix!$A:$ZZ,ROW(A404),MATCH("Max OVR",Unified_Matrix!$1:$1,0)),"")</f>
        <v/>
      </c>
      <c r="M407" s="13">
        <f t="array" ref="M407">IFERROR(INDEX(Unified_Matrix!$A:$ZZ,ROW(A404),MATCH("Req_Position",Unified_Matrix!$1:$1,0)),"")</f>
        <v/>
      </c>
      <c r="N407" s="13">
        <f t="array" ref="N407">IFERROR(INDEX(Unified_Matrix!$A:$ZZ,ROW(A404),MATCH("Req_OVR_Max",Unified_Matrix!$1:$1,0)),"")</f>
        <v/>
      </c>
      <c r="O407" s="25">
        <f t="array" ref="O407">IFERROR(INDEX(Unified_Matrix!$A:$ZZ,ROW(A404),MATCH("Req_Other",Unified_Matrix!$1:$1,0)),"")</f>
        <v/>
      </c>
    </row>
    <row r="408" ht="68.25" customHeight="1">
      <c r="H408" s="13">
        <f t="array" ref="H408">IFERROR(INDEX(Unified_Matrix!$A:$ZZ,ROW(A405),MATCH("Max "&amp;$H$3,Unified_Matrix!$1:$1,0)),"")</f>
        <v/>
      </c>
      <c r="I408" s="25">
        <f t="array" ref="I408">IFERROR(INDEX(Unified_Matrix!$A:$ZZ,ROW(A405),MATCH("Evolution_Name",Unified_Matrix!$1:$1,0)),"")</f>
        <v/>
      </c>
      <c r="J408" s="13">
        <f>IF(H408="","",IF(H408=0,"",IF(H408=$Z$32,1,IF(H408=$Z$33,2,IF(H408=$Z$34,3,"")))))</f>
        <v/>
      </c>
      <c r="K408" s="13">
        <f t="array" ref="K408">IFERROR(INDEX(Unified_Matrix!$A:$ZZ,ROW(A405),MATCH("+ OVR",Unified_Matrix!$1:$1,0)),"")</f>
        <v/>
      </c>
      <c r="L408" s="13">
        <f t="array" ref="L408">IFERROR(INDEX(Unified_Matrix!$A:$ZZ,ROW(A405),MATCH("Max OVR",Unified_Matrix!$1:$1,0)),"")</f>
        <v/>
      </c>
      <c r="M408" s="13">
        <f t="array" ref="M408">IFERROR(INDEX(Unified_Matrix!$A:$ZZ,ROW(A405),MATCH("Req_Position",Unified_Matrix!$1:$1,0)),"")</f>
        <v/>
      </c>
      <c r="N408" s="13">
        <f t="array" ref="N408">IFERROR(INDEX(Unified_Matrix!$A:$ZZ,ROW(A405),MATCH("Req_OVR_Max",Unified_Matrix!$1:$1,0)),"")</f>
        <v/>
      </c>
      <c r="O408" s="25">
        <f t="array" ref="O408">IFERROR(INDEX(Unified_Matrix!$A:$ZZ,ROW(A405),MATCH("Req_Other",Unified_Matrix!$1:$1,0)),"")</f>
        <v/>
      </c>
    </row>
    <row r="409" ht="68.25" customHeight="1">
      <c r="H409" s="13">
        <f t="array" ref="H409">IFERROR(INDEX(Unified_Matrix!$A:$ZZ,ROW(A406),MATCH("Max "&amp;$H$3,Unified_Matrix!$1:$1,0)),"")</f>
        <v/>
      </c>
      <c r="I409" s="25">
        <f t="array" ref="I409">IFERROR(INDEX(Unified_Matrix!$A:$ZZ,ROW(A406),MATCH("Evolution_Name",Unified_Matrix!$1:$1,0)),"")</f>
        <v/>
      </c>
      <c r="J409" s="13">
        <f>IF(H409="","",IF(H409=0,"",IF(H409=$Z$32,1,IF(H409=$Z$33,2,IF(H409=$Z$34,3,"")))))</f>
        <v/>
      </c>
      <c r="K409" s="13">
        <f t="array" ref="K409">IFERROR(INDEX(Unified_Matrix!$A:$ZZ,ROW(A406),MATCH("+ OVR",Unified_Matrix!$1:$1,0)),"")</f>
        <v/>
      </c>
      <c r="L409" s="13">
        <f t="array" ref="L409">IFERROR(INDEX(Unified_Matrix!$A:$ZZ,ROW(A406),MATCH("Max OVR",Unified_Matrix!$1:$1,0)),"")</f>
        <v/>
      </c>
      <c r="M409" s="13">
        <f t="array" ref="M409">IFERROR(INDEX(Unified_Matrix!$A:$ZZ,ROW(A406),MATCH("Req_Position",Unified_Matrix!$1:$1,0)),"")</f>
        <v/>
      </c>
      <c r="N409" s="13">
        <f t="array" ref="N409">IFERROR(INDEX(Unified_Matrix!$A:$ZZ,ROW(A406),MATCH("Req_OVR_Max",Unified_Matrix!$1:$1,0)),"")</f>
        <v/>
      </c>
      <c r="O409" s="25">
        <f t="array" ref="O409">IFERROR(INDEX(Unified_Matrix!$A:$ZZ,ROW(A406),MATCH("Req_Other",Unified_Matrix!$1:$1,0)),"")</f>
        <v/>
      </c>
    </row>
    <row r="410" ht="68.25" customHeight="1">
      <c r="H410" s="13">
        <f t="array" ref="H410">IFERROR(INDEX(Unified_Matrix!$A:$ZZ,ROW(A407),MATCH("Max "&amp;$H$3,Unified_Matrix!$1:$1,0)),"")</f>
        <v/>
      </c>
      <c r="I410" s="25">
        <f t="array" ref="I410">IFERROR(INDEX(Unified_Matrix!$A:$ZZ,ROW(A407),MATCH("Evolution_Name",Unified_Matrix!$1:$1,0)),"")</f>
        <v/>
      </c>
      <c r="J410" s="13">
        <f>IF(H410="","",IF(H410=0,"",IF(H410=$Z$32,1,IF(H410=$Z$33,2,IF(H410=$Z$34,3,"")))))</f>
        <v/>
      </c>
      <c r="K410" s="13">
        <f t="array" ref="K410">IFERROR(INDEX(Unified_Matrix!$A:$ZZ,ROW(A407),MATCH("+ OVR",Unified_Matrix!$1:$1,0)),"")</f>
        <v/>
      </c>
      <c r="L410" s="13">
        <f t="array" ref="L410">IFERROR(INDEX(Unified_Matrix!$A:$ZZ,ROW(A407),MATCH("Max OVR",Unified_Matrix!$1:$1,0)),"")</f>
        <v/>
      </c>
      <c r="M410" s="13">
        <f t="array" ref="M410">IFERROR(INDEX(Unified_Matrix!$A:$ZZ,ROW(A407),MATCH("Req_Position",Unified_Matrix!$1:$1,0)),"")</f>
        <v/>
      </c>
      <c r="N410" s="13">
        <f t="array" ref="N410">IFERROR(INDEX(Unified_Matrix!$A:$ZZ,ROW(A407),MATCH("Req_OVR_Max",Unified_Matrix!$1:$1,0)),"")</f>
        <v/>
      </c>
      <c r="O410" s="25">
        <f t="array" ref="O410">IFERROR(INDEX(Unified_Matrix!$A:$ZZ,ROW(A407),MATCH("Req_Other",Unified_Matrix!$1:$1,0)),"")</f>
        <v/>
      </c>
    </row>
    <row r="411" ht="68.25" customHeight="1">
      <c r="H411" s="13">
        <f t="array" ref="H411">IFERROR(INDEX(Unified_Matrix!$A:$ZZ,ROW(A408),MATCH("Max "&amp;$H$3,Unified_Matrix!$1:$1,0)),"")</f>
        <v/>
      </c>
      <c r="I411" s="25">
        <f t="array" ref="I411">IFERROR(INDEX(Unified_Matrix!$A:$ZZ,ROW(A408),MATCH("Evolution_Name",Unified_Matrix!$1:$1,0)),"")</f>
        <v/>
      </c>
      <c r="J411" s="13">
        <f>IF(H411="","",IF(H411=0,"",IF(H411=$Z$32,1,IF(H411=$Z$33,2,IF(H411=$Z$34,3,"")))))</f>
        <v/>
      </c>
      <c r="K411" s="13">
        <f t="array" ref="K411">IFERROR(INDEX(Unified_Matrix!$A:$ZZ,ROW(A408),MATCH("+ OVR",Unified_Matrix!$1:$1,0)),"")</f>
        <v/>
      </c>
      <c r="L411" s="13">
        <f t="array" ref="L411">IFERROR(INDEX(Unified_Matrix!$A:$ZZ,ROW(A408),MATCH("Max OVR",Unified_Matrix!$1:$1,0)),"")</f>
        <v/>
      </c>
      <c r="M411" s="13">
        <f t="array" ref="M411">IFERROR(INDEX(Unified_Matrix!$A:$ZZ,ROW(A408),MATCH("Req_Position",Unified_Matrix!$1:$1,0)),"")</f>
        <v/>
      </c>
      <c r="N411" s="13">
        <f t="array" ref="N411">IFERROR(INDEX(Unified_Matrix!$A:$ZZ,ROW(A408),MATCH("Req_OVR_Max",Unified_Matrix!$1:$1,0)),"")</f>
        <v/>
      </c>
      <c r="O411" s="25">
        <f t="array" ref="O411">IFERROR(INDEX(Unified_Matrix!$A:$ZZ,ROW(A408),MATCH("Req_Other",Unified_Matrix!$1:$1,0)),"")</f>
        <v/>
      </c>
    </row>
    <row r="412" ht="68.25" customHeight="1">
      <c r="H412" s="13">
        <f t="array" ref="H412">IFERROR(INDEX(Unified_Matrix!$A:$ZZ,ROW(A409),MATCH("Max "&amp;$H$3,Unified_Matrix!$1:$1,0)),"")</f>
        <v/>
      </c>
      <c r="I412" s="25">
        <f t="array" ref="I412">IFERROR(INDEX(Unified_Matrix!$A:$ZZ,ROW(A409),MATCH("Evolution_Name",Unified_Matrix!$1:$1,0)),"")</f>
        <v/>
      </c>
      <c r="J412" s="13">
        <f>IF(H412="","",IF(H412=0,"",IF(H412=$Z$32,1,IF(H412=$Z$33,2,IF(H412=$Z$34,3,"")))))</f>
        <v/>
      </c>
      <c r="K412" s="13">
        <f t="array" ref="K412">IFERROR(INDEX(Unified_Matrix!$A:$ZZ,ROW(A409),MATCH("+ OVR",Unified_Matrix!$1:$1,0)),"")</f>
        <v/>
      </c>
      <c r="L412" s="13">
        <f t="array" ref="L412">IFERROR(INDEX(Unified_Matrix!$A:$ZZ,ROW(A409),MATCH("Max OVR",Unified_Matrix!$1:$1,0)),"")</f>
        <v/>
      </c>
      <c r="M412" s="13">
        <f t="array" ref="M412">IFERROR(INDEX(Unified_Matrix!$A:$ZZ,ROW(A409),MATCH("Req_Position",Unified_Matrix!$1:$1,0)),"")</f>
        <v/>
      </c>
      <c r="N412" s="13">
        <f t="array" ref="N412">IFERROR(INDEX(Unified_Matrix!$A:$ZZ,ROW(A409),MATCH("Req_OVR_Max",Unified_Matrix!$1:$1,0)),"")</f>
        <v/>
      </c>
      <c r="O412" s="25">
        <f t="array" ref="O412">IFERROR(INDEX(Unified_Matrix!$A:$ZZ,ROW(A409),MATCH("Req_Other",Unified_Matrix!$1:$1,0)),"")</f>
        <v/>
      </c>
    </row>
    <row r="413" ht="68.25" customHeight="1">
      <c r="H413" s="13">
        <f t="array" ref="H413">IFERROR(INDEX(Unified_Matrix!$A:$ZZ,ROW(A410),MATCH("Max "&amp;$H$3,Unified_Matrix!$1:$1,0)),"")</f>
        <v/>
      </c>
      <c r="I413" s="25">
        <f t="array" ref="I413">IFERROR(INDEX(Unified_Matrix!$A:$ZZ,ROW(A410),MATCH("Evolution_Name",Unified_Matrix!$1:$1,0)),"")</f>
        <v/>
      </c>
      <c r="J413" s="13">
        <f>IF(H413="","",IF(H413=0,"",IF(H413=$Z$32,1,IF(H413=$Z$33,2,IF(H413=$Z$34,3,"")))))</f>
        <v/>
      </c>
      <c r="K413" s="13">
        <f t="array" ref="K413">IFERROR(INDEX(Unified_Matrix!$A:$ZZ,ROW(A410),MATCH("+ OVR",Unified_Matrix!$1:$1,0)),"")</f>
        <v/>
      </c>
      <c r="L413" s="13">
        <f t="array" ref="L413">IFERROR(INDEX(Unified_Matrix!$A:$ZZ,ROW(A410),MATCH("Max OVR",Unified_Matrix!$1:$1,0)),"")</f>
        <v/>
      </c>
      <c r="M413" s="13">
        <f t="array" ref="M413">IFERROR(INDEX(Unified_Matrix!$A:$ZZ,ROW(A410),MATCH("Req_Position",Unified_Matrix!$1:$1,0)),"")</f>
        <v/>
      </c>
      <c r="N413" s="13">
        <f t="array" ref="N413">IFERROR(INDEX(Unified_Matrix!$A:$ZZ,ROW(A410),MATCH("Req_OVR_Max",Unified_Matrix!$1:$1,0)),"")</f>
        <v/>
      </c>
      <c r="O413" s="25">
        <f t="array" ref="O413">IFERROR(INDEX(Unified_Matrix!$A:$ZZ,ROW(A410),MATCH("Req_Other",Unified_Matrix!$1:$1,0)),"")</f>
        <v/>
      </c>
    </row>
    <row r="414" ht="68.25" customHeight="1">
      <c r="H414" s="13">
        <f t="array" ref="H414">IFERROR(INDEX(Unified_Matrix!$A:$ZZ,ROW(A411),MATCH("Max "&amp;$H$3,Unified_Matrix!$1:$1,0)),"")</f>
        <v/>
      </c>
      <c r="I414" s="25">
        <f t="array" ref="I414">IFERROR(INDEX(Unified_Matrix!$A:$ZZ,ROW(A411),MATCH("Evolution_Name",Unified_Matrix!$1:$1,0)),"")</f>
        <v/>
      </c>
      <c r="J414" s="13">
        <f>IF(H414="","",IF(H414=0,"",IF(H414=$Z$32,1,IF(H414=$Z$33,2,IF(H414=$Z$34,3,"")))))</f>
        <v/>
      </c>
      <c r="K414" s="13">
        <f t="array" ref="K414">IFERROR(INDEX(Unified_Matrix!$A:$ZZ,ROW(A411),MATCH("+ OVR",Unified_Matrix!$1:$1,0)),"")</f>
        <v/>
      </c>
      <c r="L414" s="13">
        <f t="array" ref="L414">IFERROR(INDEX(Unified_Matrix!$A:$ZZ,ROW(A411),MATCH("Max OVR",Unified_Matrix!$1:$1,0)),"")</f>
        <v/>
      </c>
      <c r="M414" s="13">
        <f t="array" ref="M414">IFERROR(INDEX(Unified_Matrix!$A:$ZZ,ROW(A411),MATCH("Req_Position",Unified_Matrix!$1:$1,0)),"")</f>
        <v/>
      </c>
      <c r="N414" s="13">
        <f t="array" ref="N414">IFERROR(INDEX(Unified_Matrix!$A:$ZZ,ROW(A411),MATCH("Req_OVR_Max",Unified_Matrix!$1:$1,0)),"")</f>
        <v/>
      </c>
      <c r="O414" s="25">
        <f t="array" ref="O414">IFERROR(INDEX(Unified_Matrix!$A:$ZZ,ROW(A411),MATCH("Req_Other",Unified_Matrix!$1:$1,0)),"")</f>
        <v/>
      </c>
    </row>
    <row r="415" ht="68.25" customHeight="1">
      <c r="H415" s="13">
        <f t="array" ref="H415">IFERROR(INDEX(Unified_Matrix!$A:$ZZ,ROW(A412),MATCH("Max "&amp;$H$3,Unified_Matrix!$1:$1,0)),"")</f>
        <v/>
      </c>
      <c r="I415" s="25">
        <f t="array" ref="I415">IFERROR(INDEX(Unified_Matrix!$A:$ZZ,ROW(A412),MATCH("Evolution_Name",Unified_Matrix!$1:$1,0)),"")</f>
        <v/>
      </c>
      <c r="J415" s="13">
        <f>IF(H415="","",IF(H415=0,"",IF(H415=$Z$32,1,IF(H415=$Z$33,2,IF(H415=$Z$34,3,"")))))</f>
        <v/>
      </c>
      <c r="K415" s="13">
        <f t="array" ref="K415">IFERROR(INDEX(Unified_Matrix!$A:$ZZ,ROW(A412),MATCH("+ OVR",Unified_Matrix!$1:$1,0)),"")</f>
        <v/>
      </c>
      <c r="L415" s="13">
        <f t="array" ref="L415">IFERROR(INDEX(Unified_Matrix!$A:$ZZ,ROW(A412),MATCH("Max OVR",Unified_Matrix!$1:$1,0)),"")</f>
        <v/>
      </c>
      <c r="M415" s="13">
        <f t="array" ref="M415">IFERROR(INDEX(Unified_Matrix!$A:$ZZ,ROW(A412),MATCH("Req_Position",Unified_Matrix!$1:$1,0)),"")</f>
        <v/>
      </c>
      <c r="N415" s="13">
        <f t="array" ref="N415">IFERROR(INDEX(Unified_Matrix!$A:$ZZ,ROW(A412),MATCH("Req_OVR_Max",Unified_Matrix!$1:$1,0)),"")</f>
        <v/>
      </c>
      <c r="O415" s="25">
        <f t="array" ref="O415">IFERROR(INDEX(Unified_Matrix!$A:$ZZ,ROW(A412),MATCH("Req_Other",Unified_Matrix!$1:$1,0)),"")</f>
        <v/>
      </c>
    </row>
    <row r="416" ht="68.25" customHeight="1">
      <c r="H416" s="13">
        <f t="array" ref="H416">IFERROR(INDEX(Unified_Matrix!$A:$ZZ,ROW(A413),MATCH("Max "&amp;$H$3,Unified_Matrix!$1:$1,0)),"")</f>
        <v/>
      </c>
      <c r="I416" s="25">
        <f t="array" ref="I416">IFERROR(INDEX(Unified_Matrix!$A:$ZZ,ROW(A413),MATCH("Evolution_Name",Unified_Matrix!$1:$1,0)),"")</f>
        <v/>
      </c>
      <c r="J416" s="13">
        <f>IF(H416="","",IF(H416=0,"",IF(H416=$Z$32,1,IF(H416=$Z$33,2,IF(H416=$Z$34,3,"")))))</f>
        <v/>
      </c>
      <c r="K416" s="13">
        <f t="array" ref="K416">IFERROR(INDEX(Unified_Matrix!$A:$ZZ,ROW(A413),MATCH("+ OVR",Unified_Matrix!$1:$1,0)),"")</f>
        <v/>
      </c>
      <c r="L416" s="13">
        <f t="array" ref="L416">IFERROR(INDEX(Unified_Matrix!$A:$ZZ,ROW(A413),MATCH("Max OVR",Unified_Matrix!$1:$1,0)),"")</f>
        <v/>
      </c>
      <c r="M416" s="13">
        <f t="array" ref="M416">IFERROR(INDEX(Unified_Matrix!$A:$ZZ,ROW(A413),MATCH("Req_Position",Unified_Matrix!$1:$1,0)),"")</f>
        <v/>
      </c>
      <c r="N416" s="13">
        <f t="array" ref="N416">IFERROR(INDEX(Unified_Matrix!$A:$ZZ,ROW(A413),MATCH("Req_OVR_Max",Unified_Matrix!$1:$1,0)),"")</f>
        <v/>
      </c>
      <c r="O416" s="25">
        <f t="array" ref="O416">IFERROR(INDEX(Unified_Matrix!$A:$ZZ,ROW(A413),MATCH("Req_Other",Unified_Matrix!$1:$1,0)),"")</f>
        <v/>
      </c>
    </row>
    <row r="417" ht="68.25" customHeight="1">
      <c r="H417" s="13">
        <f t="array" ref="H417">IFERROR(INDEX(Unified_Matrix!$A:$ZZ,ROW(A414),MATCH("Max "&amp;$H$3,Unified_Matrix!$1:$1,0)),"")</f>
        <v/>
      </c>
      <c r="I417" s="25">
        <f t="array" ref="I417">IFERROR(INDEX(Unified_Matrix!$A:$ZZ,ROW(A414),MATCH("Evolution_Name",Unified_Matrix!$1:$1,0)),"")</f>
        <v/>
      </c>
      <c r="J417" s="13">
        <f>IF(H417="","",IF(H417=0,"",IF(H417=$Z$32,1,IF(H417=$Z$33,2,IF(H417=$Z$34,3,"")))))</f>
        <v/>
      </c>
      <c r="K417" s="13">
        <f t="array" ref="K417">IFERROR(INDEX(Unified_Matrix!$A:$ZZ,ROW(A414),MATCH("+ OVR",Unified_Matrix!$1:$1,0)),"")</f>
        <v/>
      </c>
      <c r="L417" s="13">
        <f t="array" ref="L417">IFERROR(INDEX(Unified_Matrix!$A:$ZZ,ROW(A414),MATCH("Max OVR",Unified_Matrix!$1:$1,0)),"")</f>
        <v/>
      </c>
      <c r="M417" s="13">
        <f t="array" ref="M417">IFERROR(INDEX(Unified_Matrix!$A:$ZZ,ROW(A414),MATCH("Req_Position",Unified_Matrix!$1:$1,0)),"")</f>
        <v/>
      </c>
      <c r="N417" s="13">
        <f t="array" ref="N417">IFERROR(INDEX(Unified_Matrix!$A:$ZZ,ROW(A414),MATCH("Req_OVR_Max",Unified_Matrix!$1:$1,0)),"")</f>
        <v/>
      </c>
      <c r="O417" s="25">
        <f t="array" ref="O417">IFERROR(INDEX(Unified_Matrix!$A:$ZZ,ROW(A414),MATCH("Req_Other",Unified_Matrix!$1:$1,0)),"")</f>
        <v/>
      </c>
    </row>
    <row r="418" ht="68.25" customHeight="1">
      <c r="H418" s="13">
        <f t="array" ref="H418">IFERROR(INDEX(Unified_Matrix!$A:$ZZ,ROW(A415),MATCH("Max "&amp;$H$3,Unified_Matrix!$1:$1,0)),"")</f>
        <v/>
      </c>
      <c r="I418" s="25">
        <f t="array" ref="I418">IFERROR(INDEX(Unified_Matrix!$A:$ZZ,ROW(A415),MATCH("Evolution_Name",Unified_Matrix!$1:$1,0)),"")</f>
        <v/>
      </c>
      <c r="J418" s="13">
        <f>IF(H418="","",IF(H418=0,"",IF(H418=$Z$32,1,IF(H418=$Z$33,2,IF(H418=$Z$34,3,"")))))</f>
        <v/>
      </c>
      <c r="K418" s="13">
        <f t="array" ref="K418">IFERROR(INDEX(Unified_Matrix!$A:$ZZ,ROW(A415),MATCH("+ OVR",Unified_Matrix!$1:$1,0)),"")</f>
        <v/>
      </c>
      <c r="L418" s="13">
        <f t="array" ref="L418">IFERROR(INDEX(Unified_Matrix!$A:$ZZ,ROW(A415),MATCH("Max OVR",Unified_Matrix!$1:$1,0)),"")</f>
        <v/>
      </c>
      <c r="M418" s="13">
        <f t="array" ref="M418">IFERROR(INDEX(Unified_Matrix!$A:$ZZ,ROW(A415),MATCH("Req_Position",Unified_Matrix!$1:$1,0)),"")</f>
        <v/>
      </c>
      <c r="N418" s="13">
        <f t="array" ref="N418">IFERROR(INDEX(Unified_Matrix!$A:$ZZ,ROW(A415),MATCH("Req_OVR_Max",Unified_Matrix!$1:$1,0)),"")</f>
        <v/>
      </c>
      <c r="O418" s="25">
        <f t="array" ref="O418">IFERROR(INDEX(Unified_Matrix!$A:$ZZ,ROW(A415),MATCH("Req_Other",Unified_Matrix!$1:$1,0)),"")</f>
        <v/>
      </c>
    </row>
    <row r="419" ht="68.25" customHeight="1">
      <c r="H419" s="13">
        <f t="array" ref="H419">IFERROR(INDEX(Unified_Matrix!$A:$ZZ,ROW(A416),MATCH("Max "&amp;$H$3,Unified_Matrix!$1:$1,0)),"")</f>
        <v/>
      </c>
      <c r="I419" s="25">
        <f t="array" ref="I419">IFERROR(INDEX(Unified_Matrix!$A:$ZZ,ROW(A416),MATCH("Evolution_Name",Unified_Matrix!$1:$1,0)),"")</f>
        <v/>
      </c>
      <c r="J419" s="13">
        <f>IF(H419="","",IF(H419=0,"",IF(H419=$Z$32,1,IF(H419=$Z$33,2,IF(H419=$Z$34,3,"")))))</f>
        <v/>
      </c>
      <c r="K419" s="13">
        <f t="array" ref="K419">IFERROR(INDEX(Unified_Matrix!$A:$ZZ,ROW(A416),MATCH("+ OVR",Unified_Matrix!$1:$1,0)),"")</f>
        <v/>
      </c>
      <c r="L419" s="13">
        <f t="array" ref="L419">IFERROR(INDEX(Unified_Matrix!$A:$ZZ,ROW(A416),MATCH("Max OVR",Unified_Matrix!$1:$1,0)),"")</f>
        <v/>
      </c>
      <c r="M419" s="13">
        <f t="array" ref="M419">IFERROR(INDEX(Unified_Matrix!$A:$ZZ,ROW(A416),MATCH("Req_Position",Unified_Matrix!$1:$1,0)),"")</f>
        <v/>
      </c>
      <c r="N419" s="13">
        <f t="array" ref="N419">IFERROR(INDEX(Unified_Matrix!$A:$ZZ,ROW(A416),MATCH("Req_OVR_Max",Unified_Matrix!$1:$1,0)),"")</f>
        <v/>
      </c>
      <c r="O419" s="25">
        <f t="array" ref="O419">IFERROR(INDEX(Unified_Matrix!$A:$ZZ,ROW(A416),MATCH("Req_Other",Unified_Matrix!$1:$1,0)),"")</f>
        <v/>
      </c>
    </row>
    <row r="420" ht="68.25" customHeight="1">
      <c r="H420" s="13">
        <f t="array" ref="H420">IFERROR(INDEX(Unified_Matrix!$A:$ZZ,ROW(A417),MATCH("Max "&amp;$H$3,Unified_Matrix!$1:$1,0)),"")</f>
        <v/>
      </c>
      <c r="I420" s="25">
        <f t="array" ref="I420">IFERROR(INDEX(Unified_Matrix!$A:$ZZ,ROW(A417),MATCH("Evolution_Name",Unified_Matrix!$1:$1,0)),"")</f>
        <v/>
      </c>
      <c r="J420" s="13">
        <f>IF(H420="","",IF(H420=0,"",IF(H420=$Z$32,1,IF(H420=$Z$33,2,IF(H420=$Z$34,3,"")))))</f>
        <v/>
      </c>
      <c r="K420" s="13">
        <f t="array" ref="K420">IFERROR(INDEX(Unified_Matrix!$A:$ZZ,ROW(A417),MATCH("+ OVR",Unified_Matrix!$1:$1,0)),"")</f>
        <v/>
      </c>
      <c r="L420" s="13">
        <f t="array" ref="L420">IFERROR(INDEX(Unified_Matrix!$A:$ZZ,ROW(A417),MATCH("Max OVR",Unified_Matrix!$1:$1,0)),"")</f>
        <v/>
      </c>
      <c r="M420" s="13">
        <f t="array" ref="M420">IFERROR(INDEX(Unified_Matrix!$A:$ZZ,ROW(A417),MATCH("Req_Position",Unified_Matrix!$1:$1,0)),"")</f>
        <v/>
      </c>
      <c r="N420" s="13">
        <f t="array" ref="N420">IFERROR(INDEX(Unified_Matrix!$A:$ZZ,ROW(A417),MATCH("Req_OVR_Max",Unified_Matrix!$1:$1,0)),"")</f>
        <v/>
      </c>
      <c r="O420" s="25">
        <f t="array" ref="O420">IFERROR(INDEX(Unified_Matrix!$A:$ZZ,ROW(A417),MATCH("Req_Other",Unified_Matrix!$1:$1,0)),"")</f>
        <v/>
      </c>
    </row>
    <row r="421" ht="68.25" customHeight="1">
      <c r="H421" s="13">
        <f t="array" ref="H421">IFERROR(INDEX(Unified_Matrix!$A:$ZZ,ROW(A418),MATCH("Max "&amp;$H$3,Unified_Matrix!$1:$1,0)),"")</f>
        <v/>
      </c>
      <c r="I421" s="25">
        <f t="array" ref="I421">IFERROR(INDEX(Unified_Matrix!$A:$ZZ,ROW(A418),MATCH("Evolution_Name",Unified_Matrix!$1:$1,0)),"")</f>
        <v/>
      </c>
      <c r="J421" s="13">
        <f>IF(H421="","",IF(H421=0,"",IF(H421=$Z$32,1,IF(H421=$Z$33,2,IF(H421=$Z$34,3,"")))))</f>
        <v/>
      </c>
      <c r="K421" s="13">
        <f t="array" ref="K421">IFERROR(INDEX(Unified_Matrix!$A:$ZZ,ROW(A418),MATCH("+ OVR",Unified_Matrix!$1:$1,0)),"")</f>
        <v/>
      </c>
      <c r="L421" s="13">
        <f t="array" ref="L421">IFERROR(INDEX(Unified_Matrix!$A:$ZZ,ROW(A418),MATCH("Max OVR",Unified_Matrix!$1:$1,0)),"")</f>
        <v/>
      </c>
      <c r="M421" s="13">
        <f t="array" ref="M421">IFERROR(INDEX(Unified_Matrix!$A:$ZZ,ROW(A418),MATCH("Req_Position",Unified_Matrix!$1:$1,0)),"")</f>
        <v/>
      </c>
      <c r="N421" s="13">
        <f t="array" ref="N421">IFERROR(INDEX(Unified_Matrix!$A:$ZZ,ROW(A418),MATCH("Req_OVR_Max",Unified_Matrix!$1:$1,0)),"")</f>
        <v/>
      </c>
      <c r="O421" s="25">
        <f t="array" ref="O421">IFERROR(INDEX(Unified_Matrix!$A:$ZZ,ROW(A418),MATCH("Req_Other",Unified_Matrix!$1:$1,0)),"")</f>
        <v/>
      </c>
    </row>
    <row r="422" ht="68.25" customHeight="1">
      <c r="H422" s="13">
        <f t="array" ref="H422">IFERROR(INDEX(Unified_Matrix!$A:$ZZ,ROW(A419),MATCH("Max "&amp;$H$3,Unified_Matrix!$1:$1,0)),"")</f>
        <v/>
      </c>
      <c r="I422" s="25">
        <f t="array" ref="I422">IFERROR(INDEX(Unified_Matrix!$A:$ZZ,ROW(A419),MATCH("Evolution_Name",Unified_Matrix!$1:$1,0)),"")</f>
        <v/>
      </c>
      <c r="J422" s="13">
        <f>IF(H422="","",IF(H422=0,"",IF(H422=$Z$32,1,IF(H422=$Z$33,2,IF(H422=$Z$34,3,"")))))</f>
        <v/>
      </c>
      <c r="K422" s="13">
        <f t="array" ref="K422">IFERROR(INDEX(Unified_Matrix!$A:$ZZ,ROW(A419),MATCH("+ OVR",Unified_Matrix!$1:$1,0)),"")</f>
        <v/>
      </c>
      <c r="L422" s="13">
        <f t="array" ref="L422">IFERROR(INDEX(Unified_Matrix!$A:$ZZ,ROW(A419),MATCH("Max OVR",Unified_Matrix!$1:$1,0)),"")</f>
        <v/>
      </c>
      <c r="M422" s="13">
        <f t="array" ref="M422">IFERROR(INDEX(Unified_Matrix!$A:$ZZ,ROW(A419),MATCH("Req_Position",Unified_Matrix!$1:$1,0)),"")</f>
        <v/>
      </c>
      <c r="N422" s="13">
        <f t="array" ref="N422">IFERROR(INDEX(Unified_Matrix!$A:$ZZ,ROW(A419),MATCH("Req_OVR_Max",Unified_Matrix!$1:$1,0)),"")</f>
        <v/>
      </c>
      <c r="O422" s="25">
        <f t="array" ref="O422">IFERROR(INDEX(Unified_Matrix!$A:$ZZ,ROW(A419),MATCH("Req_Other",Unified_Matrix!$1:$1,0)),"")</f>
        <v/>
      </c>
    </row>
    <row r="423" ht="68.25" customHeight="1">
      <c r="H423" s="13">
        <f t="array" ref="H423">IFERROR(INDEX(Unified_Matrix!$A:$ZZ,ROW(A420),MATCH("Max "&amp;$H$3,Unified_Matrix!$1:$1,0)),"")</f>
        <v/>
      </c>
      <c r="I423" s="25">
        <f t="array" ref="I423">IFERROR(INDEX(Unified_Matrix!$A:$ZZ,ROW(A420),MATCH("Evolution_Name",Unified_Matrix!$1:$1,0)),"")</f>
        <v/>
      </c>
      <c r="J423" s="13">
        <f>IF(H423="","",IF(H423=0,"",IF(H423=$Z$32,1,IF(H423=$Z$33,2,IF(H423=$Z$34,3,"")))))</f>
        <v/>
      </c>
      <c r="K423" s="13">
        <f t="array" ref="K423">IFERROR(INDEX(Unified_Matrix!$A:$ZZ,ROW(A420),MATCH("+ OVR",Unified_Matrix!$1:$1,0)),"")</f>
        <v/>
      </c>
      <c r="L423" s="13">
        <f t="array" ref="L423">IFERROR(INDEX(Unified_Matrix!$A:$ZZ,ROW(A420),MATCH("Max OVR",Unified_Matrix!$1:$1,0)),"")</f>
        <v/>
      </c>
      <c r="M423" s="13">
        <f t="array" ref="M423">IFERROR(INDEX(Unified_Matrix!$A:$ZZ,ROW(A420),MATCH("Req_Position",Unified_Matrix!$1:$1,0)),"")</f>
        <v/>
      </c>
      <c r="N423" s="13">
        <f t="array" ref="N423">IFERROR(INDEX(Unified_Matrix!$A:$ZZ,ROW(A420),MATCH("Req_OVR_Max",Unified_Matrix!$1:$1,0)),"")</f>
        <v/>
      </c>
      <c r="O423" s="25">
        <f t="array" ref="O423">IFERROR(INDEX(Unified_Matrix!$A:$ZZ,ROW(A420),MATCH("Req_Other",Unified_Matrix!$1:$1,0)),"")</f>
        <v/>
      </c>
    </row>
    <row r="424" ht="68.25" customHeight="1">
      <c r="H424" s="13">
        <f t="array" ref="H424">IFERROR(INDEX(Unified_Matrix!$A:$ZZ,ROW(A421),MATCH("Max "&amp;$H$3,Unified_Matrix!$1:$1,0)),"")</f>
        <v/>
      </c>
      <c r="I424" s="25">
        <f t="array" ref="I424">IFERROR(INDEX(Unified_Matrix!$A:$ZZ,ROW(A421),MATCH("Evolution_Name",Unified_Matrix!$1:$1,0)),"")</f>
        <v/>
      </c>
      <c r="J424" s="13">
        <f>IF(H424="","",IF(H424=0,"",IF(H424=$Z$32,1,IF(H424=$Z$33,2,IF(H424=$Z$34,3,"")))))</f>
        <v/>
      </c>
      <c r="K424" s="13">
        <f t="array" ref="K424">IFERROR(INDEX(Unified_Matrix!$A:$ZZ,ROW(A421),MATCH("+ OVR",Unified_Matrix!$1:$1,0)),"")</f>
        <v/>
      </c>
      <c r="L424" s="13">
        <f t="array" ref="L424">IFERROR(INDEX(Unified_Matrix!$A:$ZZ,ROW(A421),MATCH("Max OVR",Unified_Matrix!$1:$1,0)),"")</f>
        <v/>
      </c>
      <c r="M424" s="13">
        <f t="array" ref="M424">IFERROR(INDEX(Unified_Matrix!$A:$ZZ,ROW(A421),MATCH("Req_Position",Unified_Matrix!$1:$1,0)),"")</f>
        <v/>
      </c>
      <c r="N424" s="13">
        <f t="array" ref="N424">IFERROR(INDEX(Unified_Matrix!$A:$ZZ,ROW(A421),MATCH("Req_OVR_Max",Unified_Matrix!$1:$1,0)),"")</f>
        <v/>
      </c>
      <c r="O424" s="25">
        <f t="array" ref="O424">IFERROR(INDEX(Unified_Matrix!$A:$ZZ,ROW(A421),MATCH("Req_Other",Unified_Matrix!$1:$1,0)),"")</f>
        <v/>
      </c>
    </row>
    <row r="425" ht="68.25" customHeight="1">
      <c r="H425" s="13">
        <f t="array" ref="H425">IFERROR(INDEX(Unified_Matrix!$A:$ZZ,ROW(A422),MATCH("Max "&amp;$H$3,Unified_Matrix!$1:$1,0)),"")</f>
        <v/>
      </c>
      <c r="I425" s="25">
        <f t="array" ref="I425">IFERROR(INDEX(Unified_Matrix!$A:$ZZ,ROW(A422),MATCH("Evolution_Name",Unified_Matrix!$1:$1,0)),"")</f>
        <v/>
      </c>
      <c r="J425" s="13">
        <f>IF(H425="","",IF(H425=0,"",IF(H425=$Z$32,1,IF(H425=$Z$33,2,IF(H425=$Z$34,3,"")))))</f>
        <v/>
      </c>
      <c r="K425" s="13">
        <f t="array" ref="K425">IFERROR(INDEX(Unified_Matrix!$A:$ZZ,ROW(A422),MATCH("+ OVR",Unified_Matrix!$1:$1,0)),"")</f>
        <v/>
      </c>
      <c r="L425" s="13">
        <f t="array" ref="L425">IFERROR(INDEX(Unified_Matrix!$A:$ZZ,ROW(A422),MATCH("Max OVR",Unified_Matrix!$1:$1,0)),"")</f>
        <v/>
      </c>
      <c r="M425" s="13">
        <f t="array" ref="M425">IFERROR(INDEX(Unified_Matrix!$A:$ZZ,ROW(A422),MATCH("Req_Position",Unified_Matrix!$1:$1,0)),"")</f>
        <v/>
      </c>
      <c r="N425" s="13">
        <f t="array" ref="N425">IFERROR(INDEX(Unified_Matrix!$A:$ZZ,ROW(A422),MATCH("Req_OVR_Max",Unified_Matrix!$1:$1,0)),"")</f>
        <v/>
      </c>
      <c r="O425" s="25">
        <f t="array" ref="O425">IFERROR(INDEX(Unified_Matrix!$A:$ZZ,ROW(A422),MATCH("Req_Other",Unified_Matrix!$1:$1,0)),"")</f>
        <v/>
      </c>
    </row>
    <row r="426" ht="68.25" customHeight="1">
      <c r="H426" s="13">
        <f t="array" ref="H426">IFERROR(INDEX(Unified_Matrix!$A:$ZZ,ROW(A423),MATCH("Max "&amp;$H$3,Unified_Matrix!$1:$1,0)),"")</f>
        <v/>
      </c>
      <c r="I426" s="25">
        <f t="array" ref="I426">IFERROR(INDEX(Unified_Matrix!$A:$ZZ,ROW(A423),MATCH("Evolution_Name",Unified_Matrix!$1:$1,0)),"")</f>
        <v/>
      </c>
      <c r="J426" s="13">
        <f>IF(H426="","",IF(H426=0,"",IF(H426=$Z$32,1,IF(H426=$Z$33,2,IF(H426=$Z$34,3,"")))))</f>
        <v/>
      </c>
      <c r="K426" s="13">
        <f t="array" ref="K426">IFERROR(INDEX(Unified_Matrix!$A:$ZZ,ROW(A423),MATCH("+ OVR",Unified_Matrix!$1:$1,0)),"")</f>
        <v/>
      </c>
      <c r="L426" s="13">
        <f t="array" ref="L426">IFERROR(INDEX(Unified_Matrix!$A:$ZZ,ROW(A423),MATCH("Max OVR",Unified_Matrix!$1:$1,0)),"")</f>
        <v/>
      </c>
      <c r="M426" s="13">
        <f t="array" ref="M426">IFERROR(INDEX(Unified_Matrix!$A:$ZZ,ROW(A423),MATCH("Req_Position",Unified_Matrix!$1:$1,0)),"")</f>
        <v/>
      </c>
      <c r="N426" s="13">
        <f t="array" ref="N426">IFERROR(INDEX(Unified_Matrix!$A:$ZZ,ROW(A423),MATCH("Req_OVR_Max",Unified_Matrix!$1:$1,0)),"")</f>
        <v/>
      </c>
      <c r="O426" s="25">
        <f t="array" ref="O426">IFERROR(INDEX(Unified_Matrix!$A:$ZZ,ROW(A423),MATCH("Req_Other",Unified_Matrix!$1:$1,0)),"")</f>
        <v/>
      </c>
    </row>
    <row r="427" ht="68.25" customHeight="1">
      <c r="H427" s="13">
        <f t="array" ref="H427">IFERROR(INDEX(Unified_Matrix!$A:$ZZ,ROW(A424),MATCH("Max "&amp;$H$3,Unified_Matrix!$1:$1,0)),"")</f>
        <v/>
      </c>
      <c r="I427" s="25">
        <f t="array" ref="I427">IFERROR(INDEX(Unified_Matrix!$A:$ZZ,ROW(A424),MATCH("Evolution_Name",Unified_Matrix!$1:$1,0)),"")</f>
        <v/>
      </c>
      <c r="J427" s="13">
        <f>IF(H427="","",IF(H427=0,"",IF(H427=$Z$32,1,IF(H427=$Z$33,2,IF(H427=$Z$34,3,"")))))</f>
        <v/>
      </c>
      <c r="K427" s="13">
        <f t="array" ref="K427">IFERROR(INDEX(Unified_Matrix!$A:$ZZ,ROW(A424),MATCH("+ OVR",Unified_Matrix!$1:$1,0)),"")</f>
        <v/>
      </c>
      <c r="L427" s="13">
        <f t="array" ref="L427">IFERROR(INDEX(Unified_Matrix!$A:$ZZ,ROW(A424),MATCH("Max OVR",Unified_Matrix!$1:$1,0)),"")</f>
        <v/>
      </c>
      <c r="M427" s="13">
        <f t="array" ref="M427">IFERROR(INDEX(Unified_Matrix!$A:$ZZ,ROW(A424),MATCH("Req_Position",Unified_Matrix!$1:$1,0)),"")</f>
        <v/>
      </c>
      <c r="N427" s="13">
        <f t="array" ref="N427">IFERROR(INDEX(Unified_Matrix!$A:$ZZ,ROW(A424),MATCH("Req_OVR_Max",Unified_Matrix!$1:$1,0)),"")</f>
        <v/>
      </c>
      <c r="O427" s="25">
        <f t="array" ref="O427">IFERROR(INDEX(Unified_Matrix!$A:$ZZ,ROW(A424),MATCH("Req_Other",Unified_Matrix!$1:$1,0)),"")</f>
        <v/>
      </c>
    </row>
    <row r="428" ht="68.25" customHeight="1">
      <c r="H428" s="13">
        <f t="array" ref="H428">IFERROR(INDEX(Unified_Matrix!$A:$ZZ,ROW(A425),MATCH("Max "&amp;$H$3,Unified_Matrix!$1:$1,0)),"")</f>
        <v/>
      </c>
      <c r="I428" s="25">
        <f t="array" ref="I428">IFERROR(INDEX(Unified_Matrix!$A:$ZZ,ROW(A425),MATCH("Evolution_Name",Unified_Matrix!$1:$1,0)),"")</f>
        <v/>
      </c>
      <c r="J428" s="13">
        <f>IF(H428="","",IF(H428=0,"",IF(H428=$Z$32,1,IF(H428=$Z$33,2,IF(H428=$Z$34,3,"")))))</f>
        <v/>
      </c>
      <c r="K428" s="13">
        <f t="array" ref="K428">IFERROR(INDEX(Unified_Matrix!$A:$ZZ,ROW(A425),MATCH("+ OVR",Unified_Matrix!$1:$1,0)),"")</f>
        <v/>
      </c>
      <c r="L428" s="13">
        <f t="array" ref="L428">IFERROR(INDEX(Unified_Matrix!$A:$ZZ,ROW(A425),MATCH("Max OVR",Unified_Matrix!$1:$1,0)),"")</f>
        <v/>
      </c>
      <c r="M428" s="13">
        <f t="array" ref="M428">IFERROR(INDEX(Unified_Matrix!$A:$ZZ,ROW(A425),MATCH("Req_Position",Unified_Matrix!$1:$1,0)),"")</f>
        <v/>
      </c>
      <c r="N428" s="13">
        <f t="array" ref="N428">IFERROR(INDEX(Unified_Matrix!$A:$ZZ,ROW(A425),MATCH("Req_OVR_Max",Unified_Matrix!$1:$1,0)),"")</f>
        <v/>
      </c>
      <c r="O428" s="25">
        <f t="array" ref="O428">IFERROR(INDEX(Unified_Matrix!$A:$ZZ,ROW(A425),MATCH("Req_Other",Unified_Matrix!$1:$1,0)),"")</f>
        <v/>
      </c>
    </row>
    <row r="429" ht="68.25" customHeight="1">
      <c r="H429" s="13">
        <f t="array" ref="H429">IFERROR(INDEX(Unified_Matrix!$A:$ZZ,ROW(A426),MATCH("Max "&amp;$H$3,Unified_Matrix!$1:$1,0)),"")</f>
        <v/>
      </c>
      <c r="I429" s="25">
        <f t="array" ref="I429">IFERROR(INDEX(Unified_Matrix!$A:$ZZ,ROW(A426),MATCH("Evolution_Name",Unified_Matrix!$1:$1,0)),"")</f>
        <v/>
      </c>
      <c r="J429" s="13">
        <f>IF(H429="","",IF(H429=0,"",IF(H429=$Z$32,1,IF(H429=$Z$33,2,IF(H429=$Z$34,3,"")))))</f>
        <v/>
      </c>
      <c r="K429" s="13">
        <f t="array" ref="K429">IFERROR(INDEX(Unified_Matrix!$A:$ZZ,ROW(A426),MATCH("+ OVR",Unified_Matrix!$1:$1,0)),"")</f>
        <v/>
      </c>
      <c r="L429" s="13">
        <f t="array" ref="L429">IFERROR(INDEX(Unified_Matrix!$A:$ZZ,ROW(A426),MATCH("Max OVR",Unified_Matrix!$1:$1,0)),"")</f>
        <v/>
      </c>
      <c r="M429" s="13">
        <f t="array" ref="M429">IFERROR(INDEX(Unified_Matrix!$A:$ZZ,ROW(A426),MATCH("Req_Position",Unified_Matrix!$1:$1,0)),"")</f>
        <v/>
      </c>
      <c r="N429" s="13">
        <f t="array" ref="N429">IFERROR(INDEX(Unified_Matrix!$A:$ZZ,ROW(A426),MATCH("Req_OVR_Max",Unified_Matrix!$1:$1,0)),"")</f>
        <v/>
      </c>
      <c r="O429" s="25">
        <f t="array" ref="O429">IFERROR(INDEX(Unified_Matrix!$A:$ZZ,ROW(A426),MATCH("Req_Other",Unified_Matrix!$1:$1,0)),"")</f>
        <v/>
      </c>
    </row>
    <row r="430" ht="68.25" customHeight="1">
      <c r="H430" s="13">
        <f t="array" ref="H430">IFERROR(INDEX(Unified_Matrix!$A:$ZZ,ROW(A427),MATCH("Max "&amp;$H$3,Unified_Matrix!$1:$1,0)),"")</f>
        <v/>
      </c>
      <c r="I430" s="25">
        <f t="array" ref="I430">IFERROR(INDEX(Unified_Matrix!$A:$ZZ,ROW(A427),MATCH("Evolution_Name",Unified_Matrix!$1:$1,0)),"")</f>
        <v/>
      </c>
      <c r="J430" s="13">
        <f>IF(H430="","",IF(H430=0,"",IF(H430=$Z$32,1,IF(H430=$Z$33,2,IF(H430=$Z$34,3,"")))))</f>
        <v/>
      </c>
      <c r="K430" s="13">
        <f t="array" ref="K430">IFERROR(INDEX(Unified_Matrix!$A:$ZZ,ROW(A427),MATCH("+ OVR",Unified_Matrix!$1:$1,0)),"")</f>
        <v/>
      </c>
      <c r="L430" s="13">
        <f t="array" ref="L430">IFERROR(INDEX(Unified_Matrix!$A:$ZZ,ROW(A427),MATCH("Max OVR",Unified_Matrix!$1:$1,0)),"")</f>
        <v/>
      </c>
      <c r="M430" s="13">
        <f t="array" ref="M430">IFERROR(INDEX(Unified_Matrix!$A:$ZZ,ROW(A427),MATCH("Req_Position",Unified_Matrix!$1:$1,0)),"")</f>
        <v/>
      </c>
      <c r="N430" s="13">
        <f t="array" ref="N430">IFERROR(INDEX(Unified_Matrix!$A:$ZZ,ROW(A427),MATCH("Req_OVR_Max",Unified_Matrix!$1:$1,0)),"")</f>
        <v/>
      </c>
      <c r="O430" s="25">
        <f t="array" ref="O430">IFERROR(INDEX(Unified_Matrix!$A:$ZZ,ROW(A427),MATCH("Req_Other",Unified_Matrix!$1:$1,0)),"")</f>
        <v/>
      </c>
    </row>
    <row r="431" ht="68.25" customHeight="1">
      <c r="H431" s="13">
        <f t="array" ref="H431">IFERROR(INDEX(Unified_Matrix!$A:$ZZ,ROW(A428),MATCH("Max "&amp;$H$3,Unified_Matrix!$1:$1,0)),"")</f>
        <v/>
      </c>
      <c r="I431" s="25">
        <f t="array" ref="I431">IFERROR(INDEX(Unified_Matrix!$A:$ZZ,ROW(A428),MATCH("Evolution_Name",Unified_Matrix!$1:$1,0)),"")</f>
        <v/>
      </c>
      <c r="J431" s="13">
        <f>IF(H431="","",IF(H431=0,"",IF(H431=$Z$32,1,IF(H431=$Z$33,2,IF(H431=$Z$34,3,"")))))</f>
        <v/>
      </c>
      <c r="K431" s="13">
        <f t="array" ref="K431">IFERROR(INDEX(Unified_Matrix!$A:$ZZ,ROW(A428),MATCH("+ OVR",Unified_Matrix!$1:$1,0)),"")</f>
        <v/>
      </c>
      <c r="L431" s="13">
        <f t="array" ref="L431">IFERROR(INDEX(Unified_Matrix!$A:$ZZ,ROW(A428),MATCH("Max OVR",Unified_Matrix!$1:$1,0)),"")</f>
        <v/>
      </c>
      <c r="M431" s="13">
        <f t="array" ref="M431">IFERROR(INDEX(Unified_Matrix!$A:$ZZ,ROW(A428),MATCH("Req_Position",Unified_Matrix!$1:$1,0)),"")</f>
        <v/>
      </c>
      <c r="N431" s="13">
        <f t="array" ref="N431">IFERROR(INDEX(Unified_Matrix!$A:$ZZ,ROW(A428),MATCH("Req_OVR_Max",Unified_Matrix!$1:$1,0)),"")</f>
        <v/>
      </c>
      <c r="O431" s="25">
        <f t="array" ref="O431">IFERROR(INDEX(Unified_Matrix!$A:$ZZ,ROW(A428),MATCH("Req_Other",Unified_Matrix!$1:$1,0)),"")</f>
        <v/>
      </c>
    </row>
    <row r="432" ht="68.25" customHeight="1">
      <c r="H432" s="13">
        <f t="array" ref="H432">IFERROR(INDEX(Unified_Matrix!$A:$ZZ,ROW(A429),MATCH("Max "&amp;$H$3,Unified_Matrix!$1:$1,0)),"")</f>
        <v/>
      </c>
      <c r="I432" s="25">
        <f t="array" ref="I432">IFERROR(INDEX(Unified_Matrix!$A:$ZZ,ROW(A429),MATCH("Evolution_Name",Unified_Matrix!$1:$1,0)),"")</f>
        <v/>
      </c>
      <c r="J432" s="13">
        <f>IF(H432="","",IF(H432=0,"",IF(H432=$Z$32,1,IF(H432=$Z$33,2,IF(H432=$Z$34,3,"")))))</f>
        <v/>
      </c>
      <c r="K432" s="13">
        <f t="array" ref="K432">IFERROR(INDEX(Unified_Matrix!$A:$ZZ,ROW(A429),MATCH("+ OVR",Unified_Matrix!$1:$1,0)),"")</f>
        <v/>
      </c>
      <c r="L432" s="13">
        <f t="array" ref="L432">IFERROR(INDEX(Unified_Matrix!$A:$ZZ,ROW(A429),MATCH("Max OVR",Unified_Matrix!$1:$1,0)),"")</f>
        <v/>
      </c>
      <c r="M432" s="13">
        <f t="array" ref="M432">IFERROR(INDEX(Unified_Matrix!$A:$ZZ,ROW(A429),MATCH("Req_Position",Unified_Matrix!$1:$1,0)),"")</f>
        <v/>
      </c>
      <c r="N432" s="13">
        <f t="array" ref="N432">IFERROR(INDEX(Unified_Matrix!$A:$ZZ,ROW(A429),MATCH("Req_OVR_Max",Unified_Matrix!$1:$1,0)),"")</f>
        <v/>
      </c>
      <c r="O432" s="25">
        <f t="array" ref="O432">IFERROR(INDEX(Unified_Matrix!$A:$ZZ,ROW(A429),MATCH("Req_Other",Unified_Matrix!$1:$1,0)),"")</f>
        <v/>
      </c>
    </row>
    <row r="433" ht="68.25" customHeight="1">
      <c r="H433" s="13">
        <f t="array" ref="H433">IFERROR(INDEX(Unified_Matrix!$A:$ZZ,ROW(A430),MATCH("Max "&amp;$H$3,Unified_Matrix!$1:$1,0)),"")</f>
        <v/>
      </c>
      <c r="I433" s="25">
        <f t="array" ref="I433">IFERROR(INDEX(Unified_Matrix!$A:$ZZ,ROW(A430),MATCH("Evolution_Name",Unified_Matrix!$1:$1,0)),"")</f>
        <v/>
      </c>
      <c r="J433" s="13">
        <f>IF(H433="","",IF(H433=0,"",IF(H433=$Z$32,1,IF(H433=$Z$33,2,IF(H433=$Z$34,3,"")))))</f>
        <v/>
      </c>
      <c r="K433" s="13">
        <f t="array" ref="K433">IFERROR(INDEX(Unified_Matrix!$A:$ZZ,ROW(A430),MATCH("+ OVR",Unified_Matrix!$1:$1,0)),"")</f>
        <v/>
      </c>
      <c r="L433" s="13">
        <f t="array" ref="L433">IFERROR(INDEX(Unified_Matrix!$A:$ZZ,ROW(A430),MATCH("Max OVR",Unified_Matrix!$1:$1,0)),"")</f>
        <v/>
      </c>
      <c r="M433" s="13">
        <f t="array" ref="M433">IFERROR(INDEX(Unified_Matrix!$A:$ZZ,ROW(A430),MATCH("Req_Position",Unified_Matrix!$1:$1,0)),"")</f>
        <v/>
      </c>
      <c r="N433" s="13">
        <f t="array" ref="N433">IFERROR(INDEX(Unified_Matrix!$A:$ZZ,ROW(A430),MATCH("Req_OVR_Max",Unified_Matrix!$1:$1,0)),"")</f>
        <v/>
      </c>
      <c r="O433" s="25">
        <f t="array" ref="O433">IFERROR(INDEX(Unified_Matrix!$A:$ZZ,ROW(A430),MATCH("Req_Other",Unified_Matrix!$1:$1,0)),"")</f>
        <v/>
      </c>
    </row>
    <row r="434" ht="68.25" customHeight="1">
      <c r="H434" s="13">
        <f t="array" ref="H434">IFERROR(INDEX(Unified_Matrix!$A:$ZZ,ROW(A431),MATCH("Max "&amp;$H$3,Unified_Matrix!$1:$1,0)),"")</f>
        <v/>
      </c>
      <c r="I434" s="25">
        <f t="array" ref="I434">IFERROR(INDEX(Unified_Matrix!$A:$ZZ,ROW(A431),MATCH("Evolution_Name",Unified_Matrix!$1:$1,0)),"")</f>
        <v/>
      </c>
      <c r="J434" s="13">
        <f>IF(H434="","",IF(H434=0,"",IF(H434=$Z$32,1,IF(H434=$Z$33,2,IF(H434=$Z$34,3,"")))))</f>
        <v/>
      </c>
      <c r="K434" s="13">
        <f t="array" ref="K434">IFERROR(INDEX(Unified_Matrix!$A:$ZZ,ROW(A431),MATCH("+ OVR",Unified_Matrix!$1:$1,0)),"")</f>
        <v/>
      </c>
      <c r="L434" s="13">
        <f t="array" ref="L434">IFERROR(INDEX(Unified_Matrix!$A:$ZZ,ROW(A431),MATCH("Max OVR",Unified_Matrix!$1:$1,0)),"")</f>
        <v/>
      </c>
      <c r="M434" s="13">
        <f t="array" ref="M434">IFERROR(INDEX(Unified_Matrix!$A:$ZZ,ROW(A431),MATCH("Req_Position",Unified_Matrix!$1:$1,0)),"")</f>
        <v/>
      </c>
      <c r="N434" s="13">
        <f t="array" ref="N434">IFERROR(INDEX(Unified_Matrix!$A:$ZZ,ROW(A431),MATCH("Req_OVR_Max",Unified_Matrix!$1:$1,0)),"")</f>
        <v/>
      </c>
      <c r="O434" s="25">
        <f t="array" ref="O434">IFERROR(INDEX(Unified_Matrix!$A:$ZZ,ROW(A431),MATCH("Req_Other",Unified_Matrix!$1:$1,0)),"")</f>
        <v/>
      </c>
    </row>
    <row r="435" ht="68.25" customHeight="1">
      <c r="H435" s="13">
        <f t="array" ref="H435">IFERROR(INDEX(Unified_Matrix!$A:$ZZ,ROW(A432),MATCH("Max "&amp;$H$3,Unified_Matrix!$1:$1,0)),"")</f>
        <v/>
      </c>
      <c r="I435" s="25">
        <f t="array" ref="I435">IFERROR(INDEX(Unified_Matrix!$A:$ZZ,ROW(A432),MATCH("Evolution_Name",Unified_Matrix!$1:$1,0)),"")</f>
        <v/>
      </c>
      <c r="J435" s="13">
        <f>IF(H435="","",IF(H435=0,"",IF(H435=$Z$32,1,IF(H435=$Z$33,2,IF(H435=$Z$34,3,"")))))</f>
        <v/>
      </c>
      <c r="K435" s="13">
        <f t="array" ref="K435">IFERROR(INDEX(Unified_Matrix!$A:$ZZ,ROW(A432),MATCH("+ OVR",Unified_Matrix!$1:$1,0)),"")</f>
        <v/>
      </c>
      <c r="L435" s="13">
        <f t="array" ref="L435">IFERROR(INDEX(Unified_Matrix!$A:$ZZ,ROW(A432),MATCH("Max OVR",Unified_Matrix!$1:$1,0)),"")</f>
        <v/>
      </c>
      <c r="M435" s="13">
        <f t="array" ref="M435">IFERROR(INDEX(Unified_Matrix!$A:$ZZ,ROW(A432),MATCH("Req_Position",Unified_Matrix!$1:$1,0)),"")</f>
        <v/>
      </c>
      <c r="N435" s="13">
        <f t="array" ref="N435">IFERROR(INDEX(Unified_Matrix!$A:$ZZ,ROW(A432),MATCH("Req_OVR_Max",Unified_Matrix!$1:$1,0)),"")</f>
        <v/>
      </c>
      <c r="O435" s="25">
        <f t="array" ref="O435">IFERROR(INDEX(Unified_Matrix!$A:$ZZ,ROW(A432),MATCH("Req_Other",Unified_Matrix!$1:$1,0)),"")</f>
        <v/>
      </c>
    </row>
    <row r="436" ht="68.25" customHeight="1">
      <c r="H436" s="13">
        <f t="array" ref="H436">IFERROR(INDEX(Unified_Matrix!$A:$ZZ,ROW(A433),MATCH("Max "&amp;$H$3,Unified_Matrix!$1:$1,0)),"")</f>
        <v/>
      </c>
      <c r="I436" s="25">
        <f t="array" ref="I436">IFERROR(INDEX(Unified_Matrix!$A:$ZZ,ROW(A433),MATCH("Evolution_Name",Unified_Matrix!$1:$1,0)),"")</f>
        <v/>
      </c>
      <c r="J436" s="13">
        <f>IF(H436="","",IF(H436=0,"",IF(H436=$Z$32,1,IF(H436=$Z$33,2,IF(H436=$Z$34,3,"")))))</f>
        <v/>
      </c>
      <c r="K436" s="13">
        <f t="array" ref="K436">IFERROR(INDEX(Unified_Matrix!$A:$ZZ,ROW(A433),MATCH("+ OVR",Unified_Matrix!$1:$1,0)),"")</f>
        <v/>
      </c>
      <c r="L436" s="13">
        <f t="array" ref="L436">IFERROR(INDEX(Unified_Matrix!$A:$ZZ,ROW(A433),MATCH("Max OVR",Unified_Matrix!$1:$1,0)),"")</f>
        <v/>
      </c>
      <c r="M436" s="13">
        <f t="array" ref="M436">IFERROR(INDEX(Unified_Matrix!$A:$ZZ,ROW(A433),MATCH("Req_Position",Unified_Matrix!$1:$1,0)),"")</f>
        <v/>
      </c>
      <c r="N436" s="13">
        <f t="array" ref="N436">IFERROR(INDEX(Unified_Matrix!$A:$ZZ,ROW(A433),MATCH("Req_OVR_Max",Unified_Matrix!$1:$1,0)),"")</f>
        <v/>
      </c>
      <c r="O436" s="25">
        <f t="array" ref="O436">IFERROR(INDEX(Unified_Matrix!$A:$ZZ,ROW(A433),MATCH("Req_Other",Unified_Matrix!$1:$1,0)),"")</f>
        <v/>
      </c>
    </row>
    <row r="437" ht="68.25" customHeight="1">
      <c r="H437" s="13">
        <f t="array" ref="H437">IFERROR(INDEX(Unified_Matrix!$A:$ZZ,ROW(A434),MATCH("Max "&amp;$H$3,Unified_Matrix!$1:$1,0)),"")</f>
        <v/>
      </c>
      <c r="I437" s="25">
        <f t="array" ref="I437">IFERROR(INDEX(Unified_Matrix!$A:$ZZ,ROW(A434),MATCH("Evolution_Name",Unified_Matrix!$1:$1,0)),"")</f>
        <v/>
      </c>
      <c r="J437" s="13">
        <f>IF(H437="","",IF(H437=0,"",IF(H437=$Z$32,1,IF(H437=$Z$33,2,IF(H437=$Z$34,3,"")))))</f>
        <v/>
      </c>
      <c r="K437" s="13">
        <f t="array" ref="K437">IFERROR(INDEX(Unified_Matrix!$A:$ZZ,ROW(A434),MATCH("+ OVR",Unified_Matrix!$1:$1,0)),"")</f>
        <v/>
      </c>
      <c r="L437" s="13">
        <f t="array" ref="L437">IFERROR(INDEX(Unified_Matrix!$A:$ZZ,ROW(A434),MATCH("Max OVR",Unified_Matrix!$1:$1,0)),"")</f>
        <v/>
      </c>
      <c r="M437" s="13">
        <f t="array" ref="M437">IFERROR(INDEX(Unified_Matrix!$A:$ZZ,ROW(A434),MATCH("Req_Position",Unified_Matrix!$1:$1,0)),"")</f>
        <v/>
      </c>
      <c r="N437" s="13">
        <f t="array" ref="N437">IFERROR(INDEX(Unified_Matrix!$A:$ZZ,ROW(A434),MATCH("Req_OVR_Max",Unified_Matrix!$1:$1,0)),"")</f>
        <v/>
      </c>
      <c r="O437" s="25">
        <f t="array" ref="O437">IFERROR(INDEX(Unified_Matrix!$A:$ZZ,ROW(A434),MATCH("Req_Other",Unified_Matrix!$1:$1,0)),"")</f>
        <v/>
      </c>
    </row>
    <row r="438" ht="68.25" customHeight="1">
      <c r="H438" s="13">
        <f t="array" ref="H438">IFERROR(INDEX(Unified_Matrix!$A:$ZZ,ROW(A435),MATCH("Max "&amp;$H$3,Unified_Matrix!$1:$1,0)),"")</f>
        <v/>
      </c>
      <c r="I438" s="25">
        <f t="array" ref="I438">IFERROR(INDEX(Unified_Matrix!$A:$ZZ,ROW(A435),MATCH("Evolution_Name",Unified_Matrix!$1:$1,0)),"")</f>
        <v/>
      </c>
      <c r="J438" s="13">
        <f>IF(H438="","",IF(H438=0,"",IF(H438=$Z$32,1,IF(H438=$Z$33,2,IF(H438=$Z$34,3,"")))))</f>
        <v/>
      </c>
      <c r="K438" s="13">
        <f t="array" ref="K438">IFERROR(INDEX(Unified_Matrix!$A:$ZZ,ROW(A435),MATCH("+ OVR",Unified_Matrix!$1:$1,0)),"")</f>
        <v/>
      </c>
      <c r="L438" s="13">
        <f t="array" ref="L438">IFERROR(INDEX(Unified_Matrix!$A:$ZZ,ROW(A435),MATCH("Max OVR",Unified_Matrix!$1:$1,0)),"")</f>
        <v/>
      </c>
      <c r="M438" s="13">
        <f t="array" ref="M438">IFERROR(INDEX(Unified_Matrix!$A:$ZZ,ROW(A435),MATCH("Req_Position",Unified_Matrix!$1:$1,0)),"")</f>
        <v/>
      </c>
      <c r="N438" s="13">
        <f t="array" ref="N438">IFERROR(INDEX(Unified_Matrix!$A:$ZZ,ROW(A435),MATCH("Req_OVR_Max",Unified_Matrix!$1:$1,0)),"")</f>
        <v/>
      </c>
      <c r="O438" s="25">
        <f t="array" ref="O438">IFERROR(INDEX(Unified_Matrix!$A:$ZZ,ROW(A435),MATCH("Req_Other",Unified_Matrix!$1:$1,0)),"")</f>
        <v/>
      </c>
    </row>
    <row r="439" ht="68.25" customHeight="1">
      <c r="H439" s="13">
        <f t="array" ref="H439">IFERROR(INDEX(Unified_Matrix!$A:$ZZ,ROW(A436),MATCH("Max "&amp;$H$3,Unified_Matrix!$1:$1,0)),"")</f>
        <v/>
      </c>
      <c r="I439" s="25">
        <f t="array" ref="I439">IFERROR(INDEX(Unified_Matrix!$A:$ZZ,ROW(A436),MATCH("Evolution_Name",Unified_Matrix!$1:$1,0)),"")</f>
        <v/>
      </c>
      <c r="J439" s="13">
        <f>IF(H439="","",IF(H439=0,"",IF(H439=$Z$32,1,IF(H439=$Z$33,2,IF(H439=$Z$34,3,"")))))</f>
        <v/>
      </c>
      <c r="K439" s="13">
        <f t="array" ref="K439">IFERROR(INDEX(Unified_Matrix!$A:$ZZ,ROW(A436),MATCH("+ OVR",Unified_Matrix!$1:$1,0)),"")</f>
        <v/>
      </c>
      <c r="L439" s="13">
        <f t="array" ref="L439">IFERROR(INDEX(Unified_Matrix!$A:$ZZ,ROW(A436),MATCH("Max OVR",Unified_Matrix!$1:$1,0)),"")</f>
        <v/>
      </c>
      <c r="M439" s="13">
        <f t="array" ref="M439">IFERROR(INDEX(Unified_Matrix!$A:$ZZ,ROW(A436),MATCH("Req_Position",Unified_Matrix!$1:$1,0)),"")</f>
        <v/>
      </c>
      <c r="N439" s="13">
        <f t="array" ref="N439">IFERROR(INDEX(Unified_Matrix!$A:$ZZ,ROW(A436),MATCH("Req_OVR_Max",Unified_Matrix!$1:$1,0)),"")</f>
        <v/>
      </c>
      <c r="O439" s="25">
        <f t="array" ref="O439">IFERROR(INDEX(Unified_Matrix!$A:$ZZ,ROW(A436),MATCH("Req_Other",Unified_Matrix!$1:$1,0)),"")</f>
        <v/>
      </c>
    </row>
    <row r="440" ht="68.25" customHeight="1">
      <c r="H440" s="13">
        <f t="array" ref="H440">IFERROR(INDEX(Unified_Matrix!$A:$ZZ,ROW(A437),MATCH("Max "&amp;$H$3,Unified_Matrix!$1:$1,0)),"")</f>
        <v/>
      </c>
      <c r="I440" s="25">
        <f t="array" ref="I440">IFERROR(INDEX(Unified_Matrix!$A:$ZZ,ROW(A437),MATCH("Evolution_Name",Unified_Matrix!$1:$1,0)),"")</f>
        <v/>
      </c>
      <c r="J440" s="13">
        <f>IF(H440="","",IF(H440=0,"",IF(H440=$Z$32,1,IF(H440=$Z$33,2,IF(H440=$Z$34,3,"")))))</f>
        <v/>
      </c>
      <c r="K440" s="13">
        <f t="array" ref="K440">IFERROR(INDEX(Unified_Matrix!$A:$ZZ,ROW(A437),MATCH("+ OVR",Unified_Matrix!$1:$1,0)),"")</f>
        <v/>
      </c>
      <c r="L440" s="13">
        <f t="array" ref="L440">IFERROR(INDEX(Unified_Matrix!$A:$ZZ,ROW(A437),MATCH("Max OVR",Unified_Matrix!$1:$1,0)),"")</f>
        <v/>
      </c>
      <c r="M440" s="13">
        <f t="array" ref="M440">IFERROR(INDEX(Unified_Matrix!$A:$ZZ,ROW(A437),MATCH("Req_Position",Unified_Matrix!$1:$1,0)),"")</f>
        <v/>
      </c>
      <c r="N440" s="13">
        <f t="array" ref="N440">IFERROR(INDEX(Unified_Matrix!$A:$ZZ,ROW(A437),MATCH("Req_OVR_Max",Unified_Matrix!$1:$1,0)),"")</f>
        <v/>
      </c>
      <c r="O440" s="25">
        <f t="array" ref="O440">IFERROR(INDEX(Unified_Matrix!$A:$ZZ,ROW(A437),MATCH("Req_Other",Unified_Matrix!$1:$1,0)),"")</f>
        <v/>
      </c>
    </row>
    <row r="441" ht="68.25" customHeight="1">
      <c r="H441" s="13">
        <f t="array" ref="H441">IFERROR(INDEX(Unified_Matrix!$A:$ZZ,ROW(A438),MATCH("Max "&amp;$H$3,Unified_Matrix!$1:$1,0)),"")</f>
        <v/>
      </c>
      <c r="I441" s="25">
        <f t="array" ref="I441">IFERROR(INDEX(Unified_Matrix!$A:$ZZ,ROW(A438),MATCH("Evolution_Name",Unified_Matrix!$1:$1,0)),"")</f>
        <v/>
      </c>
      <c r="J441" s="13">
        <f>IF(H441="","",IF(H441=0,"",IF(H441=$Z$32,1,IF(H441=$Z$33,2,IF(H441=$Z$34,3,"")))))</f>
        <v/>
      </c>
      <c r="K441" s="13">
        <f t="array" ref="K441">IFERROR(INDEX(Unified_Matrix!$A:$ZZ,ROW(A438),MATCH("+ OVR",Unified_Matrix!$1:$1,0)),"")</f>
        <v/>
      </c>
      <c r="L441" s="13">
        <f t="array" ref="L441">IFERROR(INDEX(Unified_Matrix!$A:$ZZ,ROW(A438),MATCH("Max OVR",Unified_Matrix!$1:$1,0)),"")</f>
        <v/>
      </c>
      <c r="M441" s="13">
        <f t="array" ref="M441">IFERROR(INDEX(Unified_Matrix!$A:$ZZ,ROW(A438),MATCH("Req_Position",Unified_Matrix!$1:$1,0)),"")</f>
        <v/>
      </c>
      <c r="N441" s="13">
        <f t="array" ref="N441">IFERROR(INDEX(Unified_Matrix!$A:$ZZ,ROW(A438),MATCH("Req_OVR_Max",Unified_Matrix!$1:$1,0)),"")</f>
        <v/>
      </c>
      <c r="O441" s="25">
        <f t="array" ref="O441">IFERROR(INDEX(Unified_Matrix!$A:$ZZ,ROW(A438),MATCH("Req_Other",Unified_Matrix!$1:$1,0)),"")</f>
        <v/>
      </c>
    </row>
    <row r="442" ht="68.25" customHeight="1">
      <c r="H442" s="13">
        <f t="array" ref="H442">IFERROR(INDEX(Unified_Matrix!$A:$ZZ,ROW(A439),MATCH("Max "&amp;$H$3,Unified_Matrix!$1:$1,0)),"")</f>
        <v/>
      </c>
      <c r="I442" s="25">
        <f t="array" ref="I442">IFERROR(INDEX(Unified_Matrix!$A:$ZZ,ROW(A439),MATCH("Evolution_Name",Unified_Matrix!$1:$1,0)),"")</f>
        <v/>
      </c>
      <c r="J442" s="13">
        <f>IF(H442="","",IF(H442=0,"",IF(H442=$Z$32,1,IF(H442=$Z$33,2,IF(H442=$Z$34,3,"")))))</f>
        <v/>
      </c>
      <c r="K442" s="13">
        <f t="array" ref="K442">IFERROR(INDEX(Unified_Matrix!$A:$ZZ,ROW(A439),MATCH("+ OVR",Unified_Matrix!$1:$1,0)),"")</f>
        <v/>
      </c>
      <c r="L442" s="13">
        <f t="array" ref="L442">IFERROR(INDEX(Unified_Matrix!$A:$ZZ,ROW(A439),MATCH("Max OVR",Unified_Matrix!$1:$1,0)),"")</f>
        <v/>
      </c>
      <c r="M442" s="13">
        <f t="array" ref="M442">IFERROR(INDEX(Unified_Matrix!$A:$ZZ,ROW(A439),MATCH("Req_Position",Unified_Matrix!$1:$1,0)),"")</f>
        <v/>
      </c>
      <c r="N442" s="13">
        <f t="array" ref="N442">IFERROR(INDEX(Unified_Matrix!$A:$ZZ,ROW(A439),MATCH("Req_OVR_Max",Unified_Matrix!$1:$1,0)),"")</f>
        <v/>
      </c>
      <c r="O442" s="25">
        <f t="array" ref="O442">IFERROR(INDEX(Unified_Matrix!$A:$ZZ,ROW(A439),MATCH("Req_Other",Unified_Matrix!$1:$1,0)),"")</f>
        <v/>
      </c>
    </row>
    <row r="443" ht="68.25" customHeight="1">
      <c r="H443" s="13">
        <f t="array" ref="H443">IFERROR(INDEX(Unified_Matrix!$A:$ZZ,ROW(A440),MATCH("Max "&amp;$H$3,Unified_Matrix!$1:$1,0)),"")</f>
        <v/>
      </c>
      <c r="I443" s="25">
        <f t="array" ref="I443">IFERROR(INDEX(Unified_Matrix!$A:$ZZ,ROW(A440),MATCH("Evolution_Name",Unified_Matrix!$1:$1,0)),"")</f>
        <v/>
      </c>
      <c r="J443" s="13">
        <f>IF(H443="","",IF(H443=0,"",IF(H443=$Z$32,1,IF(H443=$Z$33,2,IF(H443=$Z$34,3,"")))))</f>
        <v/>
      </c>
      <c r="K443" s="13">
        <f t="array" ref="K443">IFERROR(INDEX(Unified_Matrix!$A:$ZZ,ROW(A440),MATCH("+ OVR",Unified_Matrix!$1:$1,0)),"")</f>
        <v/>
      </c>
      <c r="L443" s="13">
        <f t="array" ref="L443">IFERROR(INDEX(Unified_Matrix!$A:$ZZ,ROW(A440),MATCH("Max OVR",Unified_Matrix!$1:$1,0)),"")</f>
        <v/>
      </c>
      <c r="M443" s="13">
        <f t="array" ref="M443">IFERROR(INDEX(Unified_Matrix!$A:$ZZ,ROW(A440),MATCH("Req_Position",Unified_Matrix!$1:$1,0)),"")</f>
        <v/>
      </c>
      <c r="N443" s="13">
        <f t="array" ref="N443">IFERROR(INDEX(Unified_Matrix!$A:$ZZ,ROW(A440),MATCH("Req_OVR_Max",Unified_Matrix!$1:$1,0)),"")</f>
        <v/>
      </c>
      <c r="O443" s="25">
        <f t="array" ref="O443">IFERROR(INDEX(Unified_Matrix!$A:$ZZ,ROW(A440),MATCH("Req_Other",Unified_Matrix!$1:$1,0)),"")</f>
        <v/>
      </c>
    </row>
    <row r="444" ht="68.25" customHeight="1">
      <c r="H444" s="13">
        <f t="array" ref="H444">IFERROR(INDEX(Unified_Matrix!$A:$ZZ,ROW(A441),MATCH("Max "&amp;$H$3,Unified_Matrix!$1:$1,0)),"")</f>
        <v/>
      </c>
      <c r="I444" s="25">
        <f t="array" ref="I444">IFERROR(INDEX(Unified_Matrix!$A:$ZZ,ROW(A441),MATCH("Evolution_Name",Unified_Matrix!$1:$1,0)),"")</f>
        <v/>
      </c>
      <c r="J444" s="13">
        <f>IF(H444="","",IF(H444=0,"",IF(H444=$Z$32,1,IF(H444=$Z$33,2,IF(H444=$Z$34,3,"")))))</f>
        <v/>
      </c>
      <c r="K444" s="13">
        <f t="array" ref="K444">IFERROR(INDEX(Unified_Matrix!$A:$ZZ,ROW(A441),MATCH("+ OVR",Unified_Matrix!$1:$1,0)),"")</f>
        <v/>
      </c>
      <c r="L444" s="13">
        <f t="array" ref="L444">IFERROR(INDEX(Unified_Matrix!$A:$ZZ,ROW(A441),MATCH("Max OVR",Unified_Matrix!$1:$1,0)),"")</f>
        <v/>
      </c>
      <c r="M444" s="13">
        <f t="array" ref="M444">IFERROR(INDEX(Unified_Matrix!$A:$ZZ,ROW(A441),MATCH("Req_Position",Unified_Matrix!$1:$1,0)),"")</f>
        <v/>
      </c>
      <c r="N444" s="13">
        <f t="array" ref="N444">IFERROR(INDEX(Unified_Matrix!$A:$ZZ,ROW(A441),MATCH("Req_OVR_Max",Unified_Matrix!$1:$1,0)),"")</f>
        <v/>
      </c>
      <c r="O444" s="25">
        <f t="array" ref="O444">IFERROR(INDEX(Unified_Matrix!$A:$ZZ,ROW(A441),MATCH("Req_Other",Unified_Matrix!$1:$1,0)),"")</f>
        <v/>
      </c>
    </row>
    <row r="445" ht="68.25" customHeight="1">
      <c r="H445" s="13">
        <f t="array" ref="H445">IFERROR(INDEX(Unified_Matrix!$A:$ZZ,ROW(A442),MATCH("Max "&amp;$H$3,Unified_Matrix!$1:$1,0)),"")</f>
        <v/>
      </c>
      <c r="I445" s="25">
        <f t="array" ref="I445">IFERROR(INDEX(Unified_Matrix!$A:$ZZ,ROW(A442),MATCH("Evolution_Name",Unified_Matrix!$1:$1,0)),"")</f>
        <v/>
      </c>
      <c r="J445" s="13">
        <f>IF(H445="","",IF(H445=0,"",IF(H445=$Z$32,1,IF(H445=$Z$33,2,IF(H445=$Z$34,3,"")))))</f>
        <v/>
      </c>
      <c r="K445" s="13">
        <f t="array" ref="K445">IFERROR(INDEX(Unified_Matrix!$A:$ZZ,ROW(A442),MATCH("+ OVR",Unified_Matrix!$1:$1,0)),"")</f>
        <v/>
      </c>
      <c r="L445" s="13">
        <f t="array" ref="L445">IFERROR(INDEX(Unified_Matrix!$A:$ZZ,ROW(A442),MATCH("Max OVR",Unified_Matrix!$1:$1,0)),"")</f>
        <v/>
      </c>
      <c r="M445" s="13">
        <f t="array" ref="M445">IFERROR(INDEX(Unified_Matrix!$A:$ZZ,ROW(A442),MATCH("Req_Position",Unified_Matrix!$1:$1,0)),"")</f>
        <v/>
      </c>
      <c r="N445" s="13">
        <f t="array" ref="N445">IFERROR(INDEX(Unified_Matrix!$A:$ZZ,ROW(A442),MATCH("Req_OVR_Max",Unified_Matrix!$1:$1,0)),"")</f>
        <v/>
      </c>
      <c r="O445" s="25">
        <f t="array" ref="O445">IFERROR(INDEX(Unified_Matrix!$A:$ZZ,ROW(A442),MATCH("Req_Other",Unified_Matrix!$1:$1,0)),"")</f>
        <v/>
      </c>
    </row>
    <row r="446" ht="68.25" customHeight="1">
      <c r="H446" s="13">
        <f t="array" ref="H446">IFERROR(INDEX(Unified_Matrix!$A:$ZZ,ROW(A443),MATCH("Max "&amp;$H$3,Unified_Matrix!$1:$1,0)),"")</f>
        <v/>
      </c>
      <c r="I446" s="25">
        <f t="array" ref="I446">IFERROR(INDEX(Unified_Matrix!$A:$ZZ,ROW(A443),MATCH("Evolution_Name",Unified_Matrix!$1:$1,0)),"")</f>
        <v/>
      </c>
      <c r="J446" s="13">
        <f>IF(H446="","",IF(H446=0,"",IF(H446=$Z$32,1,IF(H446=$Z$33,2,IF(H446=$Z$34,3,"")))))</f>
        <v/>
      </c>
      <c r="K446" s="13">
        <f t="array" ref="K446">IFERROR(INDEX(Unified_Matrix!$A:$ZZ,ROW(A443),MATCH("+ OVR",Unified_Matrix!$1:$1,0)),"")</f>
        <v/>
      </c>
      <c r="L446" s="13">
        <f t="array" ref="L446">IFERROR(INDEX(Unified_Matrix!$A:$ZZ,ROW(A443),MATCH("Max OVR",Unified_Matrix!$1:$1,0)),"")</f>
        <v/>
      </c>
      <c r="M446" s="13">
        <f t="array" ref="M446">IFERROR(INDEX(Unified_Matrix!$A:$ZZ,ROW(A443),MATCH("Req_Position",Unified_Matrix!$1:$1,0)),"")</f>
        <v/>
      </c>
      <c r="N446" s="13">
        <f t="array" ref="N446">IFERROR(INDEX(Unified_Matrix!$A:$ZZ,ROW(A443),MATCH("Req_OVR_Max",Unified_Matrix!$1:$1,0)),"")</f>
        <v/>
      </c>
      <c r="O446" s="25">
        <f t="array" ref="O446">IFERROR(INDEX(Unified_Matrix!$A:$ZZ,ROW(A443),MATCH("Req_Other",Unified_Matrix!$1:$1,0)),"")</f>
        <v/>
      </c>
    </row>
    <row r="447" ht="68.25" customHeight="1">
      <c r="H447" s="13">
        <f t="array" ref="H447">IFERROR(INDEX(Unified_Matrix!$A:$ZZ,ROW(A444),MATCH("Max "&amp;$H$3,Unified_Matrix!$1:$1,0)),"")</f>
        <v/>
      </c>
      <c r="I447" s="25">
        <f t="array" ref="I447">IFERROR(INDEX(Unified_Matrix!$A:$ZZ,ROW(A444),MATCH("Evolution_Name",Unified_Matrix!$1:$1,0)),"")</f>
        <v/>
      </c>
      <c r="J447" s="13">
        <f>IF(H447="","",IF(H447=0,"",IF(H447=$Z$32,1,IF(H447=$Z$33,2,IF(H447=$Z$34,3,"")))))</f>
        <v/>
      </c>
      <c r="K447" s="13">
        <f t="array" ref="K447">IFERROR(INDEX(Unified_Matrix!$A:$ZZ,ROW(A444),MATCH("+ OVR",Unified_Matrix!$1:$1,0)),"")</f>
        <v/>
      </c>
      <c r="L447" s="13">
        <f t="array" ref="L447">IFERROR(INDEX(Unified_Matrix!$A:$ZZ,ROW(A444),MATCH("Max OVR",Unified_Matrix!$1:$1,0)),"")</f>
        <v/>
      </c>
      <c r="M447" s="13">
        <f t="array" ref="M447">IFERROR(INDEX(Unified_Matrix!$A:$ZZ,ROW(A444),MATCH("Req_Position",Unified_Matrix!$1:$1,0)),"")</f>
        <v/>
      </c>
      <c r="N447" s="13">
        <f t="array" ref="N447">IFERROR(INDEX(Unified_Matrix!$A:$ZZ,ROW(A444),MATCH("Req_OVR_Max",Unified_Matrix!$1:$1,0)),"")</f>
        <v/>
      </c>
      <c r="O447" s="25">
        <f t="array" ref="O447">IFERROR(INDEX(Unified_Matrix!$A:$ZZ,ROW(A444),MATCH("Req_Other",Unified_Matrix!$1:$1,0)),"")</f>
        <v/>
      </c>
    </row>
    <row r="448" ht="68.25" customHeight="1">
      <c r="H448" s="13">
        <f t="array" ref="H448">IFERROR(INDEX(Unified_Matrix!$A:$ZZ,ROW(A445),MATCH("Max "&amp;$H$3,Unified_Matrix!$1:$1,0)),"")</f>
        <v/>
      </c>
      <c r="I448" s="25">
        <f t="array" ref="I448">IFERROR(INDEX(Unified_Matrix!$A:$ZZ,ROW(A445),MATCH("Evolution_Name",Unified_Matrix!$1:$1,0)),"")</f>
        <v/>
      </c>
      <c r="J448" s="13">
        <f>IF(H448="","",IF(H448=0,"",IF(H448=$Z$32,1,IF(H448=$Z$33,2,IF(H448=$Z$34,3,"")))))</f>
        <v/>
      </c>
      <c r="K448" s="13">
        <f t="array" ref="K448">IFERROR(INDEX(Unified_Matrix!$A:$ZZ,ROW(A445),MATCH("+ OVR",Unified_Matrix!$1:$1,0)),"")</f>
        <v/>
      </c>
      <c r="L448" s="13">
        <f t="array" ref="L448">IFERROR(INDEX(Unified_Matrix!$A:$ZZ,ROW(A445),MATCH("Max OVR",Unified_Matrix!$1:$1,0)),"")</f>
        <v/>
      </c>
      <c r="M448" s="13">
        <f t="array" ref="M448">IFERROR(INDEX(Unified_Matrix!$A:$ZZ,ROW(A445),MATCH("Req_Position",Unified_Matrix!$1:$1,0)),"")</f>
        <v/>
      </c>
      <c r="N448" s="13">
        <f t="array" ref="N448">IFERROR(INDEX(Unified_Matrix!$A:$ZZ,ROW(A445),MATCH("Req_OVR_Max",Unified_Matrix!$1:$1,0)),"")</f>
        <v/>
      </c>
      <c r="O448" s="25">
        <f t="array" ref="O448">IFERROR(INDEX(Unified_Matrix!$A:$ZZ,ROW(A445),MATCH("Req_Other",Unified_Matrix!$1:$1,0)),"")</f>
        <v/>
      </c>
    </row>
    <row r="449" ht="68.25" customHeight="1">
      <c r="H449" s="13">
        <f t="array" ref="H449">IFERROR(INDEX(Unified_Matrix!$A:$ZZ,ROW(A446),MATCH("Max "&amp;$H$3,Unified_Matrix!$1:$1,0)),"")</f>
        <v/>
      </c>
      <c r="I449" s="25">
        <f t="array" ref="I449">IFERROR(INDEX(Unified_Matrix!$A:$ZZ,ROW(A446),MATCH("Evolution_Name",Unified_Matrix!$1:$1,0)),"")</f>
        <v/>
      </c>
      <c r="J449" s="13">
        <f>IF(H449="","",IF(H449=0,"",IF(H449=$Z$32,1,IF(H449=$Z$33,2,IF(H449=$Z$34,3,"")))))</f>
        <v/>
      </c>
      <c r="K449" s="13">
        <f t="array" ref="K449">IFERROR(INDEX(Unified_Matrix!$A:$ZZ,ROW(A446),MATCH("+ OVR",Unified_Matrix!$1:$1,0)),"")</f>
        <v/>
      </c>
      <c r="L449" s="13">
        <f t="array" ref="L449">IFERROR(INDEX(Unified_Matrix!$A:$ZZ,ROW(A446),MATCH("Max OVR",Unified_Matrix!$1:$1,0)),"")</f>
        <v/>
      </c>
      <c r="M449" s="13">
        <f t="array" ref="M449">IFERROR(INDEX(Unified_Matrix!$A:$ZZ,ROW(A446),MATCH("Req_Position",Unified_Matrix!$1:$1,0)),"")</f>
        <v/>
      </c>
      <c r="N449" s="13">
        <f t="array" ref="N449">IFERROR(INDEX(Unified_Matrix!$A:$ZZ,ROW(A446),MATCH("Req_OVR_Max",Unified_Matrix!$1:$1,0)),"")</f>
        <v/>
      </c>
      <c r="O449" s="25">
        <f t="array" ref="O449">IFERROR(INDEX(Unified_Matrix!$A:$ZZ,ROW(A446),MATCH("Req_Other",Unified_Matrix!$1:$1,0)),"")</f>
        <v/>
      </c>
    </row>
    <row r="450" ht="68.25" customHeight="1">
      <c r="H450" s="13">
        <f t="array" ref="H450">IFERROR(INDEX(Unified_Matrix!$A:$ZZ,ROW(A447),MATCH("Max "&amp;$H$3,Unified_Matrix!$1:$1,0)),"")</f>
        <v/>
      </c>
      <c r="I450" s="25">
        <f t="array" ref="I450">IFERROR(INDEX(Unified_Matrix!$A:$ZZ,ROW(A447),MATCH("Evolution_Name",Unified_Matrix!$1:$1,0)),"")</f>
        <v/>
      </c>
      <c r="J450" s="13">
        <f>IF(H450="","",IF(H450=0,"",IF(H450=$Z$32,1,IF(H450=$Z$33,2,IF(H450=$Z$34,3,"")))))</f>
        <v/>
      </c>
      <c r="K450" s="13">
        <f t="array" ref="K450">IFERROR(INDEX(Unified_Matrix!$A:$ZZ,ROW(A447),MATCH("+ OVR",Unified_Matrix!$1:$1,0)),"")</f>
        <v/>
      </c>
      <c r="L450" s="13">
        <f t="array" ref="L450">IFERROR(INDEX(Unified_Matrix!$A:$ZZ,ROW(A447),MATCH("Max OVR",Unified_Matrix!$1:$1,0)),"")</f>
        <v/>
      </c>
      <c r="M450" s="13">
        <f t="array" ref="M450">IFERROR(INDEX(Unified_Matrix!$A:$ZZ,ROW(A447),MATCH("Req_Position",Unified_Matrix!$1:$1,0)),"")</f>
        <v/>
      </c>
      <c r="N450" s="13">
        <f t="array" ref="N450">IFERROR(INDEX(Unified_Matrix!$A:$ZZ,ROW(A447),MATCH("Req_OVR_Max",Unified_Matrix!$1:$1,0)),"")</f>
        <v/>
      </c>
      <c r="O450" s="25">
        <f t="array" ref="O450">IFERROR(INDEX(Unified_Matrix!$A:$ZZ,ROW(A447),MATCH("Req_Other",Unified_Matrix!$1:$1,0)),"")</f>
        <v/>
      </c>
    </row>
    <row r="451" ht="68.25" customHeight="1">
      <c r="H451" s="13">
        <f t="array" ref="H451">IFERROR(INDEX(Unified_Matrix!$A:$ZZ,ROW(A448),MATCH("Max "&amp;$H$3,Unified_Matrix!$1:$1,0)),"")</f>
        <v/>
      </c>
      <c r="I451" s="25">
        <f t="array" ref="I451">IFERROR(INDEX(Unified_Matrix!$A:$ZZ,ROW(A448),MATCH("Evolution_Name",Unified_Matrix!$1:$1,0)),"")</f>
        <v/>
      </c>
      <c r="J451" s="13">
        <f>IF(H451="","",IF(H451=0,"",IF(H451=$Z$32,1,IF(H451=$Z$33,2,IF(H451=$Z$34,3,"")))))</f>
        <v/>
      </c>
      <c r="K451" s="13">
        <f t="array" ref="K451">IFERROR(INDEX(Unified_Matrix!$A:$ZZ,ROW(A448),MATCH("+ OVR",Unified_Matrix!$1:$1,0)),"")</f>
        <v/>
      </c>
      <c r="L451" s="13">
        <f t="array" ref="L451">IFERROR(INDEX(Unified_Matrix!$A:$ZZ,ROW(A448),MATCH("Max OVR",Unified_Matrix!$1:$1,0)),"")</f>
        <v/>
      </c>
      <c r="M451" s="13">
        <f t="array" ref="M451">IFERROR(INDEX(Unified_Matrix!$A:$ZZ,ROW(A448),MATCH("Req_Position",Unified_Matrix!$1:$1,0)),"")</f>
        <v/>
      </c>
      <c r="N451" s="13">
        <f t="array" ref="N451">IFERROR(INDEX(Unified_Matrix!$A:$ZZ,ROW(A448),MATCH("Req_OVR_Max",Unified_Matrix!$1:$1,0)),"")</f>
        <v/>
      </c>
      <c r="O451" s="25">
        <f t="array" ref="O451">IFERROR(INDEX(Unified_Matrix!$A:$ZZ,ROW(A448),MATCH("Req_Other",Unified_Matrix!$1:$1,0)),"")</f>
        <v/>
      </c>
    </row>
    <row r="452" ht="68.25" customHeight="1">
      <c r="H452" s="13">
        <f t="array" ref="H452">IFERROR(INDEX(Unified_Matrix!$A:$ZZ,ROW(A449),MATCH("Max "&amp;$H$3,Unified_Matrix!$1:$1,0)),"")</f>
        <v/>
      </c>
      <c r="I452" s="25">
        <f t="array" ref="I452">IFERROR(INDEX(Unified_Matrix!$A:$ZZ,ROW(A449),MATCH("Evolution_Name",Unified_Matrix!$1:$1,0)),"")</f>
        <v/>
      </c>
      <c r="J452" s="13">
        <f>IF(H452="","",IF(H452=0,"",IF(H452=$Z$32,1,IF(H452=$Z$33,2,IF(H452=$Z$34,3,"")))))</f>
        <v/>
      </c>
      <c r="K452" s="13">
        <f t="array" ref="K452">IFERROR(INDEX(Unified_Matrix!$A:$ZZ,ROW(A449),MATCH("+ OVR",Unified_Matrix!$1:$1,0)),"")</f>
        <v/>
      </c>
      <c r="L452" s="13">
        <f t="array" ref="L452">IFERROR(INDEX(Unified_Matrix!$A:$ZZ,ROW(A449),MATCH("Max OVR",Unified_Matrix!$1:$1,0)),"")</f>
        <v/>
      </c>
      <c r="M452" s="13">
        <f t="array" ref="M452">IFERROR(INDEX(Unified_Matrix!$A:$ZZ,ROW(A449),MATCH("Req_Position",Unified_Matrix!$1:$1,0)),"")</f>
        <v/>
      </c>
      <c r="N452" s="13">
        <f t="array" ref="N452">IFERROR(INDEX(Unified_Matrix!$A:$ZZ,ROW(A449),MATCH("Req_OVR_Max",Unified_Matrix!$1:$1,0)),"")</f>
        <v/>
      </c>
      <c r="O452" s="25">
        <f t="array" ref="O452">IFERROR(INDEX(Unified_Matrix!$A:$ZZ,ROW(A449),MATCH("Req_Other",Unified_Matrix!$1:$1,0)),"")</f>
        <v/>
      </c>
    </row>
    <row r="453" ht="68.25" customHeight="1">
      <c r="H453" s="13">
        <f t="array" ref="H453">IFERROR(INDEX(Unified_Matrix!$A:$ZZ,ROW(A450),MATCH("Max "&amp;$H$3,Unified_Matrix!$1:$1,0)),"")</f>
        <v/>
      </c>
      <c r="I453" s="25">
        <f t="array" ref="I453">IFERROR(INDEX(Unified_Matrix!$A:$ZZ,ROW(A450),MATCH("Evolution_Name",Unified_Matrix!$1:$1,0)),"")</f>
        <v/>
      </c>
      <c r="J453" s="13">
        <f>IF(H453="","",IF(H453=0,"",IF(H453=$Z$32,1,IF(H453=$Z$33,2,IF(H453=$Z$34,3,"")))))</f>
        <v/>
      </c>
      <c r="K453" s="13">
        <f t="array" ref="K453">IFERROR(INDEX(Unified_Matrix!$A:$ZZ,ROW(A450),MATCH("+ OVR",Unified_Matrix!$1:$1,0)),"")</f>
        <v/>
      </c>
      <c r="L453" s="13">
        <f t="array" ref="L453">IFERROR(INDEX(Unified_Matrix!$A:$ZZ,ROW(A450),MATCH("Max OVR",Unified_Matrix!$1:$1,0)),"")</f>
        <v/>
      </c>
      <c r="M453" s="13">
        <f t="array" ref="M453">IFERROR(INDEX(Unified_Matrix!$A:$ZZ,ROW(A450),MATCH("Req_Position",Unified_Matrix!$1:$1,0)),"")</f>
        <v/>
      </c>
      <c r="N453" s="13">
        <f t="array" ref="N453">IFERROR(INDEX(Unified_Matrix!$A:$ZZ,ROW(A450),MATCH("Req_OVR_Max",Unified_Matrix!$1:$1,0)),"")</f>
        <v/>
      </c>
      <c r="O453" s="25">
        <f t="array" ref="O453">IFERROR(INDEX(Unified_Matrix!$A:$ZZ,ROW(A450),MATCH("Req_Other",Unified_Matrix!$1:$1,0)),"")</f>
        <v/>
      </c>
    </row>
    <row r="454" ht="68.25" customHeight="1">
      <c r="H454" s="13">
        <f t="array" ref="H454">IFERROR(INDEX(Unified_Matrix!$A:$ZZ,ROW(A451),MATCH("Max "&amp;$H$3,Unified_Matrix!$1:$1,0)),"")</f>
        <v/>
      </c>
      <c r="I454" s="25">
        <f t="array" ref="I454">IFERROR(INDEX(Unified_Matrix!$A:$ZZ,ROW(A451),MATCH("Evolution_Name",Unified_Matrix!$1:$1,0)),"")</f>
        <v/>
      </c>
      <c r="J454" s="13">
        <f>IF(H454="","",IF(H454=0,"",IF(H454=$Z$32,1,IF(H454=$Z$33,2,IF(H454=$Z$34,3,"")))))</f>
        <v/>
      </c>
      <c r="K454" s="13">
        <f t="array" ref="K454">IFERROR(INDEX(Unified_Matrix!$A:$ZZ,ROW(A451),MATCH("+ OVR",Unified_Matrix!$1:$1,0)),"")</f>
        <v/>
      </c>
      <c r="L454" s="13">
        <f t="array" ref="L454">IFERROR(INDEX(Unified_Matrix!$A:$ZZ,ROW(A451),MATCH("Max OVR",Unified_Matrix!$1:$1,0)),"")</f>
        <v/>
      </c>
      <c r="M454" s="13">
        <f t="array" ref="M454">IFERROR(INDEX(Unified_Matrix!$A:$ZZ,ROW(A451),MATCH("Req_Position",Unified_Matrix!$1:$1,0)),"")</f>
        <v/>
      </c>
      <c r="N454" s="13">
        <f t="array" ref="N454">IFERROR(INDEX(Unified_Matrix!$A:$ZZ,ROW(A451),MATCH("Req_OVR_Max",Unified_Matrix!$1:$1,0)),"")</f>
        <v/>
      </c>
      <c r="O454" s="25">
        <f t="array" ref="O454">IFERROR(INDEX(Unified_Matrix!$A:$ZZ,ROW(A451),MATCH("Req_Other",Unified_Matrix!$1:$1,0)),"")</f>
        <v/>
      </c>
    </row>
    <row r="455" ht="68.25" customHeight="1">
      <c r="H455" s="13">
        <f t="array" ref="H455">IFERROR(INDEX(Unified_Matrix!$A:$ZZ,ROW(A452),MATCH("Max "&amp;$H$3,Unified_Matrix!$1:$1,0)),"")</f>
        <v/>
      </c>
      <c r="I455" s="25">
        <f t="array" ref="I455">IFERROR(INDEX(Unified_Matrix!$A:$ZZ,ROW(A452),MATCH("Evolution_Name",Unified_Matrix!$1:$1,0)),"")</f>
        <v/>
      </c>
      <c r="J455" s="13">
        <f>IF(H455="","",IF(H455=0,"",IF(H455=$Z$32,1,IF(H455=$Z$33,2,IF(H455=$Z$34,3,"")))))</f>
        <v/>
      </c>
      <c r="K455" s="13">
        <f t="array" ref="K455">IFERROR(INDEX(Unified_Matrix!$A:$ZZ,ROW(A452),MATCH("+ OVR",Unified_Matrix!$1:$1,0)),"")</f>
        <v/>
      </c>
      <c r="L455" s="13">
        <f t="array" ref="L455">IFERROR(INDEX(Unified_Matrix!$A:$ZZ,ROW(A452),MATCH("Max OVR",Unified_Matrix!$1:$1,0)),"")</f>
        <v/>
      </c>
      <c r="M455" s="13">
        <f t="array" ref="M455">IFERROR(INDEX(Unified_Matrix!$A:$ZZ,ROW(A452),MATCH("Req_Position",Unified_Matrix!$1:$1,0)),"")</f>
        <v/>
      </c>
      <c r="N455" s="13">
        <f t="array" ref="N455">IFERROR(INDEX(Unified_Matrix!$A:$ZZ,ROW(A452),MATCH("Req_OVR_Max",Unified_Matrix!$1:$1,0)),"")</f>
        <v/>
      </c>
      <c r="O455" s="25">
        <f t="array" ref="O455">IFERROR(INDEX(Unified_Matrix!$A:$ZZ,ROW(A452),MATCH("Req_Other",Unified_Matrix!$1:$1,0)),"")</f>
        <v/>
      </c>
    </row>
    <row r="456" ht="68.25" customHeight="1">
      <c r="H456" s="13">
        <f t="array" ref="H456">IFERROR(INDEX(Unified_Matrix!$A:$ZZ,ROW(A453),MATCH("Max "&amp;$H$3,Unified_Matrix!$1:$1,0)),"")</f>
        <v/>
      </c>
      <c r="I456" s="25">
        <f t="array" ref="I456">IFERROR(INDEX(Unified_Matrix!$A:$ZZ,ROW(A453),MATCH("Evolution_Name",Unified_Matrix!$1:$1,0)),"")</f>
        <v/>
      </c>
      <c r="J456" s="13">
        <f>IF(H456="","",IF(H456=0,"",IF(H456=$Z$32,1,IF(H456=$Z$33,2,IF(H456=$Z$34,3,"")))))</f>
        <v/>
      </c>
      <c r="K456" s="13">
        <f t="array" ref="K456">IFERROR(INDEX(Unified_Matrix!$A:$ZZ,ROW(A453),MATCH("+ OVR",Unified_Matrix!$1:$1,0)),"")</f>
        <v/>
      </c>
      <c r="L456" s="13">
        <f t="array" ref="L456">IFERROR(INDEX(Unified_Matrix!$A:$ZZ,ROW(A453),MATCH("Max OVR",Unified_Matrix!$1:$1,0)),"")</f>
        <v/>
      </c>
      <c r="M456" s="13">
        <f t="array" ref="M456">IFERROR(INDEX(Unified_Matrix!$A:$ZZ,ROW(A453),MATCH("Req_Position",Unified_Matrix!$1:$1,0)),"")</f>
        <v/>
      </c>
      <c r="N456" s="13">
        <f t="array" ref="N456">IFERROR(INDEX(Unified_Matrix!$A:$ZZ,ROW(A453),MATCH("Req_OVR_Max",Unified_Matrix!$1:$1,0)),"")</f>
        <v/>
      </c>
      <c r="O456" s="25">
        <f t="array" ref="O456">IFERROR(INDEX(Unified_Matrix!$A:$ZZ,ROW(A453),MATCH("Req_Other",Unified_Matrix!$1:$1,0)),"")</f>
        <v/>
      </c>
    </row>
    <row r="457" ht="68.25" customHeight="1">
      <c r="H457" s="13">
        <f t="array" ref="H457">IFERROR(INDEX(Unified_Matrix!$A:$ZZ,ROW(A454),MATCH("Max "&amp;$H$3,Unified_Matrix!$1:$1,0)),"")</f>
        <v/>
      </c>
      <c r="I457" s="25">
        <f t="array" ref="I457">IFERROR(INDEX(Unified_Matrix!$A:$ZZ,ROW(A454),MATCH("Evolution_Name",Unified_Matrix!$1:$1,0)),"")</f>
        <v/>
      </c>
      <c r="J457" s="13">
        <f>IF(H457="","",IF(H457=0,"",IF(H457=$Z$32,1,IF(H457=$Z$33,2,IF(H457=$Z$34,3,"")))))</f>
        <v/>
      </c>
      <c r="K457" s="13">
        <f t="array" ref="K457">IFERROR(INDEX(Unified_Matrix!$A:$ZZ,ROW(A454),MATCH("+ OVR",Unified_Matrix!$1:$1,0)),"")</f>
        <v/>
      </c>
      <c r="L457" s="13">
        <f t="array" ref="L457">IFERROR(INDEX(Unified_Matrix!$A:$ZZ,ROW(A454),MATCH("Max OVR",Unified_Matrix!$1:$1,0)),"")</f>
        <v/>
      </c>
      <c r="M457" s="13">
        <f t="array" ref="M457">IFERROR(INDEX(Unified_Matrix!$A:$ZZ,ROW(A454),MATCH("Req_Position",Unified_Matrix!$1:$1,0)),"")</f>
        <v/>
      </c>
      <c r="N457" s="13">
        <f t="array" ref="N457">IFERROR(INDEX(Unified_Matrix!$A:$ZZ,ROW(A454),MATCH("Req_OVR_Max",Unified_Matrix!$1:$1,0)),"")</f>
        <v/>
      </c>
      <c r="O457" s="25">
        <f t="array" ref="O457">IFERROR(INDEX(Unified_Matrix!$A:$ZZ,ROW(A454),MATCH("Req_Other",Unified_Matrix!$1:$1,0)),"")</f>
        <v/>
      </c>
    </row>
    <row r="458" ht="68.25" customHeight="1">
      <c r="H458" s="13">
        <f t="array" ref="H458">IFERROR(INDEX(Unified_Matrix!$A:$ZZ,ROW(A455),MATCH("Max "&amp;$H$3,Unified_Matrix!$1:$1,0)),"")</f>
        <v/>
      </c>
      <c r="I458" s="25">
        <f t="array" ref="I458">IFERROR(INDEX(Unified_Matrix!$A:$ZZ,ROW(A455),MATCH("Evolution_Name",Unified_Matrix!$1:$1,0)),"")</f>
        <v/>
      </c>
      <c r="J458" s="13">
        <f>IF(H458="","",IF(H458=0,"",IF(H458=$Z$32,1,IF(H458=$Z$33,2,IF(H458=$Z$34,3,"")))))</f>
        <v/>
      </c>
      <c r="K458" s="13">
        <f t="array" ref="K458">IFERROR(INDEX(Unified_Matrix!$A:$ZZ,ROW(A455),MATCH("+ OVR",Unified_Matrix!$1:$1,0)),"")</f>
        <v/>
      </c>
      <c r="L458" s="13">
        <f t="array" ref="L458">IFERROR(INDEX(Unified_Matrix!$A:$ZZ,ROW(A455),MATCH("Max OVR",Unified_Matrix!$1:$1,0)),"")</f>
        <v/>
      </c>
      <c r="M458" s="13">
        <f t="array" ref="M458">IFERROR(INDEX(Unified_Matrix!$A:$ZZ,ROW(A455),MATCH("Req_Position",Unified_Matrix!$1:$1,0)),"")</f>
        <v/>
      </c>
      <c r="N458" s="13">
        <f t="array" ref="N458">IFERROR(INDEX(Unified_Matrix!$A:$ZZ,ROW(A455),MATCH("Req_OVR_Max",Unified_Matrix!$1:$1,0)),"")</f>
        <v/>
      </c>
      <c r="O458" s="25">
        <f t="array" ref="O458">IFERROR(INDEX(Unified_Matrix!$A:$ZZ,ROW(A455),MATCH("Req_Other",Unified_Matrix!$1:$1,0)),"")</f>
        <v/>
      </c>
    </row>
    <row r="459" ht="68.25" customHeight="1">
      <c r="H459" s="13">
        <f t="array" ref="H459">IFERROR(INDEX(Unified_Matrix!$A:$ZZ,ROW(A456),MATCH("Max "&amp;$H$3,Unified_Matrix!$1:$1,0)),"")</f>
        <v/>
      </c>
      <c r="I459" s="25">
        <f t="array" ref="I459">IFERROR(INDEX(Unified_Matrix!$A:$ZZ,ROW(A456),MATCH("Evolution_Name",Unified_Matrix!$1:$1,0)),"")</f>
        <v/>
      </c>
      <c r="J459" s="13">
        <f>IF(H459="","",IF(H459=0,"",IF(H459=$Z$32,1,IF(H459=$Z$33,2,IF(H459=$Z$34,3,"")))))</f>
        <v/>
      </c>
      <c r="K459" s="13">
        <f t="array" ref="K459">IFERROR(INDEX(Unified_Matrix!$A:$ZZ,ROW(A456),MATCH("+ OVR",Unified_Matrix!$1:$1,0)),"")</f>
        <v/>
      </c>
      <c r="L459" s="13">
        <f t="array" ref="L459">IFERROR(INDEX(Unified_Matrix!$A:$ZZ,ROW(A456),MATCH("Max OVR",Unified_Matrix!$1:$1,0)),"")</f>
        <v/>
      </c>
      <c r="M459" s="13">
        <f t="array" ref="M459">IFERROR(INDEX(Unified_Matrix!$A:$ZZ,ROW(A456),MATCH("Req_Position",Unified_Matrix!$1:$1,0)),"")</f>
        <v/>
      </c>
      <c r="N459" s="13">
        <f t="array" ref="N459">IFERROR(INDEX(Unified_Matrix!$A:$ZZ,ROW(A456),MATCH("Req_OVR_Max",Unified_Matrix!$1:$1,0)),"")</f>
        <v/>
      </c>
      <c r="O459" s="25">
        <f t="array" ref="O459">IFERROR(INDEX(Unified_Matrix!$A:$ZZ,ROW(A456),MATCH("Req_Other",Unified_Matrix!$1:$1,0)),"")</f>
        <v/>
      </c>
    </row>
    <row r="460" ht="68.25" customHeight="1">
      <c r="H460" s="13">
        <f t="array" ref="H460">IFERROR(INDEX(Unified_Matrix!$A:$ZZ,ROW(A457),MATCH("Max "&amp;$H$3,Unified_Matrix!$1:$1,0)),"")</f>
        <v/>
      </c>
      <c r="I460" s="25">
        <f t="array" ref="I460">IFERROR(INDEX(Unified_Matrix!$A:$ZZ,ROW(A457),MATCH("Evolution_Name",Unified_Matrix!$1:$1,0)),"")</f>
        <v/>
      </c>
      <c r="J460" s="13">
        <f>IF(H460="","",IF(H460=0,"",IF(H460=$Z$32,1,IF(H460=$Z$33,2,IF(H460=$Z$34,3,"")))))</f>
        <v/>
      </c>
      <c r="K460" s="13">
        <f t="array" ref="K460">IFERROR(INDEX(Unified_Matrix!$A:$ZZ,ROW(A457),MATCH("+ OVR",Unified_Matrix!$1:$1,0)),"")</f>
        <v/>
      </c>
      <c r="L460" s="13">
        <f t="array" ref="L460">IFERROR(INDEX(Unified_Matrix!$A:$ZZ,ROW(A457),MATCH("Max OVR",Unified_Matrix!$1:$1,0)),"")</f>
        <v/>
      </c>
      <c r="M460" s="13">
        <f t="array" ref="M460">IFERROR(INDEX(Unified_Matrix!$A:$ZZ,ROW(A457),MATCH("Req_Position",Unified_Matrix!$1:$1,0)),"")</f>
        <v/>
      </c>
      <c r="N460" s="13">
        <f t="array" ref="N460">IFERROR(INDEX(Unified_Matrix!$A:$ZZ,ROW(A457),MATCH("Req_OVR_Max",Unified_Matrix!$1:$1,0)),"")</f>
        <v/>
      </c>
      <c r="O460" s="25">
        <f t="array" ref="O460">IFERROR(INDEX(Unified_Matrix!$A:$ZZ,ROW(A457),MATCH("Req_Other",Unified_Matrix!$1:$1,0)),"")</f>
        <v/>
      </c>
    </row>
    <row r="461" ht="68.25" customHeight="1">
      <c r="H461" s="13">
        <f t="array" ref="H461">IFERROR(INDEX(Unified_Matrix!$A:$ZZ,ROW(A458),MATCH("Max "&amp;$H$3,Unified_Matrix!$1:$1,0)),"")</f>
        <v/>
      </c>
      <c r="I461" s="25">
        <f t="array" ref="I461">IFERROR(INDEX(Unified_Matrix!$A:$ZZ,ROW(A458),MATCH("Evolution_Name",Unified_Matrix!$1:$1,0)),"")</f>
        <v/>
      </c>
      <c r="J461" s="13">
        <f>IF(H461="","",IF(H461=0,"",IF(H461=$Z$32,1,IF(H461=$Z$33,2,IF(H461=$Z$34,3,"")))))</f>
        <v/>
      </c>
      <c r="K461" s="13">
        <f t="array" ref="K461">IFERROR(INDEX(Unified_Matrix!$A:$ZZ,ROW(A458),MATCH("+ OVR",Unified_Matrix!$1:$1,0)),"")</f>
        <v/>
      </c>
      <c r="L461" s="13">
        <f t="array" ref="L461">IFERROR(INDEX(Unified_Matrix!$A:$ZZ,ROW(A458),MATCH("Max OVR",Unified_Matrix!$1:$1,0)),"")</f>
        <v/>
      </c>
      <c r="M461" s="13">
        <f t="array" ref="M461">IFERROR(INDEX(Unified_Matrix!$A:$ZZ,ROW(A458),MATCH("Req_Position",Unified_Matrix!$1:$1,0)),"")</f>
        <v/>
      </c>
      <c r="N461" s="13">
        <f t="array" ref="N461">IFERROR(INDEX(Unified_Matrix!$A:$ZZ,ROW(A458),MATCH("Req_OVR_Max",Unified_Matrix!$1:$1,0)),"")</f>
        <v/>
      </c>
      <c r="O461" s="25">
        <f t="array" ref="O461">IFERROR(INDEX(Unified_Matrix!$A:$ZZ,ROW(A458),MATCH("Req_Other",Unified_Matrix!$1:$1,0)),"")</f>
        <v/>
      </c>
    </row>
    <row r="462" ht="68.25" customHeight="1">
      <c r="H462" s="13">
        <f t="array" ref="H462">IFERROR(INDEX(Unified_Matrix!$A:$ZZ,ROW(A459),MATCH("Max "&amp;$H$3,Unified_Matrix!$1:$1,0)),"")</f>
        <v/>
      </c>
      <c r="I462" s="25">
        <f t="array" ref="I462">IFERROR(INDEX(Unified_Matrix!$A:$ZZ,ROW(A459),MATCH("Evolution_Name",Unified_Matrix!$1:$1,0)),"")</f>
        <v/>
      </c>
      <c r="J462" s="13">
        <f>IF(H462="","",IF(H462=0,"",IF(H462=$Z$32,1,IF(H462=$Z$33,2,IF(H462=$Z$34,3,"")))))</f>
        <v/>
      </c>
      <c r="K462" s="13">
        <f t="array" ref="K462">IFERROR(INDEX(Unified_Matrix!$A:$ZZ,ROW(A459),MATCH("+ OVR",Unified_Matrix!$1:$1,0)),"")</f>
        <v/>
      </c>
      <c r="L462" s="13">
        <f t="array" ref="L462">IFERROR(INDEX(Unified_Matrix!$A:$ZZ,ROW(A459),MATCH("Max OVR",Unified_Matrix!$1:$1,0)),"")</f>
        <v/>
      </c>
      <c r="M462" s="13">
        <f t="array" ref="M462">IFERROR(INDEX(Unified_Matrix!$A:$ZZ,ROW(A459),MATCH("Req_Position",Unified_Matrix!$1:$1,0)),"")</f>
        <v/>
      </c>
      <c r="N462" s="13">
        <f t="array" ref="N462">IFERROR(INDEX(Unified_Matrix!$A:$ZZ,ROW(A459),MATCH("Req_OVR_Max",Unified_Matrix!$1:$1,0)),"")</f>
        <v/>
      </c>
      <c r="O462" s="25">
        <f t="array" ref="O462">IFERROR(INDEX(Unified_Matrix!$A:$ZZ,ROW(A459),MATCH("Req_Other",Unified_Matrix!$1:$1,0)),"")</f>
        <v/>
      </c>
    </row>
    <row r="463" ht="68.25" customHeight="1">
      <c r="H463" s="13">
        <f t="array" ref="H463">IFERROR(INDEX(Unified_Matrix!$A:$ZZ,ROW(A460),MATCH("Max "&amp;$H$3,Unified_Matrix!$1:$1,0)),"")</f>
        <v/>
      </c>
      <c r="I463" s="25">
        <f t="array" ref="I463">IFERROR(INDEX(Unified_Matrix!$A:$ZZ,ROW(A460),MATCH("Evolution_Name",Unified_Matrix!$1:$1,0)),"")</f>
        <v/>
      </c>
      <c r="J463" s="13">
        <f>IF(H463="","",IF(H463=0,"",IF(H463=$Z$32,1,IF(H463=$Z$33,2,IF(H463=$Z$34,3,"")))))</f>
        <v/>
      </c>
      <c r="K463" s="13">
        <f t="array" ref="K463">IFERROR(INDEX(Unified_Matrix!$A:$ZZ,ROW(A460),MATCH("+ OVR",Unified_Matrix!$1:$1,0)),"")</f>
        <v/>
      </c>
      <c r="L463" s="13">
        <f t="array" ref="L463">IFERROR(INDEX(Unified_Matrix!$A:$ZZ,ROW(A460),MATCH("Max OVR",Unified_Matrix!$1:$1,0)),"")</f>
        <v/>
      </c>
      <c r="M463" s="13">
        <f t="array" ref="M463">IFERROR(INDEX(Unified_Matrix!$A:$ZZ,ROW(A460),MATCH("Req_Position",Unified_Matrix!$1:$1,0)),"")</f>
        <v/>
      </c>
      <c r="N463" s="13">
        <f t="array" ref="N463">IFERROR(INDEX(Unified_Matrix!$A:$ZZ,ROW(A460),MATCH("Req_OVR_Max",Unified_Matrix!$1:$1,0)),"")</f>
        <v/>
      </c>
      <c r="O463" s="25">
        <f t="array" ref="O463">IFERROR(INDEX(Unified_Matrix!$A:$ZZ,ROW(A460),MATCH("Req_Other",Unified_Matrix!$1:$1,0)),"")</f>
        <v/>
      </c>
    </row>
    <row r="464" ht="68.25" customHeight="1">
      <c r="H464" s="13">
        <f t="array" ref="H464">IFERROR(INDEX(Unified_Matrix!$A:$ZZ,ROW(A461),MATCH("Max "&amp;$H$3,Unified_Matrix!$1:$1,0)),"")</f>
        <v/>
      </c>
      <c r="I464" s="25">
        <f t="array" ref="I464">IFERROR(INDEX(Unified_Matrix!$A:$ZZ,ROW(A461),MATCH("Evolution_Name",Unified_Matrix!$1:$1,0)),"")</f>
        <v/>
      </c>
      <c r="J464" s="13">
        <f>IF(H464="","",IF(H464=0,"",IF(H464=$Z$32,1,IF(H464=$Z$33,2,IF(H464=$Z$34,3,"")))))</f>
        <v/>
      </c>
      <c r="K464" s="13">
        <f t="array" ref="K464">IFERROR(INDEX(Unified_Matrix!$A:$ZZ,ROW(A461),MATCH("+ OVR",Unified_Matrix!$1:$1,0)),"")</f>
        <v/>
      </c>
      <c r="L464" s="13">
        <f t="array" ref="L464">IFERROR(INDEX(Unified_Matrix!$A:$ZZ,ROW(A461),MATCH("Max OVR",Unified_Matrix!$1:$1,0)),"")</f>
        <v/>
      </c>
      <c r="M464" s="13">
        <f t="array" ref="M464">IFERROR(INDEX(Unified_Matrix!$A:$ZZ,ROW(A461),MATCH("Req_Position",Unified_Matrix!$1:$1,0)),"")</f>
        <v/>
      </c>
      <c r="N464" s="13">
        <f t="array" ref="N464">IFERROR(INDEX(Unified_Matrix!$A:$ZZ,ROW(A461),MATCH("Req_OVR_Max",Unified_Matrix!$1:$1,0)),"")</f>
        <v/>
      </c>
      <c r="O464" s="25">
        <f t="array" ref="O464">IFERROR(INDEX(Unified_Matrix!$A:$ZZ,ROW(A461),MATCH("Req_Other",Unified_Matrix!$1:$1,0)),"")</f>
        <v/>
      </c>
    </row>
    <row r="465" ht="68.25" customHeight="1">
      <c r="H465" s="13">
        <f t="array" ref="H465">IFERROR(INDEX(Unified_Matrix!$A:$ZZ,ROW(A462),MATCH("Max "&amp;$H$3,Unified_Matrix!$1:$1,0)),"")</f>
        <v/>
      </c>
      <c r="I465" s="25">
        <f t="array" ref="I465">IFERROR(INDEX(Unified_Matrix!$A:$ZZ,ROW(A462),MATCH("Evolution_Name",Unified_Matrix!$1:$1,0)),"")</f>
        <v/>
      </c>
      <c r="J465" s="13">
        <f>IF(H465="","",IF(H465=0,"",IF(H465=$Z$32,1,IF(H465=$Z$33,2,IF(H465=$Z$34,3,"")))))</f>
        <v/>
      </c>
      <c r="K465" s="13">
        <f t="array" ref="K465">IFERROR(INDEX(Unified_Matrix!$A:$ZZ,ROW(A462),MATCH("+ OVR",Unified_Matrix!$1:$1,0)),"")</f>
        <v/>
      </c>
      <c r="L465" s="13">
        <f t="array" ref="L465">IFERROR(INDEX(Unified_Matrix!$A:$ZZ,ROW(A462),MATCH("Max OVR",Unified_Matrix!$1:$1,0)),"")</f>
        <v/>
      </c>
      <c r="M465" s="13">
        <f t="array" ref="M465">IFERROR(INDEX(Unified_Matrix!$A:$ZZ,ROW(A462),MATCH("Req_Position",Unified_Matrix!$1:$1,0)),"")</f>
        <v/>
      </c>
      <c r="N465" s="13">
        <f t="array" ref="N465">IFERROR(INDEX(Unified_Matrix!$A:$ZZ,ROW(A462),MATCH("Req_OVR_Max",Unified_Matrix!$1:$1,0)),"")</f>
        <v/>
      </c>
      <c r="O465" s="25">
        <f t="array" ref="O465">IFERROR(INDEX(Unified_Matrix!$A:$ZZ,ROW(A462),MATCH("Req_Other",Unified_Matrix!$1:$1,0)),"")</f>
        <v/>
      </c>
    </row>
    <row r="466" ht="68.25" customHeight="1">
      <c r="H466" s="13">
        <f t="array" ref="H466">IFERROR(INDEX(Unified_Matrix!$A:$ZZ,ROW(A463),MATCH("Max "&amp;$H$3,Unified_Matrix!$1:$1,0)),"")</f>
        <v/>
      </c>
      <c r="I466" s="25">
        <f t="array" ref="I466">IFERROR(INDEX(Unified_Matrix!$A:$ZZ,ROW(A463),MATCH("Evolution_Name",Unified_Matrix!$1:$1,0)),"")</f>
        <v/>
      </c>
      <c r="J466" s="13">
        <f>IF(H466="","",IF(H466=0,"",IF(H466=$Z$32,1,IF(H466=$Z$33,2,IF(H466=$Z$34,3,"")))))</f>
        <v/>
      </c>
      <c r="K466" s="13">
        <f t="array" ref="K466">IFERROR(INDEX(Unified_Matrix!$A:$ZZ,ROW(A463),MATCH("+ OVR",Unified_Matrix!$1:$1,0)),"")</f>
        <v/>
      </c>
      <c r="L466" s="13">
        <f t="array" ref="L466">IFERROR(INDEX(Unified_Matrix!$A:$ZZ,ROW(A463),MATCH("Max OVR",Unified_Matrix!$1:$1,0)),"")</f>
        <v/>
      </c>
      <c r="M466" s="13">
        <f t="array" ref="M466">IFERROR(INDEX(Unified_Matrix!$A:$ZZ,ROW(A463),MATCH("Req_Position",Unified_Matrix!$1:$1,0)),"")</f>
        <v/>
      </c>
      <c r="N466" s="13">
        <f t="array" ref="N466">IFERROR(INDEX(Unified_Matrix!$A:$ZZ,ROW(A463),MATCH("Req_OVR_Max",Unified_Matrix!$1:$1,0)),"")</f>
        <v/>
      </c>
      <c r="O466" s="25">
        <f t="array" ref="O466">IFERROR(INDEX(Unified_Matrix!$A:$ZZ,ROW(A463),MATCH("Req_Other",Unified_Matrix!$1:$1,0)),"")</f>
        <v/>
      </c>
    </row>
    <row r="467" ht="68.25" customHeight="1">
      <c r="H467" s="13">
        <f t="array" ref="H467">IFERROR(INDEX(Unified_Matrix!$A:$ZZ,ROW(A464),MATCH("Max "&amp;$H$3,Unified_Matrix!$1:$1,0)),"")</f>
        <v/>
      </c>
      <c r="I467" s="25">
        <f t="array" ref="I467">IFERROR(INDEX(Unified_Matrix!$A:$ZZ,ROW(A464),MATCH("Evolution_Name",Unified_Matrix!$1:$1,0)),"")</f>
        <v/>
      </c>
      <c r="J467" s="13">
        <f>IF(H467="","",IF(H467=0,"",IF(H467=$Z$32,1,IF(H467=$Z$33,2,IF(H467=$Z$34,3,"")))))</f>
        <v/>
      </c>
      <c r="K467" s="13">
        <f t="array" ref="K467">IFERROR(INDEX(Unified_Matrix!$A:$ZZ,ROW(A464),MATCH("+ OVR",Unified_Matrix!$1:$1,0)),"")</f>
        <v/>
      </c>
      <c r="L467" s="13">
        <f t="array" ref="L467">IFERROR(INDEX(Unified_Matrix!$A:$ZZ,ROW(A464),MATCH("Max OVR",Unified_Matrix!$1:$1,0)),"")</f>
        <v/>
      </c>
      <c r="M467" s="13">
        <f t="array" ref="M467">IFERROR(INDEX(Unified_Matrix!$A:$ZZ,ROW(A464),MATCH("Req_Position",Unified_Matrix!$1:$1,0)),"")</f>
        <v/>
      </c>
      <c r="N467" s="13">
        <f t="array" ref="N467">IFERROR(INDEX(Unified_Matrix!$A:$ZZ,ROW(A464),MATCH("Req_OVR_Max",Unified_Matrix!$1:$1,0)),"")</f>
        <v/>
      </c>
      <c r="O467" s="25">
        <f t="array" ref="O467">IFERROR(INDEX(Unified_Matrix!$A:$ZZ,ROW(A464),MATCH("Req_Other",Unified_Matrix!$1:$1,0)),"")</f>
        <v/>
      </c>
    </row>
    <row r="468" ht="68.25" customHeight="1">
      <c r="H468" s="13">
        <f t="array" ref="H468">IFERROR(INDEX(Unified_Matrix!$A:$ZZ,ROW(A465),MATCH("Max "&amp;$H$3,Unified_Matrix!$1:$1,0)),"")</f>
        <v/>
      </c>
      <c r="I468" s="25">
        <f t="array" ref="I468">IFERROR(INDEX(Unified_Matrix!$A:$ZZ,ROW(A465),MATCH("Evolution_Name",Unified_Matrix!$1:$1,0)),"")</f>
        <v/>
      </c>
      <c r="J468" s="13">
        <f>IF(H468="","",IF(H468=0,"",IF(H468=$Z$32,1,IF(H468=$Z$33,2,IF(H468=$Z$34,3,"")))))</f>
        <v/>
      </c>
      <c r="K468" s="13">
        <f t="array" ref="K468">IFERROR(INDEX(Unified_Matrix!$A:$ZZ,ROW(A465),MATCH("+ OVR",Unified_Matrix!$1:$1,0)),"")</f>
        <v/>
      </c>
      <c r="L468" s="13">
        <f t="array" ref="L468">IFERROR(INDEX(Unified_Matrix!$A:$ZZ,ROW(A465),MATCH("Max OVR",Unified_Matrix!$1:$1,0)),"")</f>
        <v/>
      </c>
      <c r="M468" s="13">
        <f t="array" ref="M468">IFERROR(INDEX(Unified_Matrix!$A:$ZZ,ROW(A465),MATCH("Req_Position",Unified_Matrix!$1:$1,0)),"")</f>
        <v/>
      </c>
      <c r="N468" s="13">
        <f t="array" ref="N468">IFERROR(INDEX(Unified_Matrix!$A:$ZZ,ROW(A465),MATCH("Req_OVR_Max",Unified_Matrix!$1:$1,0)),"")</f>
        <v/>
      </c>
      <c r="O468" s="25">
        <f t="array" ref="O468">IFERROR(INDEX(Unified_Matrix!$A:$ZZ,ROW(A465),MATCH("Req_Other",Unified_Matrix!$1:$1,0)),"")</f>
        <v/>
      </c>
    </row>
    <row r="469" ht="68.25" customHeight="1">
      <c r="H469" s="13">
        <f t="array" ref="H469">IFERROR(INDEX(Unified_Matrix!$A:$ZZ,ROW(A466),MATCH("Max "&amp;$H$3,Unified_Matrix!$1:$1,0)),"")</f>
        <v/>
      </c>
      <c r="I469" s="25">
        <f t="array" ref="I469">IFERROR(INDEX(Unified_Matrix!$A:$ZZ,ROW(A466),MATCH("Evolution_Name",Unified_Matrix!$1:$1,0)),"")</f>
        <v/>
      </c>
      <c r="J469" s="13">
        <f>IF(H469="","",IF(H469=0,"",IF(H469=$Z$32,1,IF(H469=$Z$33,2,IF(H469=$Z$34,3,"")))))</f>
        <v/>
      </c>
      <c r="K469" s="13">
        <f t="array" ref="K469">IFERROR(INDEX(Unified_Matrix!$A:$ZZ,ROW(A466),MATCH("+ OVR",Unified_Matrix!$1:$1,0)),"")</f>
        <v/>
      </c>
      <c r="L469" s="13">
        <f t="array" ref="L469">IFERROR(INDEX(Unified_Matrix!$A:$ZZ,ROW(A466),MATCH("Max OVR",Unified_Matrix!$1:$1,0)),"")</f>
        <v/>
      </c>
      <c r="M469" s="13">
        <f t="array" ref="M469">IFERROR(INDEX(Unified_Matrix!$A:$ZZ,ROW(A466),MATCH("Req_Position",Unified_Matrix!$1:$1,0)),"")</f>
        <v/>
      </c>
      <c r="N469" s="13">
        <f t="array" ref="N469">IFERROR(INDEX(Unified_Matrix!$A:$ZZ,ROW(A466),MATCH("Req_OVR_Max",Unified_Matrix!$1:$1,0)),"")</f>
        <v/>
      </c>
      <c r="O469" s="25">
        <f t="array" ref="O469">IFERROR(INDEX(Unified_Matrix!$A:$ZZ,ROW(A466),MATCH("Req_Other",Unified_Matrix!$1:$1,0)),"")</f>
        <v/>
      </c>
    </row>
    <row r="470" ht="68.25" customHeight="1">
      <c r="H470" s="13">
        <f t="array" ref="H470">IFERROR(INDEX(Unified_Matrix!$A:$ZZ,ROW(A467),MATCH("Max "&amp;$H$3,Unified_Matrix!$1:$1,0)),"")</f>
        <v/>
      </c>
      <c r="I470" s="25">
        <f t="array" ref="I470">IFERROR(INDEX(Unified_Matrix!$A:$ZZ,ROW(A467),MATCH("Evolution_Name",Unified_Matrix!$1:$1,0)),"")</f>
        <v/>
      </c>
      <c r="J470" s="13">
        <f>IF(H470="","",IF(H470=0,"",IF(H470=$Z$32,1,IF(H470=$Z$33,2,IF(H470=$Z$34,3,"")))))</f>
        <v/>
      </c>
      <c r="K470" s="13">
        <f t="array" ref="K470">IFERROR(INDEX(Unified_Matrix!$A:$ZZ,ROW(A467),MATCH("+ OVR",Unified_Matrix!$1:$1,0)),"")</f>
        <v/>
      </c>
      <c r="L470" s="13">
        <f t="array" ref="L470">IFERROR(INDEX(Unified_Matrix!$A:$ZZ,ROW(A467),MATCH("Max OVR",Unified_Matrix!$1:$1,0)),"")</f>
        <v/>
      </c>
      <c r="M470" s="13">
        <f t="array" ref="M470">IFERROR(INDEX(Unified_Matrix!$A:$ZZ,ROW(A467),MATCH("Req_Position",Unified_Matrix!$1:$1,0)),"")</f>
        <v/>
      </c>
      <c r="N470" s="13">
        <f t="array" ref="N470">IFERROR(INDEX(Unified_Matrix!$A:$ZZ,ROW(A467),MATCH("Req_OVR_Max",Unified_Matrix!$1:$1,0)),"")</f>
        <v/>
      </c>
      <c r="O470" s="25">
        <f t="array" ref="O470">IFERROR(INDEX(Unified_Matrix!$A:$ZZ,ROW(A467),MATCH("Req_Other",Unified_Matrix!$1:$1,0)),"")</f>
        <v/>
      </c>
    </row>
    <row r="471" ht="68.25" customHeight="1">
      <c r="H471" s="13">
        <f t="array" ref="H471">IFERROR(INDEX(Unified_Matrix!$A:$ZZ,ROW(A468),MATCH("Max "&amp;$H$3,Unified_Matrix!$1:$1,0)),"")</f>
        <v/>
      </c>
      <c r="I471" s="25">
        <f t="array" ref="I471">IFERROR(INDEX(Unified_Matrix!$A:$ZZ,ROW(A468),MATCH("Evolution_Name",Unified_Matrix!$1:$1,0)),"")</f>
        <v/>
      </c>
      <c r="J471" s="13">
        <f>IF(H471="","",IF(H471=0,"",IF(H471=$Z$32,1,IF(H471=$Z$33,2,IF(H471=$Z$34,3,"")))))</f>
        <v/>
      </c>
      <c r="K471" s="13">
        <f t="array" ref="K471">IFERROR(INDEX(Unified_Matrix!$A:$ZZ,ROW(A468),MATCH("+ OVR",Unified_Matrix!$1:$1,0)),"")</f>
        <v/>
      </c>
      <c r="L471" s="13">
        <f t="array" ref="L471">IFERROR(INDEX(Unified_Matrix!$A:$ZZ,ROW(A468),MATCH("Max OVR",Unified_Matrix!$1:$1,0)),"")</f>
        <v/>
      </c>
      <c r="M471" s="13">
        <f t="array" ref="M471">IFERROR(INDEX(Unified_Matrix!$A:$ZZ,ROW(A468),MATCH("Req_Position",Unified_Matrix!$1:$1,0)),"")</f>
        <v/>
      </c>
      <c r="N471" s="13">
        <f t="array" ref="N471">IFERROR(INDEX(Unified_Matrix!$A:$ZZ,ROW(A468),MATCH("Req_OVR_Max",Unified_Matrix!$1:$1,0)),"")</f>
        <v/>
      </c>
      <c r="O471" s="25">
        <f t="array" ref="O471">IFERROR(INDEX(Unified_Matrix!$A:$ZZ,ROW(A468),MATCH("Req_Other",Unified_Matrix!$1:$1,0)),"")</f>
        <v/>
      </c>
    </row>
    <row r="472" ht="68.25" customHeight="1">
      <c r="H472" s="13">
        <f t="array" ref="H472">IFERROR(INDEX(Unified_Matrix!$A:$ZZ,ROW(A469),MATCH("Max "&amp;$H$3,Unified_Matrix!$1:$1,0)),"")</f>
        <v/>
      </c>
      <c r="I472" s="25">
        <f t="array" ref="I472">IFERROR(INDEX(Unified_Matrix!$A:$ZZ,ROW(A469),MATCH("Evolution_Name",Unified_Matrix!$1:$1,0)),"")</f>
        <v/>
      </c>
      <c r="J472" s="13">
        <f>IF(H472="","",IF(H472=0,"",IF(H472=$Z$32,1,IF(H472=$Z$33,2,IF(H472=$Z$34,3,"")))))</f>
        <v/>
      </c>
      <c r="K472" s="13">
        <f t="array" ref="K472">IFERROR(INDEX(Unified_Matrix!$A:$ZZ,ROW(A469),MATCH("+ OVR",Unified_Matrix!$1:$1,0)),"")</f>
        <v/>
      </c>
      <c r="L472" s="13">
        <f t="array" ref="L472">IFERROR(INDEX(Unified_Matrix!$A:$ZZ,ROW(A469),MATCH("Max OVR",Unified_Matrix!$1:$1,0)),"")</f>
        <v/>
      </c>
      <c r="M472" s="13">
        <f t="array" ref="M472">IFERROR(INDEX(Unified_Matrix!$A:$ZZ,ROW(A469),MATCH("Req_Position",Unified_Matrix!$1:$1,0)),"")</f>
        <v/>
      </c>
      <c r="N472" s="13">
        <f t="array" ref="N472">IFERROR(INDEX(Unified_Matrix!$A:$ZZ,ROW(A469),MATCH("Req_OVR_Max",Unified_Matrix!$1:$1,0)),"")</f>
        <v/>
      </c>
      <c r="O472" s="25">
        <f t="array" ref="O472">IFERROR(INDEX(Unified_Matrix!$A:$ZZ,ROW(A469),MATCH("Req_Other",Unified_Matrix!$1:$1,0)),"")</f>
        <v/>
      </c>
    </row>
    <row r="473" ht="68.25" customHeight="1">
      <c r="H473" s="13">
        <f t="array" ref="H473">IFERROR(INDEX(Unified_Matrix!$A:$ZZ,ROW(A470),MATCH("Max "&amp;$H$3,Unified_Matrix!$1:$1,0)),"")</f>
        <v/>
      </c>
      <c r="I473" s="25">
        <f t="array" ref="I473">IFERROR(INDEX(Unified_Matrix!$A:$ZZ,ROW(A470),MATCH("Evolution_Name",Unified_Matrix!$1:$1,0)),"")</f>
        <v/>
      </c>
      <c r="J473" s="13">
        <f>IF(H473="","",IF(H473=0,"",IF(H473=$Z$32,1,IF(H473=$Z$33,2,IF(H473=$Z$34,3,"")))))</f>
        <v/>
      </c>
      <c r="K473" s="13">
        <f t="array" ref="K473">IFERROR(INDEX(Unified_Matrix!$A:$ZZ,ROW(A470),MATCH("+ OVR",Unified_Matrix!$1:$1,0)),"")</f>
        <v/>
      </c>
      <c r="L473" s="13">
        <f t="array" ref="L473">IFERROR(INDEX(Unified_Matrix!$A:$ZZ,ROW(A470),MATCH("Max OVR",Unified_Matrix!$1:$1,0)),"")</f>
        <v/>
      </c>
      <c r="M473" s="13">
        <f t="array" ref="M473">IFERROR(INDEX(Unified_Matrix!$A:$ZZ,ROW(A470),MATCH("Req_Position",Unified_Matrix!$1:$1,0)),"")</f>
        <v/>
      </c>
      <c r="N473" s="13">
        <f t="array" ref="N473">IFERROR(INDEX(Unified_Matrix!$A:$ZZ,ROW(A470),MATCH("Req_OVR_Max",Unified_Matrix!$1:$1,0)),"")</f>
        <v/>
      </c>
      <c r="O473" s="25">
        <f t="array" ref="O473">IFERROR(INDEX(Unified_Matrix!$A:$ZZ,ROW(A470),MATCH("Req_Other",Unified_Matrix!$1:$1,0)),"")</f>
        <v/>
      </c>
    </row>
    <row r="474" ht="68.25" customHeight="1">
      <c r="H474" s="13">
        <f t="array" ref="H474">IFERROR(INDEX(Unified_Matrix!$A:$ZZ,ROW(A471),MATCH("Max "&amp;$H$3,Unified_Matrix!$1:$1,0)),"")</f>
        <v/>
      </c>
      <c r="I474" s="25">
        <f t="array" ref="I474">IFERROR(INDEX(Unified_Matrix!$A:$ZZ,ROW(A471),MATCH("Evolution_Name",Unified_Matrix!$1:$1,0)),"")</f>
        <v/>
      </c>
      <c r="J474" s="13">
        <f>IF(H474="","",IF(H474=0,"",IF(H474=$Z$32,1,IF(H474=$Z$33,2,IF(H474=$Z$34,3,"")))))</f>
        <v/>
      </c>
      <c r="K474" s="13">
        <f t="array" ref="K474">IFERROR(INDEX(Unified_Matrix!$A:$ZZ,ROW(A471),MATCH("+ OVR",Unified_Matrix!$1:$1,0)),"")</f>
        <v/>
      </c>
      <c r="L474" s="13">
        <f t="array" ref="L474">IFERROR(INDEX(Unified_Matrix!$A:$ZZ,ROW(A471),MATCH("Max OVR",Unified_Matrix!$1:$1,0)),"")</f>
        <v/>
      </c>
      <c r="M474" s="13">
        <f t="array" ref="M474">IFERROR(INDEX(Unified_Matrix!$A:$ZZ,ROW(A471),MATCH("Req_Position",Unified_Matrix!$1:$1,0)),"")</f>
        <v/>
      </c>
      <c r="N474" s="13">
        <f t="array" ref="N474">IFERROR(INDEX(Unified_Matrix!$A:$ZZ,ROW(A471),MATCH("Req_OVR_Max",Unified_Matrix!$1:$1,0)),"")</f>
        <v/>
      </c>
      <c r="O474" s="25">
        <f t="array" ref="O474">IFERROR(INDEX(Unified_Matrix!$A:$ZZ,ROW(A471),MATCH("Req_Other",Unified_Matrix!$1:$1,0)),"")</f>
        <v/>
      </c>
    </row>
    <row r="475" ht="68.25" customHeight="1">
      <c r="H475" s="13">
        <f t="array" ref="H475">IFERROR(INDEX(Unified_Matrix!$A:$ZZ,ROW(A472),MATCH("Max "&amp;$H$3,Unified_Matrix!$1:$1,0)),"")</f>
        <v/>
      </c>
      <c r="I475" s="25">
        <f t="array" ref="I475">IFERROR(INDEX(Unified_Matrix!$A:$ZZ,ROW(A472),MATCH("Evolution_Name",Unified_Matrix!$1:$1,0)),"")</f>
        <v/>
      </c>
      <c r="J475" s="13">
        <f>IF(H475="","",IF(H475=0,"",IF(H475=$Z$32,1,IF(H475=$Z$33,2,IF(H475=$Z$34,3,"")))))</f>
        <v/>
      </c>
      <c r="K475" s="13">
        <f t="array" ref="K475">IFERROR(INDEX(Unified_Matrix!$A:$ZZ,ROW(A472),MATCH("+ OVR",Unified_Matrix!$1:$1,0)),"")</f>
        <v/>
      </c>
      <c r="L475" s="13">
        <f t="array" ref="L475">IFERROR(INDEX(Unified_Matrix!$A:$ZZ,ROW(A472),MATCH("Max OVR",Unified_Matrix!$1:$1,0)),"")</f>
        <v/>
      </c>
      <c r="M475" s="13">
        <f t="array" ref="M475">IFERROR(INDEX(Unified_Matrix!$A:$ZZ,ROW(A472),MATCH("Req_Position",Unified_Matrix!$1:$1,0)),"")</f>
        <v/>
      </c>
      <c r="N475" s="13">
        <f t="array" ref="N475">IFERROR(INDEX(Unified_Matrix!$A:$ZZ,ROW(A472),MATCH("Req_OVR_Max",Unified_Matrix!$1:$1,0)),"")</f>
        <v/>
      </c>
      <c r="O475" s="25">
        <f t="array" ref="O475">IFERROR(INDEX(Unified_Matrix!$A:$ZZ,ROW(A472),MATCH("Req_Other",Unified_Matrix!$1:$1,0)),"")</f>
        <v/>
      </c>
    </row>
    <row r="476" ht="68.25" customHeight="1">
      <c r="H476" s="13">
        <f t="array" ref="H476">IFERROR(INDEX(Unified_Matrix!$A:$ZZ,ROW(A473),MATCH("Max "&amp;$H$3,Unified_Matrix!$1:$1,0)),"")</f>
        <v/>
      </c>
      <c r="I476" s="25">
        <f t="array" ref="I476">IFERROR(INDEX(Unified_Matrix!$A:$ZZ,ROW(A473),MATCH("Evolution_Name",Unified_Matrix!$1:$1,0)),"")</f>
        <v/>
      </c>
      <c r="J476" s="13">
        <f>IF(H476="","",IF(H476=0,"",IF(H476=$Z$32,1,IF(H476=$Z$33,2,IF(H476=$Z$34,3,"")))))</f>
        <v/>
      </c>
      <c r="K476" s="13">
        <f t="array" ref="K476">IFERROR(INDEX(Unified_Matrix!$A:$ZZ,ROW(A473),MATCH("+ OVR",Unified_Matrix!$1:$1,0)),"")</f>
        <v/>
      </c>
      <c r="L476" s="13">
        <f t="array" ref="L476">IFERROR(INDEX(Unified_Matrix!$A:$ZZ,ROW(A473),MATCH("Max OVR",Unified_Matrix!$1:$1,0)),"")</f>
        <v/>
      </c>
      <c r="M476" s="13">
        <f t="array" ref="M476">IFERROR(INDEX(Unified_Matrix!$A:$ZZ,ROW(A473),MATCH("Req_Position",Unified_Matrix!$1:$1,0)),"")</f>
        <v/>
      </c>
      <c r="N476" s="13">
        <f t="array" ref="N476">IFERROR(INDEX(Unified_Matrix!$A:$ZZ,ROW(A473),MATCH("Req_OVR_Max",Unified_Matrix!$1:$1,0)),"")</f>
        <v/>
      </c>
      <c r="O476" s="25">
        <f t="array" ref="O476">IFERROR(INDEX(Unified_Matrix!$A:$ZZ,ROW(A473),MATCH("Req_Other",Unified_Matrix!$1:$1,0)),"")</f>
        <v/>
      </c>
    </row>
    <row r="477" ht="68.25" customHeight="1">
      <c r="H477" s="13">
        <f t="array" ref="H477">IFERROR(INDEX(Unified_Matrix!$A:$ZZ,ROW(A474),MATCH("Max "&amp;$H$3,Unified_Matrix!$1:$1,0)),"")</f>
        <v/>
      </c>
      <c r="I477" s="25">
        <f t="array" ref="I477">IFERROR(INDEX(Unified_Matrix!$A:$ZZ,ROW(A474),MATCH("Evolution_Name",Unified_Matrix!$1:$1,0)),"")</f>
        <v/>
      </c>
      <c r="J477" s="13">
        <f>IF(H477="","",IF(H477=0,"",IF(H477=$Z$32,1,IF(H477=$Z$33,2,IF(H477=$Z$34,3,"")))))</f>
        <v/>
      </c>
      <c r="K477" s="13">
        <f t="array" ref="K477">IFERROR(INDEX(Unified_Matrix!$A:$ZZ,ROW(A474),MATCH("+ OVR",Unified_Matrix!$1:$1,0)),"")</f>
        <v/>
      </c>
      <c r="L477" s="13">
        <f t="array" ref="L477">IFERROR(INDEX(Unified_Matrix!$A:$ZZ,ROW(A474),MATCH("Max OVR",Unified_Matrix!$1:$1,0)),"")</f>
        <v/>
      </c>
      <c r="M477" s="13">
        <f t="array" ref="M477">IFERROR(INDEX(Unified_Matrix!$A:$ZZ,ROW(A474),MATCH("Req_Position",Unified_Matrix!$1:$1,0)),"")</f>
        <v/>
      </c>
      <c r="N477" s="13">
        <f t="array" ref="N477">IFERROR(INDEX(Unified_Matrix!$A:$ZZ,ROW(A474),MATCH("Req_OVR_Max",Unified_Matrix!$1:$1,0)),"")</f>
        <v/>
      </c>
      <c r="O477" s="25">
        <f t="array" ref="O477">IFERROR(INDEX(Unified_Matrix!$A:$ZZ,ROW(A474),MATCH("Req_Other",Unified_Matrix!$1:$1,0)),"")</f>
        <v/>
      </c>
    </row>
    <row r="478" ht="68.25" customHeight="1">
      <c r="H478" s="13">
        <f t="array" ref="H478">IFERROR(INDEX(Unified_Matrix!$A:$ZZ,ROW(A475),MATCH("Max "&amp;$H$3,Unified_Matrix!$1:$1,0)),"")</f>
        <v/>
      </c>
      <c r="I478" s="25">
        <f t="array" ref="I478">IFERROR(INDEX(Unified_Matrix!$A:$ZZ,ROW(A475),MATCH("Evolution_Name",Unified_Matrix!$1:$1,0)),"")</f>
        <v/>
      </c>
      <c r="J478" s="13">
        <f>IF(H478="","",IF(H478=0,"",IF(H478=$Z$32,1,IF(H478=$Z$33,2,IF(H478=$Z$34,3,"")))))</f>
        <v/>
      </c>
      <c r="K478" s="13">
        <f t="array" ref="K478">IFERROR(INDEX(Unified_Matrix!$A:$ZZ,ROW(A475),MATCH("+ OVR",Unified_Matrix!$1:$1,0)),"")</f>
        <v/>
      </c>
      <c r="L478" s="13">
        <f t="array" ref="L478">IFERROR(INDEX(Unified_Matrix!$A:$ZZ,ROW(A475),MATCH("Max OVR",Unified_Matrix!$1:$1,0)),"")</f>
        <v/>
      </c>
      <c r="M478" s="13">
        <f t="array" ref="M478">IFERROR(INDEX(Unified_Matrix!$A:$ZZ,ROW(A475),MATCH("Req_Position",Unified_Matrix!$1:$1,0)),"")</f>
        <v/>
      </c>
      <c r="N478" s="13">
        <f t="array" ref="N478">IFERROR(INDEX(Unified_Matrix!$A:$ZZ,ROW(A475),MATCH("Req_OVR_Max",Unified_Matrix!$1:$1,0)),"")</f>
        <v/>
      </c>
      <c r="O478" s="25">
        <f t="array" ref="O478">IFERROR(INDEX(Unified_Matrix!$A:$ZZ,ROW(A475),MATCH("Req_Other",Unified_Matrix!$1:$1,0)),"")</f>
        <v/>
      </c>
    </row>
    <row r="479" ht="68.25" customHeight="1">
      <c r="H479" s="13">
        <f t="array" ref="H479">IFERROR(INDEX(Unified_Matrix!$A:$ZZ,ROW(A476),MATCH("Max "&amp;$H$3,Unified_Matrix!$1:$1,0)),"")</f>
        <v/>
      </c>
      <c r="I479" s="25">
        <f t="array" ref="I479">IFERROR(INDEX(Unified_Matrix!$A:$ZZ,ROW(A476),MATCH("Evolution_Name",Unified_Matrix!$1:$1,0)),"")</f>
        <v/>
      </c>
      <c r="J479" s="13">
        <f>IF(H479="","",IF(H479=0,"",IF(H479=$Z$32,1,IF(H479=$Z$33,2,IF(H479=$Z$34,3,"")))))</f>
        <v/>
      </c>
      <c r="K479" s="13">
        <f t="array" ref="K479">IFERROR(INDEX(Unified_Matrix!$A:$ZZ,ROW(A476),MATCH("+ OVR",Unified_Matrix!$1:$1,0)),"")</f>
        <v/>
      </c>
      <c r="L479" s="13">
        <f t="array" ref="L479">IFERROR(INDEX(Unified_Matrix!$A:$ZZ,ROW(A476),MATCH("Max OVR",Unified_Matrix!$1:$1,0)),"")</f>
        <v/>
      </c>
      <c r="M479" s="13">
        <f t="array" ref="M479">IFERROR(INDEX(Unified_Matrix!$A:$ZZ,ROW(A476),MATCH("Req_Position",Unified_Matrix!$1:$1,0)),"")</f>
        <v/>
      </c>
      <c r="N479" s="13">
        <f t="array" ref="N479">IFERROR(INDEX(Unified_Matrix!$A:$ZZ,ROW(A476),MATCH("Req_OVR_Max",Unified_Matrix!$1:$1,0)),"")</f>
        <v/>
      </c>
      <c r="O479" s="25">
        <f t="array" ref="O479">IFERROR(INDEX(Unified_Matrix!$A:$ZZ,ROW(A476),MATCH("Req_Other",Unified_Matrix!$1:$1,0)),"")</f>
        <v/>
      </c>
    </row>
    <row r="480" ht="68.25" customHeight="1">
      <c r="H480" s="13">
        <f t="array" ref="H480">IFERROR(INDEX(Unified_Matrix!$A:$ZZ,ROW(A477),MATCH("Max "&amp;$H$3,Unified_Matrix!$1:$1,0)),"")</f>
        <v/>
      </c>
      <c r="I480" s="25">
        <f t="array" ref="I480">IFERROR(INDEX(Unified_Matrix!$A:$ZZ,ROW(A477),MATCH("Evolution_Name",Unified_Matrix!$1:$1,0)),"")</f>
        <v/>
      </c>
      <c r="J480" s="13">
        <f>IF(H480="","",IF(H480=0,"",IF(H480=$Z$32,1,IF(H480=$Z$33,2,IF(H480=$Z$34,3,"")))))</f>
        <v/>
      </c>
      <c r="K480" s="13">
        <f t="array" ref="K480">IFERROR(INDEX(Unified_Matrix!$A:$ZZ,ROW(A477),MATCH("+ OVR",Unified_Matrix!$1:$1,0)),"")</f>
        <v/>
      </c>
      <c r="L480" s="13">
        <f t="array" ref="L480">IFERROR(INDEX(Unified_Matrix!$A:$ZZ,ROW(A477),MATCH("Max OVR",Unified_Matrix!$1:$1,0)),"")</f>
        <v/>
      </c>
      <c r="M480" s="13">
        <f t="array" ref="M480">IFERROR(INDEX(Unified_Matrix!$A:$ZZ,ROW(A477),MATCH("Req_Position",Unified_Matrix!$1:$1,0)),"")</f>
        <v/>
      </c>
      <c r="N480" s="13">
        <f t="array" ref="N480">IFERROR(INDEX(Unified_Matrix!$A:$ZZ,ROW(A477),MATCH("Req_OVR_Max",Unified_Matrix!$1:$1,0)),"")</f>
        <v/>
      </c>
      <c r="O480" s="25">
        <f t="array" ref="O480">IFERROR(INDEX(Unified_Matrix!$A:$ZZ,ROW(A477),MATCH("Req_Other",Unified_Matrix!$1:$1,0)),"")</f>
        <v/>
      </c>
    </row>
    <row r="481" ht="68.25" customHeight="1">
      <c r="H481" s="13">
        <f t="array" ref="H481">IFERROR(INDEX(Unified_Matrix!$A:$ZZ,ROW(A478),MATCH("Max "&amp;$H$3,Unified_Matrix!$1:$1,0)),"")</f>
        <v/>
      </c>
      <c r="I481" s="25">
        <f t="array" ref="I481">IFERROR(INDEX(Unified_Matrix!$A:$ZZ,ROW(A478),MATCH("Evolution_Name",Unified_Matrix!$1:$1,0)),"")</f>
        <v/>
      </c>
      <c r="J481" s="13">
        <f>IF(H481="","",IF(H481=0,"",IF(H481=$Z$32,1,IF(H481=$Z$33,2,IF(H481=$Z$34,3,"")))))</f>
        <v/>
      </c>
      <c r="K481" s="13">
        <f t="array" ref="K481">IFERROR(INDEX(Unified_Matrix!$A:$ZZ,ROW(A478),MATCH("+ OVR",Unified_Matrix!$1:$1,0)),"")</f>
        <v/>
      </c>
      <c r="L481" s="13">
        <f t="array" ref="L481">IFERROR(INDEX(Unified_Matrix!$A:$ZZ,ROW(A478),MATCH("Max OVR",Unified_Matrix!$1:$1,0)),"")</f>
        <v/>
      </c>
      <c r="M481" s="13">
        <f t="array" ref="M481">IFERROR(INDEX(Unified_Matrix!$A:$ZZ,ROW(A478),MATCH("Req_Position",Unified_Matrix!$1:$1,0)),"")</f>
        <v/>
      </c>
      <c r="N481" s="13">
        <f t="array" ref="N481">IFERROR(INDEX(Unified_Matrix!$A:$ZZ,ROW(A478),MATCH("Req_OVR_Max",Unified_Matrix!$1:$1,0)),"")</f>
        <v/>
      </c>
      <c r="O481" s="25">
        <f t="array" ref="O481">IFERROR(INDEX(Unified_Matrix!$A:$ZZ,ROW(A478),MATCH("Req_Other",Unified_Matrix!$1:$1,0)),"")</f>
        <v/>
      </c>
    </row>
    <row r="482" ht="68.25" customHeight="1">
      <c r="H482" s="13">
        <f t="array" ref="H482">IFERROR(INDEX(Unified_Matrix!$A:$ZZ,ROW(A479),MATCH("Max "&amp;$H$3,Unified_Matrix!$1:$1,0)),"")</f>
        <v/>
      </c>
      <c r="I482" s="25">
        <f t="array" ref="I482">IFERROR(INDEX(Unified_Matrix!$A:$ZZ,ROW(A479),MATCH("Evolution_Name",Unified_Matrix!$1:$1,0)),"")</f>
        <v/>
      </c>
      <c r="J482" s="13">
        <f>IF(H482="","",IF(H482=0,"",IF(H482=$Z$32,1,IF(H482=$Z$33,2,IF(H482=$Z$34,3,"")))))</f>
        <v/>
      </c>
      <c r="K482" s="13">
        <f t="array" ref="K482">IFERROR(INDEX(Unified_Matrix!$A:$ZZ,ROW(A479),MATCH("+ OVR",Unified_Matrix!$1:$1,0)),"")</f>
        <v/>
      </c>
      <c r="L482" s="13">
        <f t="array" ref="L482">IFERROR(INDEX(Unified_Matrix!$A:$ZZ,ROW(A479),MATCH("Max OVR",Unified_Matrix!$1:$1,0)),"")</f>
        <v/>
      </c>
      <c r="M482" s="13">
        <f t="array" ref="M482">IFERROR(INDEX(Unified_Matrix!$A:$ZZ,ROW(A479),MATCH("Req_Position",Unified_Matrix!$1:$1,0)),"")</f>
        <v/>
      </c>
      <c r="N482" s="13">
        <f t="array" ref="N482">IFERROR(INDEX(Unified_Matrix!$A:$ZZ,ROW(A479),MATCH("Req_OVR_Max",Unified_Matrix!$1:$1,0)),"")</f>
        <v/>
      </c>
      <c r="O482" s="25">
        <f t="array" ref="O482">IFERROR(INDEX(Unified_Matrix!$A:$ZZ,ROW(A479),MATCH("Req_Other",Unified_Matrix!$1:$1,0)),"")</f>
        <v/>
      </c>
    </row>
    <row r="483" ht="68.25" customHeight="1">
      <c r="H483" s="13">
        <f t="array" ref="H483">IFERROR(INDEX(Unified_Matrix!$A:$ZZ,ROW(A480),MATCH("Max "&amp;$H$3,Unified_Matrix!$1:$1,0)),"")</f>
        <v/>
      </c>
      <c r="I483" s="25">
        <f t="array" ref="I483">IFERROR(INDEX(Unified_Matrix!$A:$ZZ,ROW(A480),MATCH("Evolution_Name",Unified_Matrix!$1:$1,0)),"")</f>
        <v/>
      </c>
      <c r="J483" s="13">
        <f>IF(H483="","",IF(H483=0,"",IF(H483=$Z$32,1,IF(H483=$Z$33,2,IF(H483=$Z$34,3,"")))))</f>
        <v/>
      </c>
      <c r="K483" s="13">
        <f t="array" ref="K483">IFERROR(INDEX(Unified_Matrix!$A:$ZZ,ROW(A480),MATCH("+ OVR",Unified_Matrix!$1:$1,0)),"")</f>
        <v/>
      </c>
      <c r="L483" s="13">
        <f t="array" ref="L483">IFERROR(INDEX(Unified_Matrix!$A:$ZZ,ROW(A480),MATCH("Max OVR",Unified_Matrix!$1:$1,0)),"")</f>
        <v/>
      </c>
      <c r="M483" s="13">
        <f t="array" ref="M483">IFERROR(INDEX(Unified_Matrix!$A:$ZZ,ROW(A480),MATCH("Req_Position",Unified_Matrix!$1:$1,0)),"")</f>
        <v/>
      </c>
      <c r="N483" s="13">
        <f t="array" ref="N483">IFERROR(INDEX(Unified_Matrix!$A:$ZZ,ROW(A480),MATCH("Req_OVR_Max",Unified_Matrix!$1:$1,0)),"")</f>
        <v/>
      </c>
      <c r="O483" s="25">
        <f t="array" ref="O483">IFERROR(INDEX(Unified_Matrix!$A:$ZZ,ROW(A480),MATCH("Req_Other",Unified_Matrix!$1:$1,0)),"")</f>
        <v/>
      </c>
    </row>
    <row r="484" ht="68.25" customHeight="1">
      <c r="H484" s="13">
        <f t="array" ref="H484">IFERROR(INDEX(Unified_Matrix!$A:$ZZ,ROW(A481),MATCH("Max "&amp;$H$3,Unified_Matrix!$1:$1,0)),"")</f>
        <v/>
      </c>
      <c r="I484" s="25">
        <f t="array" ref="I484">IFERROR(INDEX(Unified_Matrix!$A:$ZZ,ROW(A481),MATCH("Evolution_Name",Unified_Matrix!$1:$1,0)),"")</f>
        <v/>
      </c>
      <c r="J484" s="13">
        <f>IF(H484="","",IF(H484=0,"",IF(H484=$Z$32,1,IF(H484=$Z$33,2,IF(H484=$Z$34,3,"")))))</f>
        <v/>
      </c>
      <c r="K484" s="13">
        <f t="array" ref="K484">IFERROR(INDEX(Unified_Matrix!$A:$ZZ,ROW(A481),MATCH("+ OVR",Unified_Matrix!$1:$1,0)),"")</f>
        <v/>
      </c>
      <c r="L484" s="13">
        <f t="array" ref="L484">IFERROR(INDEX(Unified_Matrix!$A:$ZZ,ROW(A481),MATCH("Max OVR",Unified_Matrix!$1:$1,0)),"")</f>
        <v/>
      </c>
      <c r="M484" s="13">
        <f t="array" ref="M484">IFERROR(INDEX(Unified_Matrix!$A:$ZZ,ROW(A481),MATCH("Req_Position",Unified_Matrix!$1:$1,0)),"")</f>
        <v/>
      </c>
      <c r="N484" s="13">
        <f t="array" ref="N484">IFERROR(INDEX(Unified_Matrix!$A:$ZZ,ROW(A481),MATCH("Req_OVR_Max",Unified_Matrix!$1:$1,0)),"")</f>
        <v/>
      </c>
      <c r="O484" s="25">
        <f t="array" ref="O484">IFERROR(INDEX(Unified_Matrix!$A:$ZZ,ROW(A481),MATCH("Req_Other",Unified_Matrix!$1:$1,0)),"")</f>
        <v/>
      </c>
    </row>
    <row r="485" ht="68.25" customHeight="1">
      <c r="H485" s="13">
        <f t="array" ref="H485">IFERROR(INDEX(Unified_Matrix!$A:$ZZ,ROW(A482),MATCH("Max "&amp;$H$3,Unified_Matrix!$1:$1,0)),"")</f>
        <v/>
      </c>
      <c r="I485" s="25">
        <f t="array" ref="I485">IFERROR(INDEX(Unified_Matrix!$A:$ZZ,ROW(A482),MATCH("Evolution_Name",Unified_Matrix!$1:$1,0)),"")</f>
        <v/>
      </c>
      <c r="J485" s="13">
        <f>IF(H485="","",IF(H485=0,"",IF(H485=$Z$32,1,IF(H485=$Z$33,2,IF(H485=$Z$34,3,"")))))</f>
        <v/>
      </c>
      <c r="K485" s="13">
        <f t="array" ref="K485">IFERROR(INDEX(Unified_Matrix!$A:$ZZ,ROW(A482),MATCH("+ OVR",Unified_Matrix!$1:$1,0)),"")</f>
        <v/>
      </c>
      <c r="L485" s="13">
        <f t="array" ref="L485">IFERROR(INDEX(Unified_Matrix!$A:$ZZ,ROW(A482),MATCH("Max OVR",Unified_Matrix!$1:$1,0)),"")</f>
        <v/>
      </c>
      <c r="M485" s="13">
        <f t="array" ref="M485">IFERROR(INDEX(Unified_Matrix!$A:$ZZ,ROW(A482),MATCH("Req_Position",Unified_Matrix!$1:$1,0)),"")</f>
        <v/>
      </c>
      <c r="N485" s="13">
        <f t="array" ref="N485">IFERROR(INDEX(Unified_Matrix!$A:$ZZ,ROW(A482),MATCH("Req_OVR_Max",Unified_Matrix!$1:$1,0)),"")</f>
        <v/>
      </c>
      <c r="O485" s="25">
        <f t="array" ref="O485">IFERROR(INDEX(Unified_Matrix!$A:$ZZ,ROW(A482),MATCH("Req_Other",Unified_Matrix!$1:$1,0)),"")</f>
        <v/>
      </c>
    </row>
    <row r="486" ht="68.25" customHeight="1">
      <c r="H486" s="13">
        <f t="array" ref="H486">IFERROR(INDEX(Unified_Matrix!$A:$ZZ,ROW(A483),MATCH("Max "&amp;$H$3,Unified_Matrix!$1:$1,0)),"")</f>
        <v/>
      </c>
      <c r="I486" s="25">
        <f t="array" ref="I486">IFERROR(INDEX(Unified_Matrix!$A:$ZZ,ROW(A483),MATCH("Evolution_Name",Unified_Matrix!$1:$1,0)),"")</f>
        <v/>
      </c>
      <c r="J486" s="13">
        <f>IF(H486="","",IF(H486=0,"",IF(H486=$Z$32,1,IF(H486=$Z$33,2,IF(H486=$Z$34,3,"")))))</f>
        <v/>
      </c>
      <c r="K486" s="13">
        <f t="array" ref="K486">IFERROR(INDEX(Unified_Matrix!$A:$ZZ,ROW(A483),MATCH("+ OVR",Unified_Matrix!$1:$1,0)),"")</f>
        <v/>
      </c>
      <c r="L486" s="13">
        <f t="array" ref="L486">IFERROR(INDEX(Unified_Matrix!$A:$ZZ,ROW(A483),MATCH("Max OVR",Unified_Matrix!$1:$1,0)),"")</f>
        <v/>
      </c>
      <c r="M486" s="13">
        <f t="array" ref="M486">IFERROR(INDEX(Unified_Matrix!$A:$ZZ,ROW(A483),MATCH("Req_Position",Unified_Matrix!$1:$1,0)),"")</f>
        <v/>
      </c>
      <c r="N486" s="13">
        <f t="array" ref="N486">IFERROR(INDEX(Unified_Matrix!$A:$ZZ,ROW(A483),MATCH("Req_OVR_Max",Unified_Matrix!$1:$1,0)),"")</f>
        <v/>
      </c>
      <c r="O486" s="25">
        <f t="array" ref="O486">IFERROR(INDEX(Unified_Matrix!$A:$ZZ,ROW(A483),MATCH("Req_Other",Unified_Matrix!$1:$1,0)),"")</f>
        <v/>
      </c>
    </row>
    <row r="487" ht="68.25" customHeight="1">
      <c r="H487" s="13">
        <f t="array" ref="H487">IFERROR(INDEX(Unified_Matrix!$A:$ZZ,ROW(A484),MATCH("Max "&amp;$H$3,Unified_Matrix!$1:$1,0)),"")</f>
        <v/>
      </c>
      <c r="I487" s="25">
        <f t="array" ref="I487">IFERROR(INDEX(Unified_Matrix!$A:$ZZ,ROW(A484),MATCH("Evolution_Name",Unified_Matrix!$1:$1,0)),"")</f>
        <v/>
      </c>
      <c r="J487" s="13">
        <f>IF(H487="","",IF(H487=0,"",IF(H487=$Z$32,1,IF(H487=$Z$33,2,IF(H487=$Z$34,3,"")))))</f>
        <v/>
      </c>
      <c r="K487" s="13">
        <f t="array" ref="K487">IFERROR(INDEX(Unified_Matrix!$A:$ZZ,ROW(A484),MATCH("+ OVR",Unified_Matrix!$1:$1,0)),"")</f>
        <v/>
      </c>
      <c r="L487" s="13">
        <f t="array" ref="L487">IFERROR(INDEX(Unified_Matrix!$A:$ZZ,ROW(A484),MATCH("Max OVR",Unified_Matrix!$1:$1,0)),"")</f>
        <v/>
      </c>
      <c r="M487" s="13">
        <f t="array" ref="M487">IFERROR(INDEX(Unified_Matrix!$A:$ZZ,ROW(A484),MATCH("Req_Position",Unified_Matrix!$1:$1,0)),"")</f>
        <v/>
      </c>
      <c r="N487" s="13">
        <f t="array" ref="N487">IFERROR(INDEX(Unified_Matrix!$A:$ZZ,ROW(A484),MATCH("Req_OVR_Max",Unified_Matrix!$1:$1,0)),"")</f>
        <v/>
      </c>
      <c r="O487" s="25">
        <f t="array" ref="O487">IFERROR(INDEX(Unified_Matrix!$A:$ZZ,ROW(A484),MATCH("Req_Other",Unified_Matrix!$1:$1,0)),"")</f>
        <v/>
      </c>
    </row>
    <row r="488" ht="68.25" customHeight="1">
      <c r="H488" s="13">
        <f t="array" ref="H488">IFERROR(INDEX(Unified_Matrix!$A:$ZZ,ROW(A485),MATCH("Max "&amp;$H$3,Unified_Matrix!$1:$1,0)),"")</f>
        <v/>
      </c>
      <c r="I488" s="25">
        <f t="array" ref="I488">IFERROR(INDEX(Unified_Matrix!$A:$ZZ,ROW(A485),MATCH("Evolution_Name",Unified_Matrix!$1:$1,0)),"")</f>
        <v/>
      </c>
      <c r="J488" s="13">
        <f>IF(H488="","",IF(H488=0,"",IF(H488=$Z$32,1,IF(H488=$Z$33,2,IF(H488=$Z$34,3,"")))))</f>
        <v/>
      </c>
      <c r="K488" s="13">
        <f t="array" ref="K488">IFERROR(INDEX(Unified_Matrix!$A:$ZZ,ROW(A485),MATCH("+ OVR",Unified_Matrix!$1:$1,0)),"")</f>
        <v/>
      </c>
      <c r="L488" s="13">
        <f t="array" ref="L488">IFERROR(INDEX(Unified_Matrix!$A:$ZZ,ROW(A485),MATCH("Max OVR",Unified_Matrix!$1:$1,0)),"")</f>
        <v/>
      </c>
      <c r="M488" s="13">
        <f t="array" ref="M488">IFERROR(INDEX(Unified_Matrix!$A:$ZZ,ROW(A485),MATCH("Req_Position",Unified_Matrix!$1:$1,0)),"")</f>
        <v/>
      </c>
      <c r="N488" s="13">
        <f t="array" ref="N488">IFERROR(INDEX(Unified_Matrix!$A:$ZZ,ROW(A485),MATCH("Req_OVR_Max",Unified_Matrix!$1:$1,0)),"")</f>
        <v/>
      </c>
      <c r="O488" s="25">
        <f t="array" ref="O488">IFERROR(INDEX(Unified_Matrix!$A:$ZZ,ROW(A485),MATCH("Req_Other",Unified_Matrix!$1:$1,0)),"")</f>
        <v/>
      </c>
    </row>
    <row r="489" ht="68.25" customHeight="1">
      <c r="H489" s="13">
        <f t="array" ref="H489">IFERROR(INDEX(Unified_Matrix!$A:$ZZ,ROW(A486),MATCH("Max "&amp;$H$3,Unified_Matrix!$1:$1,0)),"")</f>
        <v/>
      </c>
      <c r="I489" s="25">
        <f t="array" ref="I489">IFERROR(INDEX(Unified_Matrix!$A:$ZZ,ROW(A486),MATCH("Evolution_Name",Unified_Matrix!$1:$1,0)),"")</f>
        <v/>
      </c>
      <c r="J489" s="13">
        <f>IF(H489="","",IF(H489=0,"",IF(H489=$Z$32,1,IF(H489=$Z$33,2,IF(H489=$Z$34,3,"")))))</f>
        <v/>
      </c>
      <c r="K489" s="13">
        <f t="array" ref="K489">IFERROR(INDEX(Unified_Matrix!$A:$ZZ,ROW(A486),MATCH("+ OVR",Unified_Matrix!$1:$1,0)),"")</f>
        <v/>
      </c>
      <c r="L489" s="13">
        <f t="array" ref="L489">IFERROR(INDEX(Unified_Matrix!$A:$ZZ,ROW(A486),MATCH("Max OVR",Unified_Matrix!$1:$1,0)),"")</f>
        <v/>
      </c>
      <c r="M489" s="13">
        <f t="array" ref="M489">IFERROR(INDEX(Unified_Matrix!$A:$ZZ,ROW(A486),MATCH("Req_Position",Unified_Matrix!$1:$1,0)),"")</f>
        <v/>
      </c>
      <c r="N489" s="13">
        <f t="array" ref="N489">IFERROR(INDEX(Unified_Matrix!$A:$ZZ,ROW(A486),MATCH("Req_OVR_Max",Unified_Matrix!$1:$1,0)),"")</f>
        <v/>
      </c>
      <c r="O489" s="25">
        <f t="array" ref="O489">IFERROR(INDEX(Unified_Matrix!$A:$ZZ,ROW(A486),MATCH("Req_Other",Unified_Matrix!$1:$1,0)),"")</f>
        <v/>
      </c>
    </row>
    <row r="490" ht="68.25" customHeight="1">
      <c r="H490" s="13">
        <f t="array" ref="H490">IFERROR(INDEX(Unified_Matrix!$A:$ZZ,ROW(A487),MATCH("Max "&amp;$H$3,Unified_Matrix!$1:$1,0)),"")</f>
        <v/>
      </c>
      <c r="I490" s="25">
        <f t="array" ref="I490">IFERROR(INDEX(Unified_Matrix!$A:$ZZ,ROW(A487),MATCH("Evolution_Name",Unified_Matrix!$1:$1,0)),"")</f>
        <v/>
      </c>
      <c r="J490" s="13">
        <f>IF(H490="","",IF(H490=0,"",IF(H490=$Z$32,1,IF(H490=$Z$33,2,IF(H490=$Z$34,3,"")))))</f>
        <v/>
      </c>
      <c r="K490" s="13">
        <f t="array" ref="K490">IFERROR(INDEX(Unified_Matrix!$A:$ZZ,ROW(A487),MATCH("+ OVR",Unified_Matrix!$1:$1,0)),"")</f>
        <v/>
      </c>
      <c r="L490" s="13">
        <f t="array" ref="L490">IFERROR(INDEX(Unified_Matrix!$A:$ZZ,ROW(A487),MATCH("Max OVR",Unified_Matrix!$1:$1,0)),"")</f>
        <v/>
      </c>
      <c r="M490" s="13">
        <f t="array" ref="M490">IFERROR(INDEX(Unified_Matrix!$A:$ZZ,ROW(A487),MATCH("Req_Position",Unified_Matrix!$1:$1,0)),"")</f>
        <v/>
      </c>
      <c r="N490" s="13">
        <f t="array" ref="N490">IFERROR(INDEX(Unified_Matrix!$A:$ZZ,ROW(A487),MATCH("Req_OVR_Max",Unified_Matrix!$1:$1,0)),"")</f>
        <v/>
      </c>
      <c r="O490" s="25">
        <f t="array" ref="O490">IFERROR(INDEX(Unified_Matrix!$A:$ZZ,ROW(A487),MATCH("Req_Other",Unified_Matrix!$1:$1,0)),"")</f>
        <v/>
      </c>
    </row>
    <row r="491" ht="68.25" customHeight="1">
      <c r="H491" s="13">
        <f t="array" ref="H491">IFERROR(INDEX(Unified_Matrix!$A:$ZZ,ROW(A488),MATCH("Max "&amp;$H$3,Unified_Matrix!$1:$1,0)),"")</f>
        <v/>
      </c>
      <c r="I491" s="25">
        <f t="array" ref="I491">IFERROR(INDEX(Unified_Matrix!$A:$ZZ,ROW(A488),MATCH("Evolution_Name",Unified_Matrix!$1:$1,0)),"")</f>
        <v/>
      </c>
      <c r="J491" s="13">
        <f>IF(H491="","",IF(H491=0,"",IF(H491=$Z$32,1,IF(H491=$Z$33,2,IF(H491=$Z$34,3,"")))))</f>
        <v/>
      </c>
      <c r="K491" s="13">
        <f t="array" ref="K491">IFERROR(INDEX(Unified_Matrix!$A:$ZZ,ROW(A488),MATCH("+ OVR",Unified_Matrix!$1:$1,0)),"")</f>
        <v/>
      </c>
      <c r="L491" s="13">
        <f t="array" ref="L491">IFERROR(INDEX(Unified_Matrix!$A:$ZZ,ROW(A488),MATCH("Max OVR",Unified_Matrix!$1:$1,0)),"")</f>
        <v/>
      </c>
      <c r="M491" s="13">
        <f t="array" ref="M491">IFERROR(INDEX(Unified_Matrix!$A:$ZZ,ROW(A488),MATCH("Req_Position",Unified_Matrix!$1:$1,0)),"")</f>
        <v/>
      </c>
      <c r="N491" s="13">
        <f t="array" ref="N491">IFERROR(INDEX(Unified_Matrix!$A:$ZZ,ROW(A488),MATCH("Req_OVR_Max",Unified_Matrix!$1:$1,0)),"")</f>
        <v/>
      </c>
      <c r="O491" s="25">
        <f t="array" ref="O491">IFERROR(INDEX(Unified_Matrix!$A:$ZZ,ROW(A488),MATCH("Req_Other",Unified_Matrix!$1:$1,0)),"")</f>
        <v/>
      </c>
    </row>
    <row r="492" ht="68.25" customHeight="1">
      <c r="H492" s="13">
        <f t="array" ref="H492">IFERROR(INDEX(Unified_Matrix!$A:$ZZ,ROW(A489),MATCH("Max "&amp;$H$3,Unified_Matrix!$1:$1,0)),"")</f>
        <v/>
      </c>
      <c r="I492" s="25">
        <f t="array" ref="I492">IFERROR(INDEX(Unified_Matrix!$A:$ZZ,ROW(A489),MATCH("Evolution_Name",Unified_Matrix!$1:$1,0)),"")</f>
        <v/>
      </c>
      <c r="J492" s="13">
        <f>IF(H492="","",IF(H492=0,"",IF(H492=$Z$32,1,IF(H492=$Z$33,2,IF(H492=$Z$34,3,"")))))</f>
        <v/>
      </c>
      <c r="K492" s="13">
        <f t="array" ref="K492">IFERROR(INDEX(Unified_Matrix!$A:$ZZ,ROW(A489),MATCH("+ OVR",Unified_Matrix!$1:$1,0)),"")</f>
        <v/>
      </c>
      <c r="L492" s="13">
        <f t="array" ref="L492">IFERROR(INDEX(Unified_Matrix!$A:$ZZ,ROW(A489),MATCH("Max OVR",Unified_Matrix!$1:$1,0)),"")</f>
        <v/>
      </c>
      <c r="M492" s="13">
        <f t="array" ref="M492">IFERROR(INDEX(Unified_Matrix!$A:$ZZ,ROW(A489),MATCH("Req_Position",Unified_Matrix!$1:$1,0)),"")</f>
        <v/>
      </c>
      <c r="N492" s="13">
        <f t="array" ref="N492">IFERROR(INDEX(Unified_Matrix!$A:$ZZ,ROW(A489),MATCH("Req_OVR_Max",Unified_Matrix!$1:$1,0)),"")</f>
        <v/>
      </c>
      <c r="O492" s="25">
        <f t="array" ref="O492">IFERROR(INDEX(Unified_Matrix!$A:$ZZ,ROW(A489),MATCH("Req_Other",Unified_Matrix!$1:$1,0)),"")</f>
        <v/>
      </c>
    </row>
    <row r="493" ht="68.25" customHeight="1">
      <c r="H493" s="13">
        <f t="array" ref="H493">IFERROR(INDEX(Unified_Matrix!$A:$ZZ,ROW(A490),MATCH("Max "&amp;$H$3,Unified_Matrix!$1:$1,0)),"")</f>
        <v/>
      </c>
      <c r="I493" s="25">
        <f t="array" ref="I493">IFERROR(INDEX(Unified_Matrix!$A:$ZZ,ROW(A490),MATCH("Evolution_Name",Unified_Matrix!$1:$1,0)),"")</f>
        <v/>
      </c>
      <c r="J493" s="13">
        <f>IF(H493="","",IF(H493=0,"",IF(H493=$Z$32,1,IF(H493=$Z$33,2,IF(H493=$Z$34,3,"")))))</f>
        <v/>
      </c>
      <c r="K493" s="13">
        <f t="array" ref="K493">IFERROR(INDEX(Unified_Matrix!$A:$ZZ,ROW(A490),MATCH("+ OVR",Unified_Matrix!$1:$1,0)),"")</f>
        <v/>
      </c>
      <c r="L493" s="13">
        <f t="array" ref="L493">IFERROR(INDEX(Unified_Matrix!$A:$ZZ,ROW(A490),MATCH("Max OVR",Unified_Matrix!$1:$1,0)),"")</f>
        <v/>
      </c>
      <c r="M493" s="13">
        <f t="array" ref="M493">IFERROR(INDEX(Unified_Matrix!$A:$ZZ,ROW(A490),MATCH("Req_Position",Unified_Matrix!$1:$1,0)),"")</f>
        <v/>
      </c>
      <c r="N493" s="13">
        <f t="array" ref="N493">IFERROR(INDEX(Unified_Matrix!$A:$ZZ,ROW(A490),MATCH("Req_OVR_Max",Unified_Matrix!$1:$1,0)),"")</f>
        <v/>
      </c>
      <c r="O493" s="25">
        <f t="array" ref="O493">IFERROR(INDEX(Unified_Matrix!$A:$ZZ,ROW(A490),MATCH("Req_Other",Unified_Matrix!$1:$1,0)),"")</f>
        <v/>
      </c>
    </row>
    <row r="494" ht="68.25" customHeight="1">
      <c r="H494" s="13">
        <f t="array" ref="H494">IFERROR(INDEX(Unified_Matrix!$A:$ZZ,ROW(A491),MATCH("Max "&amp;$H$3,Unified_Matrix!$1:$1,0)),"")</f>
        <v/>
      </c>
      <c r="I494" s="25">
        <f t="array" ref="I494">IFERROR(INDEX(Unified_Matrix!$A:$ZZ,ROW(A491),MATCH("Evolution_Name",Unified_Matrix!$1:$1,0)),"")</f>
        <v/>
      </c>
      <c r="J494" s="13">
        <f>IF(H494="","",IF(H494=0,"",IF(H494=$Z$32,1,IF(H494=$Z$33,2,IF(H494=$Z$34,3,"")))))</f>
        <v/>
      </c>
      <c r="K494" s="13">
        <f t="array" ref="K494">IFERROR(INDEX(Unified_Matrix!$A:$ZZ,ROW(A491),MATCH("+ OVR",Unified_Matrix!$1:$1,0)),"")</f>
        <v/>
      </c>
      <c r="L494" s="13">
        <f t="array" ref="L494">IFERROR(INDEX(Unified_Matrix!$A:$ZZ,ROW(A491),MATCH("Max OVR",Unified_Matrix!$1:$1,0)),"")</f>
        <v/>
      </c>
      <c r="M494" s="13">
        <f t="array" ref="M494">IFERROR(INDEX(Unified_Matrix!$A:$ZZ,ROW(A491),MATCH("Req_Position",Unified_Matrix!$1:$1,0)),"")</f>
        <v/>
      </c>
      <c r="N494" s="13">
        <f t="array" ref="N494">IFERROR(INDEX(Unified_Matrix!$A:$ZZ,ROW(A491),MATCH("Req_OVR_Max",Unified_Matrix!$1:$1,0)),"")</f>
        <v/>
      </c>
      <c r="O494" s="25">
        <f t="array" ref="O494">IFERROR(INDEX(Unified_Matrix!$A:$ZZ,ROW(A491),MATCH("Req_Other",Unified_Matrix!$1:$1,0)),"")</f>
        <v/>
      </c>
    </row>
    <row r="495" ht="68.25" customHeight="1">
      <c r="H495" s="13">
        <f t="array" ref="H495">IFERROR(INDEX(Unified_Matrix!$A:$ZZ,ROW(A492),MATCH("Max "&amp;$H$3,Unified_Matrix!$1:$1,0)),"")</f>
        <v/>
      </c>
      <c r="I495" s="25">
        <f t="array" ref="I495">IFERROR(INDEX(Unified_Matrix!$A:$ZZ,ROW(A492),MATCH("Evolution_Name",Unified_Matrix!$1:$1,0)),"")</f>
        <v/>
      </c>
      <c r="J495" s="13">
        <f>IF(H495="","",IF(H495=0,"",IF(H495=$Z$32,1,IF(H495=$Z$33,2,IF(H495=$Z$34,3,"")))))</f>
        <v/>
      </c>
      <c r="K495" s="13">
        <f t="array" ref="K495">IFERROR(INDEX(Unified_Matrix!$A:$ZZ,ROW(A492),MATCH("+ OVR",Unified_Matrix!$1:$1,0)),"")</f>
        <v/>
      </c>
      <c r="L495" s="13">
        <f t="array" ref="L495">IFERROR(INDEX(Unified_Matrix!$A:$ZZ,ROW(A492),MATCH("Max OVR",Unified_Matrix!$1:$1,0)),"")</f>
        <v/>
      </c>
      <c r="M495" s="13">
        <f t="array" ref="M495">IFERROR(INDEX(Unified_Matrix!$A:$ZZ,ROW(A492),MATCH("Req_Position",Unified_Matrix!$1:$1,0)),"")</f>
        <v/>
      </c>
      <c r="N495" s="13">
        <f t="array" ref="N495">IFERROR(INDEX(Unified_Matrix!$A:$ZZ,ROW(A492),MATCH("Req_OVR_Max",Unified_Matrix!$1:$1,0)),"")</f>
        <v/>
      </c>
      <c r="O495" s="25">
        <f t="array" ref="O495">IFERROR(INDEX(Unified_Matrix!$A:$ZZ,ROW(A492),MATCH("Req_Other",Unified_Matrix!$1:$1,0)),"")</f>
        <v/>
      </c>
    </row>
    <row r="496" ht="68.25" customHeight="1">
      <c r="H496" s="13">
        <f t="array" ref="H496">IFERROR(INDEX(Unified_Matrix!$A:$ZZ,ROW(A493),MATCH("Max "&amp;$H$3,Unified_Matrix!$1:$1,0)),"")</f>
        <v/>
      </c>
      <c r="I496" s="25">
        <f t="array" ref="I496">IFERROR(INDEX(Unified_Matrix!$A:$ZZ,ROW(A493),MATCH("Evolution_Name",Unified_Matrix!$1:$1,0)),"")</f>
        <v/>
      </c>
      <c r="J496" s="13">
        <f>IF(H496="","",IF(H496=0,"",IF(H496=$Z$32,1,IF(H496=$Z$33,2,IF(H496=$Z$34,3,"")))))</f>
        <v/>
      </c>
      <c r="K496" s="13">
        <f t="array" ref="K496">IFERROR(INDEX(Unified_Matrix!$A:$ZZ,ROW(A493),MATCH("+ OVR",Unified_Matrix!$1:$1,0)),"")</f>
        <v/>
      </c>
      <c r="L496" s="13">
        <f t="array" ref="L496">IFERROR(INDEX(Unified_Matrix!$A:$ZZ,ROW(A493),MATCH("Max OVR",Unified_Matrix!$1:$1,0)),"")</f>
        <v/>
      </c>
      <c r="M496" s="13">
        <f t="array" ref="M496">IFERROR(INDEX(Unified_Matrix!$A:$ZZ,ROW(A493),MATCH("Req_Position",Unified_Matrix!$1:$1,0)),"")</f>
        <v/>
      </c>
      <c r="N496" s="13">
        <f t="array" ref="N496">IFERROR(INDEX(Unified_Matrix!$A:$ZZ,ROW(A493),MATCH("Req_OVR_Max",Unified_Matrix!$1:$1,0)),"")</f>
        <v/>
      </c>
      <c r="O496" s="25">
        <f t="array" ref="O496">IFERROR(INDEX(Unified_Matrix!$A:$ZZ,ROW(A493),MATCH("Req_Other",Unified_Matrix!$1:$1,0)),"")</f>
        <v/>
      </c>
    </row>
    <row r="497" ht="68.25" customHeight="1">
      <c r="H497" s="13">
        <f t="array" ref="H497">IFERROR(INDEX(Unified_Matrix!$A:$ZZ,ROW(A494),MATCH("Max "&amp;$H$3,Unified_Matrix!$1:$1,0)),"")</f>
        <v/>
      </c>
      <c r="I497" s="25">
        <f t="array" ref="I497">IFERROR(INDEX(Unified_Matrix!$A:$ZZ,ROW(A494),MATCH("Evolution_Name",Unified_Matrix!$1:$1,0)),"")</f>
        <v/>
      </c>
      <c r="J497" s="13">
        <f>IF(H497="","",IF(H497=0,"",IF(H497=$Z$32,1,IF(H497=$Z$33,2,IF(H497=$Z$34,3,"")))))</f>
        <v/>
      </c>
      <c r="K497" s="13">
        <f t="array" ref="K497">IFERROR(INDEX(Unified_Matrix!$A:$ZZ,ROW(A494),MATCH("+ OVR",Unified_Matrix!$1:$1,0)),"")</f>
        <v/>
      </c>
      <c r="L497" s="13">
        <f t="array" ref="L497">IFERROR(INDEX(Unified_Matrix!$A:$ZZ,ROW(A494),MATCH("Max OVR",Unified_Matrix!$1:$1,0)),"")</f>
        <v/>
      </c>
      <c r="M497" s="13">
        <f t="array" ref="M497">IFERROR(INDEX(Unified_Matrix!$A:$ZZ,ROW(A494),MATCH("Req_Position",Unified_Matrix!$1:$1,0)),"")</f>
        <v/>
      </c>
      <c r="N497" s="13">
        <f t="array" ref="N497">IFERROR(INDEX(Unified_Matrix!$A:$ZZ,ROW(A494),MATCH("Req_OVR_Max",Unified_Matrix!$1:$1,0)),"")</f>
        <v/>
      </c>
      <c r="O497" s="25">
        <f t="array" ref="O497">IFERROR(INDEX(Unified_Matrix!$A:$ZZ,ROW(A494),MATCH("Req_Other",Unified_Matrix!$1:$1,0)),"")</f>
        <v/>
      </c>
    </row>
    <row r="498" ht="68.25" customHeight="1">
      <c r="H498" s="13">
        <f t="array" ref="H498">IFERROR(INDEX(Unified_Matrix!$A:$ZZ,ROW(A495),MATCH("Max "&amp;$H$3,Unified_Matrix!$1:$1,0)),"")</f>
        <v/>
      </c>
      <c r="I498" s="25">
        <f t="array" ref="I498">IFERROR(INDEX(Unified_Matrix!$A:$ZZ,ROW(A495),MATCH("Evolution_Name",Unified_Matrix!$1:$1,0)),"")</f>
        <v/>
      </c>
      <c r="J498" s="13">
        <f>IF(H498="","",IF(H498=0,"",IF(H498=$Z$32,1,IF(H498=$Z$33,2,IF(H498=$Z$34,3,"")))))</f>
        <v/>
      </c>
      <c r="K498" s="13">
        <f t="array" ref="K498">IFERROR(INDEX(Unified_Matrix!$A:$ZZ,ROW(A495),MATCH("+ OVR",Unified_Matrix!$1:$1,0)),"")</f>
        <v/>
      </c>
      <c r="L498" s="13">
        <f t="array" ref="L498">IFERROR(INDEX(Unified_Matrix!$A:$ZZ,ROW(A495),MATCH("Max OVR",Unified_Matrix!$1:$1,0)),"")</f>
        <v/>
      </c>
      <c r="M498" s="13">
        <f t="array" ref="M498">IFERROR(INDEX(Unified_Matrix!$A:$ZZ,ROW(A495),MATCH("Req_Position",Unified_Matrix!$1:$1,0)),"")</f>
        <v/>
      </c>
      <c r="N498" s="13">
        <f t="array" ref="N498">IFERROR(INDEX(Unified_Matrix!$A:$ZZ,ROW(A495),MATCH("Req_OVR_Max",Unified_Matrix!$1:$1,0)),"")</f>
        <v/>
      </c>
      <c r="O498" s="25">
        <f t="array" ref="O498">IFERROR(INDEX(Unified_Matrix!$A:$ZZ,ROW(A495),MATCH("Req_Other",Unified_Matrix!$1:$1,0)),"")</f>
        <v/>
      </c>
    </row>
    <row r="499" ht="68.25" customHeight="1">
      <c r="H499" s="13">
        <f t="array" ref="H499">IFERROR(INDEX(Unified_Matrix!$A:$ZZ,ROW(A496),MATCH("Max "&amp;$H$3,Unified_Matrix!$1:$1,0)),"")</f>
        <v/>
      </c>
      <c r="I499" s="25">
        <f t="array" ref="I499">IFERROR(INDEX(Unified_Matrix!$A:$ZZ,ROW(A496),MATCH("Evolution_Name",Unified_Matrix!$1:$1,0)),"")</f>
        <v/>
      </c>
      <c r="J499" s="13">
        <f>IF(H499="","",IF(H499=0,"",IF(H499=$Z$32,1,IF(H499=$Z$33,2,IF(H499=$Z$34,3,"")))))</f>
        <v/>
      </c>
      <c r="K499" s="13">
        <f t="array" ref="K499">IFERROR(INDEX(Unified_Matrix!$A:$ZZ,ROW(A496),MATCH("+ OVR",Unified_Matrix!$1:$1,0)),"")</f>
        <v/>
      </c>
      <c r="L499" s="13">
        <f t="array" ref="L499">IFERROR(INDEX(Unified_Matrix!$A:$ZZ,ROW(A496),MATCH("Max OVR",Unified_Matrix!$1:$1,0)),"")</f>
        <v/>
      </c>
      <c r="M499" s="13">
        <f t="array" ref="M499">IFERROR(INDEX(Unified_Matrix!$A:$ZZ,ROW(A496),MATCH("Req_Position",Unified_Matrix!$1:$1,0)),"")</f>
        <v/>
      </c>
      <c r="N499" s="13">
        <f t="array" ref="N499">IFERROR(INDEX(Unified_Matrix!$A:$ZZ,ROW(A496),MATCH("Req_OVR_Max",Unified_Matrix!$1:$1,0)),"")</f>
        <v/>
      </c>
      <c r="O499" s="25">
        <f t="array" ref="O499">IFERROR(INDEX(Unified_Matrix!$A:$ZZ,ROW(A496),MATCH("Req_Other",Unified_Matrix!$1:$1,0)),"")</f>
        <v/>
      </c>
    </row>
    <row r="500" ht="68.25" customHeight="1">
      <c r="H500" s="13">
        <f t="array" ref="H500">IFERROR(INDEX(Unified_Matrix!$A:$ZZ,ROW(A497),MATCH("Max "&amp;$H$3,Unified_Matrix!$1:$1,0)),"")</f>
        <v/>
      </c>
      <c r="I500" s="25">
        <f t="array" ref="I500">IFERROR(INDEX(Unified_Matrix!$A:$ZZ,ROW(A497),MATCH("Evolution_Name",Unified_Matrix!$1:$1,0)),"")</f>
        <v/>
      </c>
      <c r="J500" s="13">
        <f>IF(H500="","",IF(H500=0,"",IF(H500=$Z$32,1,IF(H500=$Z$33,2,IF(H500=$Z$34,3,"")))))</f>
        <v/>
      </c>
      <c r="K500" s="13">
        <f t="array" ref="K500">IFERROR(INDEX(Unified_Matrix!$A:$ZZ,ROW(A497),MATCH("+ OVR",Unified_Matrix!$1:$1,0)),"")</f>
        <v/>
      </c>
      <c r="L500" s="13">
        <f t="array" ref="L500">IFERROR(INDEX(Unified_Matrix!$A:$ZZ,ROW(A497),MATCH("Max OVR",Unified_Matrix!$1:$1,0)),"")</f>
        <v/>
      </c>
      <c r="M500" s="13">
        <f t="array" ref="M500">IFERROR(INDEX(Unified_Matrix!$A:$ZZ,ROW(A497),MATCH("Req_Position",Unified_Matrix!$1:$1,0)),"")</f>
        <v/>
      </c>
      <c r="N500" s="13">
        <f t="array" ref="N500">IFERROR(INDEX(Unified_Matrix!$A:$ZZ,ROW(A497),MATCH("Req_OVR_Max",Unified_Matrix!$1:$1,0)),"")</f>
        <v/>
      </c>
      <c r="O500" s="25">
        <f t="array" ref="O500">IFERROR(INDEX(Unified_Matrix!$A:$ZZ,ROW(A497),MATCH("Req_Other",Unified_Matrix!$1:$1,0)),"")</f>
        <v/>
      </c>
    </row>
    <row r="501" ht="68.25" customHeight="1">
      <c r="H501" s="13">
        <f t="array" ref="H501">IFERROR(INDEX(Unified_Matrix!$A:$ZZ,ROW(A498),MATCH("Max "&amp;$H$3,Unified_Matrix!$1:$1,0)),"")</f>
        <v/>
      </c>
      <c r="I501" s="25">
        <f t="array" ref="I501">IFERROR(INDEX(Unified_Matrix!$A:$ZZ,ROW(A498),MATCH("Evolution_Name",Unified_Matrix!$1:$1,0)),"")</f>
        <v/>
      </c>
      <c r="J501" s="13">
        <f>IF(H501="","",IF(H501=0,"",IF(H501=$Z$32,1,IF(H501=$Z$33,2,IF(H501=$Z$34,3,"")))))</f>
        <v/>
      </c>
      <c r="K501" s="13">
        <f t="array" ref="K501">IFERROR(INDEX(Unified_Matrix!$A:$ZZ,ROW(A498),MATCH("+ OVR",Unified_Matrix!$1:$1,0)),"")</f>
        <v/>
      </c>
      <c r="L501" s="13">
        <f t="array" ref="L501">IFERROR(INDEX(Unified_Matrix!$A:$ZZ,ROW(A498),MATCH("Max OVR",Unified_Matrix!$1:$1,0)),"")</f>
        <v/>
      </c>
      <c r="M501" s="13">
        <f t="array" ref="M501">IFERROR(INDEX(Unified_Matrix!$A:$ZZ,ROW(A498),MATCH("Req_Position",Unified_Matrix!$1:$1,0)),"")</f>
        <v/>
      </c>
      <c r="N501" s="13">
        <f t="array" ref="N501">IFERROR(INDEX(Unified_Matrix!$A:$ZZ,ROW(A498),MATCH("Req_OVR_Max",Unified_Matrix!$1:$1,0)),"")</f>
        <v/>
      </c>
      <c r="O501" s="25">
        <f t="array" ref="O501">IFERROR(INDEX(Unified_Matrix!$A:$ZZ,ROW(A498),MATCH("Req_Other",Unified_Matrix!$1:$1,0)),"")</f>
        <v/>
      </c>
    </row>
    <row r="502" ht="68.25" customHeight="1">
      <c r="H502" s="13">
        <f t="array" ref="H502">IFERROR(INDEX(Unified_Matrix!$A:$ZZ,ROW(A499),MATCH("Max "&amp;$H$3,Unified_Matrix!$1:$1,0)),"")</f>
        <v/>
      </c>
      <c r="I502" s="25">
        <f t="array" ref="I502">IFERROR(INDEX(Unified_Matrix!$A:$ZZ,ROW(A499),MATCH("Evolution_Name",Unified_Matrix!$1:$1,0)),"")</f>
        <v/>
      </c>
      <c r="J502" s="13">
        <f>IF(H502="","",IF(H502=0,"",IF(H502=$Z$32,1,IF(H502=$Z$33,2,IF(H502=$Z$34,3,"")))))</f>
        <v/>
      </c>
      <c r="K502" s="13">
        <f t="array" ref="K502">IFERROR(INDEX(Unified_Matrix!$A:$ZZ,ROW(A499),MATCH("+ OVR",Unified_Matrix!$1:$1,0)),"")</f>
        <v/>
      </c>
      <c r="L502" s="13">
        <f t="array" ref="L502">IFERROR(INDEX(Unified_Matrix!$A:$ZZ,ROW(A499),MATCH("Max OVR",Unified_Matrix!$1:$1,0)),"")</f>
        <v/>
      </c>
      <c r="M502" s="13">
        <f t="array" ref="M502">IFERROR(INDEX(Unified_Matrix!$A:$ZZ,ROW(A499),MATCH("Req_Position",Unified_Matrix!$1:$1,0)),"")</f>
        <v/>
      </c>
      <c r="N502" s="13">
        <f t="array" ref="N502">IFERROR(INDEX(Unified_Matrix!$A:$ZZ,ROW(A499),MATCH("Req_OVR_Max",Unified_Matrix!$1:$1,0)),"")</f>
        <v/>
      </c>
      <c r="O502" s="25">
        <f t="array" ref="O502">IFERROR(INDEX(Unified_Matrix!$A:$ZZ,ROW(A499),MATCH("Req_Other",Unified_Matrix!$1:$1,0)),"")</f>
        <v/>
      </c>
    </row>
    <row r="503" ht="68.25" customHeight="1">
      <c r="H503" s="13">
        <f t="array" ref="H503">IFERROR(INDEX(Unified_Matrix!$A:$ZZ,ROW(A500),MATCH("Max "&amp;$H$3,Unified_Matrix!$1:$1,0)),"")</f>
        <v/>
      </c>
      <c r="I503" s="25">
        <f t="array" ref="I503">IFERROR(INDEX(Unified_Matrix!$A:$ZZ,ROW(A500),MATCH("Evolution_Name",Unified_Matrix!$1:$1,0)),"")</f>
        <v/>
      </c>
      <c r="J503" s="13">
        <f>IF(H503="","",IF(H503=0,"",IF(H503=$Z$32,1,IF(H503=$Z$33,2,IF(H503=$Z$34,3,"")))))</f>
        <v/>
      </c>
      <c r="K503" s="13">
        <f t="array" ref="K503">IFERROR(INDEX(Unified_Matrix!$A:$ZZ,ROW(A500),MATCH("+ OVR",Unified_Matrix!$1:$1,0)),"")</f>
        <v/>
      </c>
      <c r="L503" s="13">
        <f t="array" ref="L503">IFERROR(INDEX(Unified_Matrix!$A:$ZZ,ROW(A500),MATCH("Max OVR",Unified_Matrix!$1:$1,0)),"")</f>
        <v/>
      </c>
      <c r="M503" s="13">
        <f t="array" ref="M503">IFERROR(INDEX(Unified_Matrix!$A:$ZZ,ROW(A500),MATCH("Req_Position",Unified_Matrix!$1:$1,0)),"")</f>
        <v/>
      </c>
      <c r="N503" s="13">
        <f t="array" ref="N503">IFERROR(INDEX(Unified_Matrix!$A:$ZZ,ROW(A500),MATCH("Req_OVR_Max",Unified_Matrix!$1:$1,0)),"")</f>
        <v/>
      </c>
      <c r="O503" s="25">
        <f t="array" ref="O503">IFERROR(INDEX(Unified_Matrix!$A:$ZZ,ROW(A500),MATCH("Req_Other",Unified_Matrix!$1:$1,0)),"")</f>
        <v/>
      </c>
    </row>
    <row r="504" ht="68.25" customHeight="1">
      <c r="H504" s="13">
        <f t="array" ref="H504">IFERROR(INDEX(Unified_Matrix!$A:$ZZ,ROW(A501),MATCH("Max "&amp;$H$3,Unified_Matrix!$1:$1,0)),"")</f>
        <v/>
      </c>
      <c r="I504" s="25">
        <f t="array" ref="I504">IFERROR(INDEX(Unified_Matrix!$A:$ZZ,ROW(A501),MATCH("Evolution_Name",Unified_Matrix!$1:$1,0)),"")</f>
        <v/>
      </c>
      <c r="J504" s="13">
        <f>IF(H504="","",IF(H504=0,"",IF(H504=$Z$32,1,IF(H504=$Z$33,2,IF(H504=$Z$34,3,"")))))</f>
        <v/>
      </c>
      <c r="K504" s="13">
        <f t="array" ref="K504">IFERROR(INDEX(Unified_Matrix!$A:$ZZ,ROW(A501),MATCH("+ OVR",Unified_Matrix!$1:$1,0)),"")</f>
        <v/>
      </c>
      <c r="L504" s="13">
        <f t="array" ref="L504">IFERROR(INDEX(Unified_Matrix!$A:$ZZ,ROW(A501),MATCH("Max OVR",Unified_Matrix!$1:$1,0)),"")</f>
        <v/>
      </c>
      <c r="M504" s="13">
        <f t="array" ref="M504">IFERROR(INDEX(Unified_Matrix!$A:$ZZ,ROW(A501),MATCH("Req_Position",Unified_Matrix!$1:$1,0)),"")</f>
        <v/>
      </c>
      <c r="N504" s="13">
        <f t="array" ref="N504">IFERROR(INDEX(Unified_Matrix!$A:$ZZ,ROW(A501),MATCH("Req_OVR_Max",Unified_Matrix!$1:$1,0)),"")</f>
        <v/>
      </c>
      <c r="O504" s="25">
        <f t="array" ref="O504">IFERROR(INDEX(Unified_Matrix!$A:$ZZ,ROW(A501),MATCH("Req_Other",Unified_Matrix!$1:$1,0)),"")</f>
        <v/>
      </c>
    </row>
    <row r="505" ht="68.25" customHeight="1">
      <c r="H505" s="13">
        <f t="array" ref="H505">IFERROR(INDEX(Unified_Matrix!$A:$ZZ,ROW(A502),MATCH("Max "&amp;$H$3,Unified_Matrix!$1:$1,0)),"")</f>
        <v/>
      </c>
      <c r="I505" s="25">
        <f t="array" ref="I505">IFERROR(INDEX(Unified_Matrix!$A:$ZZ,ROW(A502),MATCH("Evolution_Name",Unified_Matrix!$1:$1,0)),"")</f>
        <v/>
      </c>
      <c r="J505" s="13">
        <f>IF(H505="","",IF(H505=0,"",IF(H505=$Z$32,1,IF(H505=$Z$33,2,IF(H505=$Z$34,3,"")))))</f>
        <v/>
      </c>
      <c r="K505" s="13">
        <f t="array" ref="K505">IFERROR(INDEX(Unified_Matrix!$A:$ZZ,ROW(A502),MATCH("+ OVR",Unified_Matrix!$1:$1,0)),"")</f>
        <v/>
      </c>
      <c r="L505" s="13">
        <f t="array" ref="L505">IFERROR(INDEX(Unified_Matrix!$A:$ZZ,ROW(A502),MATCH("Max OVR",Unified_Matrix!$1:$1,0)),"")</f>
        <v/>
      </c>
      <c r="M505" s="13">
        <f t="array" ref="M505">IFERROR(INDEX(Unified_Matrix!$A:$ZZ,ROW(A502),MATCH("Req_Position",Unified_Matrix!$1:$1,0)),"")</f>
        <v/>
      </c>
      <c r="N505" s="13">
        <f t="array" ref="N505">IFERROR(INDEX(Unified_Matrix!$A:$ZZ,ROW(A502),MATCH("Req_OVR_Max",Unified_Matrix!$1:$1,0)),"")</f>
        <v/>
      </c>
      <c r="O505" s="25">
        <f t="array" ref="O505">IFERROR(INDEX(Unified_Matrix!$A:$ZZ,ROW(A502),MATCH("Req_Other",Unified_Matrix!$1:$1,0)),"")</f>
        <v/>
      </c>
    </row>
    <row r="506" ht="68.25" customHeight="1">
      <c r="H506" s="13">
        <f t="array" ref="H506">IFERROR(INDEX(Unified_Matrix!$A:$ZZ,ROW(A503),MATCH("Max "&amp;$H$3,Unified_Matrix!$1:$1,0)),"")</f>
        <v/>
      </c>
      <c r="I506" s="25">
        <f t="array" ref="I506">IFERROR(INDEX(Unified_Matrix!$A:$ZZ,ROW(A503),MATCH("Evolution_Name",Unified_Matrix!$1:$1,0)),"")</f>
        <v/>
      </c>
      <c r="J506" s="13">
        <f>IF(H506="","",IF(H506=0,"",IF(H506=$Z$32,1,IF(H506=$Z$33,2,IF(H506=$Z$34,3,"")))))</f>
        <v/>
      </c>
      <c r="K506" s="13">
        <f t="array" ref="K506">IFERROR(INDEX(Unified_Matrix!$A:$ZZ,ROW(A503),MATCH("+ OVR",Unified_Matrix!$1:$1,0)),"")</f>
        <v/>
      </c>
      <c r="L506" s="13">
        <f t="array" ref="L506">IFERROR(INDEX(Unified_Matrix!$A:$ZZ,ROW(A503),MATCH("Max OVR",Unified_Matrix!$1:$1,0)),"")</f>
        <v/>
      </c>
      <c r="M506" s="13">
        <f t="array" ref="M506">IFERROR(INDEX(Unified_Matrix!$A:$ZZ,ROW(A503),MATCH("Req_Position",Unified_Matrix!$1:$1,0)),"")</f>
        <v/>
      </c>
      <c r="N506" s="13">
        <f t="array" ref="N506">IFERROR(INDEX(Unified_Matrix!$A:$ZZ,ROW(A503),MATCH("Req_OVR_Max",Unified_Matrix!$1:$1,0)),"")</f>
        <v/>
      </c>
      <c r="O506" s="25">
        <f t="array" ref="O506">IFERROR(INDEX(Unified_Matrix!$A:$ZZ,ROW(A503),MATCH("Req_Other",Unified_Matrix!$1:$1,0)),"")</f>
        <v/>
      </c>
    </row>
    <row r="507" ht="68.25" customHeight="1">
      <c r="H507" s="13">
        <f t="array" ref="H507">IFERROR(INDEX(Unified_Matrix!$A:$ZZ,ROW(A504),MATCH("Max "&amp;$H$3,Unified_Matrix!$1:$1,0)),"")</f>
        <v/>
      </c>
      <c r="I507" s="25">
        <f t="array" ref="I507">IFERROR(INDEX(Unified_Matrix!$A:$ZZ,ROW(A504),MATCH("Evolution_Name",Unified_Matrix!$1:$1,0)),"")</f>
        <v/>
      </c>
      <c r="J507" s="13">
        <f>IF(H507="","",IF(H507=0,"",IF(H507=$Z$32,1,IF(H507=$Z$33,2,IF(H507=$Z$34,3,"")))))</f>
        <v/>
      </c>
      <c r="K507" s="13">
        <f t="array" ref="K507">IFERROR(INDEX(Unified_Matrix!$A:$ZZ,ROW(A504),MATCH("+ OVR",Unified_Matrix!$1:$1,0)),"")</f>
        <v/>
      </c>
      <c r="L507" s="13">
        <f t="array" ref="L507">IFERROR(INDEX(Unified_Matrix!$A:$ZZ,ROW(A504),MATCH("Max OVR",Unified_Matrix!$1:$1,0)),"")</f>
        <v/>
      </c>
      <c r="M507" s="13">
        <f t="array" ref="M507">IFERROR(INDEX(Unified_Matrix!$A:$ZZ,ROW(A504),MATCH("Req_Position",Unified_Matrix!$1:$1,0)),"")</f>
        <v/>
      </c>
      <c r="N507" s="13">
        <f t="array" ref="N507">IFERROR(INDEX(Unified_Matrix!$A:$ZZ,ROW(A504),MATCH("Req_OVR_Max",Unified_Matrix!$1:$1,0)),"")</f>
        <v/>
      </c>
      <c r="O507" s="25">
        <f t="array" ref="O507">IFERROR(INDEX(Unified_Matrix!$A:$ZZ,ROW(A504),MATCH("Req_Other",Unified_Matrix!$1:$1,0)),"")</f>
        <v/>
      </c>
    </row>
    <row r="508" ht="68.25" customHeight="1">
      <c r="H508" s="13">
        <f t="array" ref="H508">IFERROR(INDEX(Unified_Matrix!$A:$ZZ,ROW(A505),MATCH("Max "&amp;$H$3,Unified_Matrix!$1:$1,0)),"")</f>
        <v/>
      </c>
      <c r="I508" s="25">
        <f t="array" ref="I508">IFERROR(INDEX(Unified_Matrix!$A:$ZZ,ROW(A505),MATCH("Evolution_Name",Unified_Matrix!$1:$1,0)),"")</f>
        <v/>
      </c>
      <c r="J508" s="13">
        <f>IF(H508="","",IF(H508=0,"",IF(H508=$Z$32,1,IF(H508=$Z$33,2,IF(H508=$Z$34,3,"")))))</f>
        <v/>
      </c>
      <c r="K508" s="13">
        <f t="array" ref="K508">IFERROR(INDEX(Unified_Matrix!$A:$ZZ,ROW(A505),MATCH("+ OVR",Unified_Matrix!$1:$1,0)),"")</f>
        <v/>
      </c>
      <c r="L508" s="13">
        <f t="array" ref="L508">IFERROR(INDEX(Unified_Matrix!$A:$ZZ,ROW(A505),MATCH("Max OVR",Unified_Matrix!$1:$1,0)),"")</f>
        <v/>
      </c>
      <c r="M508" s="13">
        <f t="array" ref="M508">IFERROR(INDEX(Unified_Matrix!$A:$ZZ,ROW(A505),MATCH("Req_Position",Unified_Matrix!$1:$1,0)),"")</f>
        <v/>
      </c>
      <c r="N508" s="13">
        <f t="array" ref="N508">IFERROR(INDEX(Unified_Matrix!$A:$ZZ,ROW(A505),MATCH("Req_OVR_Max",Unified_Matrix!$1:$1,0)),"")</f>
        <v/>
      </c>
      <c r="O508" s="25">
        <f t="array" ref="O508">IFERROR(INDEX(Unified_Matrix!$A:$ZZ,ROW(A505),MATCH("Req_Other",Unified_Matrix!$1:$1,0)),"")</f>
        <v/>
      </c>
    </row>
    <row r="509" ht="68.25" customHeight="1">
      <c r="H509" s="13">
        <f t="array" ref="H509">IFERROR(INDEX(Unified_Matrix!$A:$ZZ,ROW(A506),MATCH("Max "&amp;$H$3,Unified_Matrix!$1:$1,0)),"")</f>
        <v/>
      </c>
      <c r="I509" s="25">
        <f t="array" ref="I509">IFERROR(INDEX(Unified_Matrix!$A:$ZZ,ROW(A506),MATCH("Evolution_Name",Unified_Matrix!$1:$1,0)),"")</f>
        <v/>
      </c>
      <c r="J509" s="13">
        <f>IF(H509="","",IF(H509=0,"",IF(H509=$Z$32,1,IF(H509=$Z$33,2,IF(H509=$Z$34,3,"")))))</f>
        <v/>
      </c>
      <c r="K509" s="13">
        <f t="array" ref="K509">IFERROR(INDEX(Unified_Matrix!$A:$ZZ,ROW(A506),MATCH("+ OVR",Unified_Matrix!$1:$1,0)),"")</f>
        <v/>
      </c>
      <c r="L509" s="13">
        <f t="array" ref="L509">IFERROR(INDEX(Unified_Matrix!$A:$ZZ,ROW(A506),MATCH("Max OVR",Unified_Matrix!$1:$1,0)),"")</f>
        <v/>
      </c>
      <c r="M509" s="13">
        <f t="array" ref="M509">IFERROR(INDEX(Unified_Matrix!$A:$ZZ,ROW(A506),MATCH("Req_Position",Unified_Matrix!$1:$1,0)),"")</f>
        <v/>
      </c>
      <c r="N509" s="13">
        <f t="array" ref="N509">IFERROR(INDEX(Unified_Matrix!$A:$ZZ,ROW(A506),MATCH("Req_OVR_Max",Unified_Matrix!$1:$1,0)),"")</f>
        <v/>
      </c>
      <c r="O509" s="25">
        <f t="array" ref="O509">IFERROR(INDEX(Unified_Matrix!$A:$ZZ,ROW(A506),MATCH("Req_Other",Unified_Matrix!$1:$1,0)),"")</f>
        <v/>
      </c>
    </row>
    <row r="510" ht="68.25" customHeight="1">
      <c r="H510" s="13">
        <f t="array" ref="H510">IFERROR(INDEX(Unified_Matrix!$A:$ZZ,ROW(A507),MATCH("Max "&amp;$H$3,Unified_Matrix!$1:$1,0)),"")</f>
        <v/>
      </c>
      <c r="I510" s="25">
        <f t="array" ref="I510">IFERROR(INDEX(Unified_Matrix!$A:$ZZ,ROW(A507),MATCH("Evolution_Name",Unified_Matrix!$1:$1,0)),"")</f>
        <v/>
      </c>
      <c r="J510" s="13">
        <f>IF(H510="","",IF(H510=0,"",IF(H510=$Z$32,1,IF(H510=$Z$33,2,IF(H510=$Z$34,3,"")))))</f>
        <v/>
      </c>
      <c r="K510" s="13">
        <f t="array" ref="K510">IFERROR(INDEX(Unified_Matrix!$A:$ZZ,ROW(A507),MATCH("+ OVR",Unified_Matrix!$1:$1,0)),"")</f>
        <v/>
      </c>
      <c r="L510" s="13">
        <f t="array" ref="L510">IFERROR(INDEX(Unified_Matrix!$A:$ZZ,ROW(A507),MATCH("Max OVR",Unified_Matrix!$1:$1,0)),"")</f>
        <v/>
      </c>
      <c r="M510" s="13">
        <f t="array" ref="M510">IFERROR(INDEX(Unified_Matrix!$A:$ZZ,ROW(A507),MATCH("Req_Position",Unified_Matrix!$1:$1,0)),"")</f>
        <v/>
      </c>
      <c r="N510" s="13">
        <f t="array" ref="N510">IFERROR(INDEX(Unified_Matrix!$A:$ZZ,ROW(A507),MATCH("Req_OVR_Max",Unified_Matrix!$1:$1,0)),"")</f>
        <v/>
      </c>
      <c r="O510" s="25">
        <f t="array" ref="O510">IFERROR(INDEX(Unified_Matrix!$A:$ZZ,ROW(A507),MATCH("Req_Other",Unified_Matrix!$1:$1,0)),"")</f>
        <v/>
      </c>
    </row>
    <row r="511" ht="68.25" customHeight="1">
      <c r="H511" s="13">
        <f t="array" ref="H511">IFERROR(INDEX(Unified_Matrix!$A:$ZZ,ROW(A508),MATCH("Max "&amp;$H$3,Unified_Matrix!$1:$1,0)),"")</f>
        <v/>
      </c>
      <c r="I511" s="25">
        <f t="array" ref="I511">IFERROR(INDEX(Unified_Matrix!$A:$ZZ,ROW(A508),MATCH("Evolution_Name",Unified_Matrix!$1:$1,0)),"")</f>
        <v/>
      </c>
      <c r="J511" s="13">
        <f>IF(H511="","",IF(H511=0,"",IF(H511=$Z$32,1,IF(H511=$Z$33,2,IF(H511=$Z$34,3,"")))))</f>
        <v/>
      </c>
      <c r="K511" s="13">
        <f t="array" ref="K511">IFERROR(INDEX(Unified_Matrix!$A:$ZZ,ROW(A508),MATCH("+ OVR",Unified_Matrix!$1:$1,0)),"")</f>
        <v/>
      </c>
      <c r="L511" s="13">
        <f t="array" ref="L511">IFERROR(INDEX(Unified_Matrix!$A:$ZZ,ROW(A508),MATCH("Max OVR",Unified_Matrix!$1:$1,0)),"")</f>
        <v/>
      </c>
      <c r="M511" s="13">
        <f t="array" ref="M511">IFERROR(INDEX(Unified_Matrix!$A:$ZZ,ROW(A508),MATCH("Req_Position",Unified_Matrix!$1:$1,0)),"")</f>
        <v/>
      </c>
      <c r="N511" s="13">
        <f t="array" ref="N511">IFERROR(INDEX(Unified_Matrix!$A:$ZZ,ROW(A508),MATCH("Req_OVR_Max",Unified_Matrix!$1:$1,0)),"")</f>
        <v/>
      </c>
      <c r="O511" s="25">
        <f t="array" ref="O511">IFERROR(INDEX(Unified_Matrix!$A:$ZZ,ROW(A508),MATCH("Req_Other",Unified_Matrix!$1:$1,0)),"")</f>
        <v/>
      </c>
    </row>
    <row r="512" ht="68.25" customHeight="1">
      <c r="H512" s="13">
        <f t="array" ref="H512">IFERROR(INDEX(Unified_Matrix!$A:$ZZ,ROW(A509),MATCH("Max "&amp;$H$3,Unified_Matrix!$1:$1,0)),"")</f>
        <v/>
      </c>
      <c r="I512" s="25">
        <f t="array" ref="I512">IFERROR(INDEX(Unified_Matrix!$A:$ZZ,ROW(A509),MATCH("Evolution_Name",Unified_Matrix!$1:$1,0)),"")</f>
        <v/>
      </c>
      <c r="J512" s="13">
        <f>IF(H512="","",IF(H512=0,"",IF(H512=$Z$32,1,IF(H512=$Z$33,2,IF(H512=$Z$34,3,"")))))</f>
        <v/>
      </c>
      <c r="K512" s="13">
        <f t="array" ref="K512">IFERROR(INDEX(Unified_Matrix!$A:$ZZ,ROW(A509),MATCH("+ OVR",Unified_Matrix!$1:$1,0)),"")</f>
        <v/>
      </c>
      <c r="L512" s="13">
        <f t="array" ref="L512">IFERROR(INDEX(Unified_Matrix!$A:$ZZ,ROW(A509),MATCH("Max OVR",Unified_Matrix!$1:$1,0)),"")</f>
        <v/>
      </c>
      <c r="M512" s="13">
        <f t="array" ref="M512">IFERROR(INDEX(Unified_Matrix!$A:$ZZ,ROW(A509),MATCH("Req_Position",Unified_Matrix!$1:$1,0)),"")</f>
        <v/>
      </c>
      <c r="N512" s="13">
        <f t="array" ref="N512">IFERROR(INDEX(Unified_Matrix!$A:$ZZ,ROW(A509),MATCH("Req_OVR_Max",Unified_Matrix!$1:$1,0)),"")</f>
        <v/>
      </c>
      <c r="O512" s="25">
        <f t="array" ref="O512">IFERROR(INDEX(Unified_Matrix!$A:$ZZ,ROW(A509),MATCH("Req_Other",Unified_Matrix!$1:$1,0)),"")</f>
        <v/>
      </c>
    </row>
    <row r="513" ht="68.25" customHeight="1">
      <c r="H513" s="13">
        <f t="array" ref="H513">IFERROR(INDEX(Unified_Matrix!$A:$ZZ,ROW(A510),MATCH("Max "&amp;$H$3,Unified_Matrix!$1:$1,0)),"")</f>
        <v/>
      </c>
      <c r="I513" s="25">
        <f t="array" ref="I513">IFERROR(INDEX(Unified_Matrix!$A:$ZZ,ROW(A510),MATCH("Evolution_Name",Unified_Matrix!$1:$1,0)),"")</f>
        <v/>
      </c>
      <c r="J513" s="13">
        <f>IF(H513="","",IF(H513=0,"",IF(H513=$Z$32,1,IF(H513=$Z$33,2,IF(H513=$Z$34,3,"")))))</f>
        <v/>
      </c>
      <c r="K513" s="13">
        <f t="array" ref="K513">IFERROR(INDEX(Unified_Matrix!$A:$ZZ,ROW(A510),MATCH("+ OVR",Unified_Matrix!$1:$1,0)),"")</f>
        <v/>
      </c>
      <c r="L513" s="13">
        <f t="array" ref="L513">IFERROR(INDEX(Unified_Matrix!$A:$ZZ,ROW(A510),MATCH("Max OVR",Unified_Matrix!$1:$1,0)),"")</f>
        <v/>
      </c>
      <c r="M513" s="13">
        <f t="array" ref="M513">IFERROR(INDEX(Unified_Matrix!$A:$ZZ,ROW(A510),MATCH("Req_Position",Unified_Matrix!$1:$1,0)),"")</f>
        <v/>
      </c>
      <c r="N513" s="13">
        <f t="array" ref="N513">IFERROR(INDEX(Unified_Matrix!$A:$ZZ,ROW(A510),MATCH("Req_OVR_Max",Unified_Matrix!$1:$1,0)),"")</f>
        <v/>
      </c>
      <c r="O513" s="25">
        <f t="array" ref="O513">IFERROR(INDEX(Unified_Matrix!$A:$ZZ,ROW(A510),MATCH("Req_Other",Unified_Matrix!$1:$1,0)),"")</f>
        <v/>
      </c>
    </row>
    <row r="514" ht="68.25" customHeight="1">
      <c r="H514" s="13">
        <f t="array" ref="H514">IFERROR(INDEX(Unified_Matrix!$A:$ZZ,ROW(A511),MATCH("Max "&amp;$H$3,Unified_Matrix!$1:$1,0)),"")</f>
        <v/>
      </c>
      <c r="I514" s="25">
        <f t="array" ref="I514">IFERROR(INDEX(Unified_Matrix!$A:$ZZ,ROW(A511),MATCH("Evolution_Name",Unified_Matrix!$1:$1,0)),"")</f>
        <v/>
      </c>
      <c r="J514" s="13">
        <f>IF(H514="","",IF(H514=0,"",IF(H514=$Z$32,1,IF(H514=$Z$33,2,IF(H514=$Z$34,3,"")))))</f>
        <v/>
      </c>
      <c r="K514" s="13">
        <f t="array" ref="K514">IFERROR(INDEX(Unified_Matrix!$A:$ZZ,ROW(A511),MATCH("+ OVR",Unified_Matrix!$1:$1,0)),"")</f>
        <v/>
      </c>
      <c r="L514" s="13">
        <f t="array" ref="L514">IFERROR(INDEX(Unified_Matrix!$A:$ZZ,ROW(A511),MATCH("Max OVR",Unified_Matrix!$1:$1,0)),"")</f>
        <v/>
      </c>
      <c r="M514" s="13">
        <f t="array" ref="M514">IFERROR(INDEX(Unified_Matrix!$A:$ZZ,ROW(A511),MATCH("Req_Position",Unified_Matrix!$1:$1,0)),"")</f>
        <v/>
      </c>
      <c r="N514" s="13">
        <f t="array" ref="N514">IFERROR(INDEX(Unified_Matrix!$A:$ZZ,ROW(A511),MATCH("Req_OVR_Max",Unified_Matrix!$1:$1,0)),"")</f>
        <v/>
      </c>
      <c r="O514" s="25">
        <f t="array" ref="O514">IFERROR(INDEX(Unified_Matrix!$A:$ZZ,ROW(A511),MATCH("Req_Other",Unified_Matrix!$1:$1,0)),"")</f>
        <v/>
      </c>
    </row>
    <row r="515" ht="68.25" customHeight="1">
      <c r="H515" s="13">
        <f t="array" ref="H515">IFERROR(INDEX(Unified_Matrix!$A:$ZZ,ROW(A512),MATCH("Max "&amp;$H$3,Unified_Matrix!$1:$1,0)),"")</f>
        <v/>
      </c>
      <c r="I515" s="25">
        <f t="array" ref="I515">IFERROR(INDEX(Unified_Matrix!$A:$ZZ,ROW(A512),MATCH("Evolution_Name",Unified_Matrix!$1:$1,0)),"")</f>
        <v/>
      </c>
      <c r="J515" s="13">
        <f>IF(H515="","",IF(H515=0,"",IF(H515=$Z$32,1,IF(H515=$Z$33,2,IF(H515=$Z$34,3,"")))))</f>
        <v/>
      </c>
      <c r="K515" s="13">
        <f t="array" ref="K515">IFERROR(INDEX(Unified_Matrix!$A:$ZZ,ROW(A512),MATCH("+ OVR",Unified_Matrix!$1:$1,0)),"")</f>
        <v/>
      </c>
      <c r="L515" s="13">
        <f t="array" ref="L515">IFERROR(INDEX(Unified_Matrix!$A:$ZZ,ROW(A512),MATCH("Max OVR",Unified_Matrix!$1:$1,0)),"")</f>
        <v/>
      </c>
      <c r="M515" s="13">
        <f t="array" ref="M515">IFERROR(INDEX(Unified_Matrix!$A:$ZZ,ROW(A512),MATCH("Req_Position",Unified_Matrix!$1:$1,0)),"")</f>
        <v/>
      </c>
      <c r="N515" s="13">
        <f t="array" ref="N515">IFERROR(INDEX(Unified_Matrix!$A:$ZZ,ROW(A512),MATCH("Req_OVR_Max",Unified_Matrix!$1:$1,0)),"")</f>
        <v/>
      </c>
      <c r="O515" s="25">
        <f t="array" ref="O515">IFERROR(INDEX(Unified_Matrix!$A:$ZZ,ROW(A512),MATCH("Req_Other",Unified_Matrix!$1:$1,0)),"")</f>
        <v/>
      </c>
    </row>
    <row r="516" ht="68.25" customHeight="1">
      <c r="H516" s="13">
        <f t="array" ref="H516">IFERROR(INDEX(Unified_Matrix!$A:$ZZ,ROW(A513),MATCH("Max "&amp;$H$3,Unified_Matrix!$1:$1,0)),"")</f>
        <v/>
      </c>
      <c r="I516" s="25">
        <f t="array" ref="I516">IFERROR(INDEX(Unified_Matrix!$A:$ZZ,ROW(A513),MATCH("Evolution_Name",Unified_Matrix!$1:$1,0)),"")</f>
        <v/>
      </c>
      <c r="J516" s="13">
        <f>IF(H516="","",IF(H516=0,"",IF(H516=$Z$32,1,IF(H516=$Z$33,2,IF(H516=$Z$34,3,"")))))</f>
        <v/>
      </c>
      <c r="K516" s="13">
        <f t="array" ref="K516">IFERROR(INDEX(Unified_Matrix!$A:$ZZ,ROW(A513),MATCH("+ OVR",Unified_Matrix!$1:$1,0)),"")</f>
        <v/>
      </c>
      <c r="L516" s="13">
        <f t="array" ref="L516">IFERROR(INDEX(Unified_Matrix!$A:$ZZ,ROW(A513),MATCH("Max OVR",Unified_Matrix!$1:$1,0)),"")</f>
        <v/>
      </c>
      <c r="M516" s="13">
        <f t="array" ref="M516">IFERROR(INDEX(Unified_Matrix!$A:$ZZ,ROW(A513),MATCH("Req_Position",Unified_Matrix!$1:$1,0)),"")</f>
        <v/>
      </c>
      <c r="N516" s="13">
        <f t="array" ref="N516">IFERROR(INDEX(Unified_Matrix!$A:$ZZ,ROW(A513),MATCH("Req_OVR_Max",Unified_Matrix!$1:$1,0)),"")</f>
        <v/>
      </c>
      <c r="O516" s="25">
        <f t="array" ref="O516">IFERROR(INDEX(Unified_Matrix!$A:$ZZ,ROW(A513),MATCH("Req_Other",Unified_Matrix!$1:$1,0)),"")</f>
        <v/>
      </c>
    </row>
    <row r="517" ht="68.25" customHeight="1">
      <c r="H517" s="13">
        <f t="array" ref="H517">IFERROR(INDEX(Unified_Matrix!$A:$ZZ,ROW(A514),MATCH("Max "&amp;$H$3,Unified_Matrix!$1:$1,0)),"")</f>
        <v/>
      </c>
      <c r="I517" s="25">
        <f t="array" ref="I517">IFERROR(INDEX(Unified_Matrix!$A:$ZZ,ROW(A514),MATCH("Evolution_Name",Unified_Matrix!$1:$1,0)),"")</f>
        <v/>
      </c>
      <c r="J517" s="13">
        <f>IF(H517="","",IF(H517=0,"",IF(H517=$Z$32,1,IF(H517=$Z$33,2,IF(H517=$Z$34,3,"")))))</f>
        <v/>
      </c>
      <c r="K517" s="13">
        <f t="array" ref="K517">IFERROR(INDEX(Unified_Matrix!$A:$ZZ,ROW(A514),MATCH("+ OVR",Unified_Matrix!$1:$1,0)),"")</f>
        <v/>
      </c>
      <c r="L517" s="13">
        <f t="array" ref="L517">IFERROR(INDEX(Unified_Matrix!$A:$ZZ,ROW(A514),MATCH("Max OVR",Unified_Matrix!$1:$1,0)),"")</f>
        <v/>
      </c>
      <c r="M517" s="13">
        <f t="array" ref="M517">IFERROR(INDEX(Unified_Matrix!$A:$ZZ,ROW(A514),MATCH("Req_Position",Unified_Matrix!$1:$1,0)),"")</f>
        <v/>
      </c>
      <c r="N517" s="13">
        <f t="array" ref="N517">IFERROR(INDEX(Unified_Matrix!$A:$ZZ,ROW(A514),MATCH("Req_OVR_Max",Unified_Matrix!$1:$1,0)),"")</f>
        <v/>
      </c>
      <c r="O517" s="25">
        <f t="array" ref="O517">IFERROR(INDEX(Unified_Matrix!$A:$ZZ,ROW(A514),MATCH("Req_Other",Unified_Matrix!$1:$1,0)),"")</f>
        <v/>
      </c>
    </row>
    <row r="518" ht="68.25" customHeight="1">
      <c r="H518" s="13">
        <f t="array" ref="H518">IFERROR(INDEX(Unified_Matrix!$A:$ZZ,ROW(A515),MATCH("Max "&amp;$H$3,Unified_Matrix!$1:$1,0)),"")</f>
        <v/>
      </c>
      <c r="I518" s="25">
        <f t="array" ref="I518">IFERROR(INDEX(Unified_Matrix!$A:$ZZ,ROW(A515),MATCH("Evolution_Name",Unified_Matrix!$1:$1,0)),"")</f>
        <v/>
      </c>
      <c r="J518" s="13">
        <f>IF(H518="","",IF(H518=0,"",IF(H518=$Z$32,1,IF(H518=$Z$33,2,IF(H518=$Z$34,3,"")))))</f>
        <v/>
      </c>
      <c r="K518" s="13">
        <f t="array" ref="K518">IFERROR(INDEX(Unified_Matrix!$A:$ZZ,ROW(A515),MATCH("+ OVR",Unified_Matrix!$1:$1,0)),"")</f>
        <v/>
      </c>
      <c r="L518" s="13">
        <f t="array" ref="L518">IFERROR(INDEX(Unified_Matrix!$A:$ZZ,ROW(A515),MATCH("Max OVR",Unified_Matrix!$1:$1,0)),"")</f>
        <v/>
      </c>
      <c r="M518" s="13">
        <f t="array" ref="M518">IFERROR(INDEX(Unified_Matrix!$A:$ZZ,ROW(A515),MATCH("Req_Position",Unified_Matrix!$1:$1,0)),"")</f>
        <v/>
      </c>
      <c r="N518" s="13">
        <f t="array" ref="N518">IFERROR(INDEX(Unified_Matrix!$A:$ZZ,ROW(A515),MATCH("Req_OVR_Max",Unified_Matrix!$1:$1,0)),"")</f>
        <v/>
      </c>
      <c r="O518" s="25">
        <f t="array" ref="O518">IFERROR(INDEX(Unified_Matrix!$A:$ZZ,ROW(A515),MATCH("Req_Other",Unified_Matrix!$1:$1,0)),"")</f>
        <v/>
      </c>
    </row>
    <row r="519" ht="68.25" customHeight="1">
      <c r="H519" s="13">
        <f t="array" ref="H519">IFERROR(INDEX(Unified_Matrix!$A:$ZZ,ROW(A516),MATCH("Max "&amp;$H$3,Unified_Matrix!$1:$1,0)),"")</f>
        <v/>
      </c>
      <c r="I519" s="25">
        <f t="array" ref="I519">IFERROR(INDEX(Unified_Matrix!$A:$ZZ,ROW(A516),MATCH("Evolution_Name",Unified_Matrix!$1:$1,0)),"")</f>
        <v/>
      </c>
      <c r="J519" s="13">
        <f>IF(H519="","",IF(H519=0,"",IF(H519=$Z$32,1,IF(H519=$Z$33,2,IF(H519=$Z$34,3,"")))))</f>
        <v/>
      </c>
      <c r="K519" s="13">
        <f t="array" ref="K519">IFERROR(INDEX(Unified_Matrix!$A:$ZZ,ROW(A516),MATCH("+ OVR",Unified_Matrix!$1:$1,0)),"")</f>
        <v/>
      </c>
      <c r="L519" s="13">
        <f t="array" ref="L519">IFERROR(INDEX(Unified_Matrix!$A:$ZZ,ROW(A516),MATCH("Max OVR",Unified_Matrix!$1:$1,0)),"")</f>
        <v/>
      </c>
      <c r="M519" s="13">
        <f t="array" ref="M519">IFERROR(INDEX(Unified_Matrix!$A:$ZZ,ROW(A516),MATCH("Req_Position",Unified_Matrix!$1:$1,0)),"")</f>
        <v/>
      </c>
      <c r="N519" s="13">
        <f t="array" ref="N519">IFERROR(INDEX(Unified_Matrix!$A:$ZZ,ROW(A516),MATCH("Req_OVR_Max",Unified_Matrix!$1:$1,0)),"")</f>
        <v/>
      </c>
      <c r="O519" s="25">
        <f t="array" ref="O519">IFERROR(INDEX(Unified_Matrix!$A:$ZZ,ROW(A516),MATCH("Req_Other",Unified_Matrix!$1:$1,0)),"")</f>
        <v/>
      </c>
    </row>
    <row r="520" ht="68.25" customHeight="1">
      <c r="H520" s="13">
        <f t="array" ref="H520">IFERROR(INDEX(Unified_Matrix!$A:$ZZ,ROW(A517),MATCH("Max "&amp;$H$3,Unified_Matrix!$1:$1,0)),"")</f>
        <v/>
      </c>
      <c r="I520" s="25">
        <f t="array" ref="I520">IFERROR(INDEX(Unified_Matrix!$A:$ZZ,ROW(A517),MATCH("Evolution_Name",Unified_Matrix!$1:$1,0)),"")</f>
        <v/>
      </c>
      <c r="J520" s="13">
        <f>IF(H520="","",IF(H520=0,"",IF(H520=$Z$32,1,IF(H520=$Z$33,2,IF(H520=$Z$34,3,"")))))</f>
        <v/>
      </c>
      <c r="K520" s="13">
        <f t="array" ref="K520">IFERROR(INDEX(Unified_Matrix!$A:$ZZ,ROW(A517),MATCH("+ OVR",Unified_Matrix!$1:$1,0)),"")</f>
        <v/>
      </c>
      <c r="L520" s="13">
        <f t="array" ref="L520">IFERROR(INDEX(Unified_Matrix!$A:$ZZ,ROW(A517),MATCH("Max OVR",Unified_Matrix!$1:$1,0)),"")</f>
        <v/>
      </c>
      <c r="M520" s="13">
        <f t="array" ref="M520">IFERROR(INDEX(Unified_Matrix!$A:$ZZ,ROW(A517),MATCH("Req_Position",Unified_Matrix!$1:$1,0)),"")</f>
        <v/>
      </c>
      <c r="N520" s="13">
        <f t="array" ref="N520">IFERROR(INDEX(Unified_Matrix!$A:$ZZ,ROW(A517),MATCH("Req_OVR_Max",Unified_Matrix!$1:$1,0)),"")</f>
        <v/>
      </c>
      <c r="O520" s="25">
        <f t="array" ref="O520">IFERROR(INDEX(Unified_Matrix!$A:$ZZ,ROW(A517),MATCH("Req_Other",Unified_Matrix!$1:$1,0)),"")</f>
        <v/>
      </c>
    </row>
    <row r="521" ht="68.25" customHeight="1">
      <c r="H521" s="13">
        <f t="array" ref="H521">IFERROR(INDEX(Unified_Matrix!$A:$ZZ,ROW(A518),MATCH("Max "&amp;$H$3,Unified_Matrix!$1:$1,0)),"")</f>
        <v/>
      </c>
      <c r="I521" s="25">
        <f t="array" ref="I521">IFERROR(INDEX(Unified_Matrix!$A:$ZZ,ROW(A518),MATCH("Evolution_Name",Unified_Matrix!$1:$1,0)),"")</f>
        <v/>
      </c>
      <c r="J521" s="13">
        <f>IF(H521="","",IF(H521=0,"",IF(H521=$Z$32,1,IF(H521=$Z$33,2,IF(H521=$Z$34,3,"")))))</f>
        <v/>
      </c>
      <c r="K521" s="13">
        <f t="array" ref="K521">IFERROR(INDEX(Unified_Matrix!$A:$ZZ,ROW(A518),MATCH("+ OVR",Unified_Matrix!$1:$1,0)),"")</f>
        <v/>
      </c>
      <c r="L521" s="13">
        <f t="array" ref="L521">IFERROR(INDEX(Unified_Matrix!$A:$ZZ,ROW(A518),MATCH("Max OVR",Unified_Matrix!$1:$1,0)),"")</f>
        <v/>
      </c>
      <c r="M521" s="13">
        <f t="array" ref="M521">IFERROR(INDEX(Unified_Matrix!$A:$ZZ,ROW(A518),MATCH("Req_Position",Unified_Matrix!$1:$1,0)),"")</f>
        <v/>
      </c>
      <c r="N521" s="13">
        <f t="array" ref="N521">IFERROR(INDEX(Unified_Matrix!$A:$ZZ,ROW(A518),MATCH("Req_OVR_Max",Unified_Matrix!$1:$1,0)),"")</f>
        <v/>
      </c>
      <c r="O521" s="25">
        <f t="array" ref="O521">IFERROR(INDEX(Unified_Matrix!$A:$ZZ,ROW(A518),MATCH("Req_Other",Unified_Matrix!$1:$1,0)),"")</f>
        <v/>
      </c>
    </row>
    <row r="522" ht="68.25" customHeight="1">
      <c r="H522" s="13">
        <f t="array" ref="H522">IFERROR(INDEX(Unified_Matrix!$A:$ZZ,ROW(A519),MATCH("Max "&amp;$H$3,Unified_Matrix!$1:$1,0)),"")</f>
        <v/>
      </c>
      <c r="I522" s="25">
        <f t="array" ref="I522">IFERROR(INDEX(Unified_Matrix!$A:$ZZ,ROW(A519),MATCH("Evolution_Name",Unified_Matrix!$1:$1,0)),"")</f>
        <v/>
      </c>
      <c r="J522" s="13">
        <f>IF(H522="","",IF(H522=0,"",IF(H522=$Z$32,1,IF(H522=$Z$33,2,IF(H522=$Z$34,3,"")))))</f>
        <v/>
      </c>
      <c r="K522" s="13">
        <f t="array" ref="K522">IFERROR(INDEX(Unified_Matrix!$A:$ZZ,ROW(A519),MATCH("+ OVR",Unified_Matrix!$1:$1,0)),"")</f>
        <v/>
      </c>
      <c r="L522" s="13">
        <f t="array" ref="L522">IFERROR(INDEX(Unified_Matrix!$A:$ZZ,ROW(A519),MATCH("Max OVR",Unified_Matrix!$1:$1,0)),"")</f>
        <v/>
      </c>
      <c r="M522" s="13">
        <f t="array" ref="M522">IFERROR(INDEX(Unified_Matrix!$A:$ZZ,ROW(A519),MATCH("Req_Position",Unified_Matrix!$1:$1,0)),"")</f>
        <v/>
      </c>
      <c r="N522" s="13">
        <f t="array" ref="N522">IFERROR(INDEX(Unified_Matrix!$A:$ZZ,ROW(A519),MATCH("Req_OVR_Max",Unified_Matrix!$1:$1,0)),"")</f>
        <v/>
      </c>
      <c r="O522" s="25">
        <f t="array" ref="O522">IFERROR(INDEX(Unified_Matrix!$A:$ZZ,ROW(A519),MATCH("Req_Other",Unified_Matrix!$1:$1,0)),"")</f>
        <v/>
      </c>
    </row>
    <row r="523" ht="68.25" customHeight="1">
      <c r="H523" s="13">
        <f t="array" ref="H523">IFERROR(INDEX(Unified_Matrix!$A:$ZZ,ROW(A520),MATCH("Max "&amp;$H$3,Unified_Matrix!$1:$1,0)),"")</f>
        <v/>
      </c>
      <c r="I523" s="25">
        <f t="array" ref="I523">IFERROR(INDEX(Unified_Matrix!$A:$ZZ,ROW(A520),MATCH("Evolution_Name",Unified_Matrix!$1:$1,0)),"")</f>
        <v/>
      </c>
      <c r="J523" s="13">
        <f>IF(H523="","",IF(H523=0,"",IF(H523=$Z$32,1,IF(H523=$Z$33,2,IF(H523=$Z$34,3,"")))))</f>
        <v/>
      </c>
      <c r="K523" s="13">
        <f t="array" ref="K523">IFERROR(INDEX(Unified_Matrix!$A:$ZZ,ROW(A520),MATCH("+ OVR",Unified_Matrix!$1:$1,0)),"")</f>
        <v/>
      </c>
      <c r="L523" s="13">
        <f t="array" ref="L523">IFERROR(INDEX(Unified_Matrix!$A:$ZZ,ROW(A520),MATCH("Max OVR",Unified_Matrix!$1:$1,0)),"")</f>
        <v/>
      </c>
      <c r="M523" s="13">
        <f t="array" ref="M523">IFERROR(INDEX(Unified_Matrix!$A:$ZZ,ROW(A520),MATCH("Req_Position",Unified_Matrix!$1:$1,0)),"")</f>
        <v/>
      </c>
      <c r="N523" s="13">
        <f t="array" ref="N523">IFERROR(INDEX(Unified_Matrix!$A:$ZZ,ROW(A520),MATCH("Req_OVR_Max",Unified_Matrix!$1:$1,0)),"")</f>
        <v/>
      </c>
      <c r="O523" s="25">
        <f t="array" ref="O523">IFERROR(INDEX(Unified_Matrix!$A:$ZZ,ROW(A520),MATCH("Req_Other",Unified_Matrix!$1:$1,0)),"")</f>
        <v/>
      </c>
    </row>
    <row r="524" ht="68.25" customHeight="1">
      <c r="H524" s="13">
        <f t="array" ref="H524">IFERROR(INDEX(Unified_Matrix!$A:$ZZ,ROW(A521),MATCH("Max "&amp;$H$3,Unified_Matrix!$1:$1,0)),"")</f>
        <v/>
      </c>
      <c r="I524" s="25">
        <f t="array" ref="I524">IFERROR(INDEX(Unified_Matrix!$A:$ZZ,ROW(A521),MATCH("Evolution_Name",Unified_Matrix!$1:$1,0)),"")</f>
        <v/>
      </c>
      <c r="J524" s="13">
        <f>IF(H524="","",IF(H524=0,"",IF(H524=$Z$32,1,IF(H524=$Z$33,2,IF(H524=$Z$34,3,"")))))</f>
        <v/>
      </c>
      <c r="K524" s="13">
        <f t="array" ref="K524">IFERROR(INDEX(Unified_Matrix!$A:$ZZ,ROW(A521),MATCH("+ OVR",Unified_Matrix!$1:$1,0)),"")</f>
        <v/>
      </c>
      <c r="L524" s="13">
        <f t="array" ref="L524">IFERROR(INDEX(Unified_Matrix!$A:$ZZ,ROW(A521),MATCH("Max OVR",Unified_Matrix!$1:$1,0)),"")</f>
        <v/>
      </c>
      <c r="M524" s="13">
        <f t="array" ref="M524">IFERROR(INDEX(Unified_Matrix!$A:$ZZ,ROW(A521),MATCH("Req_Position",Unified_Matrix!$1:$1,0)),"")</f>
        <v/>
      </c>
      <c r="N524" s="13">
        <f t="array" ref="N524">IFERROR(INDEX(Unified_Matrix!$A:$ZZ,ROW(A521),MATCH("Req_OVR_Max",Unified_Matrix!$1:$1,0)),"")</f>
        <v/>
      </c>
      <c r="O524" s="25">
        <f t="array" ref="O524">IFERROR(INDEX(Unified_Matrix!$A:$ZZ,ROW(A521),MATCH("Req_Other",Unified_Matrix!$1:$1,0)),"")</f>
        <v/>
      </c>
    </row>
    <row r="525" ht="68.25" customHeight="1">
      <c r="H525" s="13">
        <f t="array" ref="H525">IFERROR(INDEX(Unified_Matrix!$A:$ZZ,ROW(A522),MATCH("Max "&amp;$H$3,Unified_Matrix!$1:$1,0)),"")</f>
        <v/>
      </c>
      <c r="I525" s="25">
        <f t="array" ref="I525">IFERROR(INDEX(Unified_Matrix!$A:$ZZ,ROW(A522),MATCH("Evolution_Name",Unified_Matrix!$1:$1,0)),"")</f>
        <v/>
      </c>
      <c r="J525" s="13">
        <f>IF(H525="","",IF(H525=0,"",IF(H525=$Z$32,1,IF(H525=$Z$33,2,IF(H525=$Z$34,3,"")))))</f>
        <v/>
      </c>
      <c r="K525" s="13">
        <f t="array" ref="K525">IFERROR(INDEX(Unified_Matrix!$A:$ZZ,ROW(A522),MATCH("+ OVR",Unified_Matrix!$1:$1,0)),"")</f>
        <v/>
      </c>
      <c r="L525" s="13">
        <f t="array" ref="L525">IFERROR(INDEX(Unified_Matrix!$A:$ZZ,ROW(A522),MATCH("Max OVR",Unified_Matrix!$1:$1,0)),"")</f>
        <v/>
      </c>
      <c r="M525" s="13">
        <f t="array" ref="M525">IFERROR(INDEX(Unified_Matrix!$A:$ZZ,ROW(A522),MATCH("Req_Position",Unified_Matrix!$1:$1,0)),"")</f>
        <v/>
      </c>
      <c r="N525" s="13">
        <f t="array" ref="N525">IFERROR(INDEX(Unified_Matrix!$A:$ZZ,ROW(A522),MATCH("Req_OVR_Max",Unified_Matrix!$1:$1,0)),"")</f>
        <v/>
      </c>
      <c r="O525" s="25">
        <f t="array" ref="O525">IFERROR(INDEX(Unified_Matrix!$A:$ZZ,ROW(A522),MATCH("Req_Other",Unified_Matrix!$1:$1,0)),"")</f>
        <v/>
      </c>
    </row>
    <row r="526" ht="68.25" customHeight="1">
      <c r="H526" s="13">
        <f t="array" ref="H526">IFERROR(INDEX(Unified_Matrix!$A:$ZZ,ROW(A523),MATCH("Max "&amp;$H$3,Unified_Matrix!$1:$1,0)),"")</f>
        <v/>
      </c>
      <c r="I526" s="25">
        <f t="array" ref="I526">IFERROR(INDEX(Unified_Matrix!$A:$ZZ,ROW(A523),MATCH("Evolution_Name",Unified_Matrix!$1:$1,0)),"")</f>
        <v/>
      </c>
      <c r="J526" s="13">
        <f>IF(H526="","",IF(H526=0,"",IF(H526=$Z$32,1,IF(H526=$Z$33,2,IF(H526=$Z$34,3,"")))))</f>
        <v/>
      </c>
      <c r="K526" s="13">
        <f t="array" ref="K526">IFERROR(INDEX(Unified_Matrix!$A:$ZZ,ROW(A523),MATCH("+ OVR",Unified_Matrix!$1:$1,0)),"")</f>
        <v/>
      </c>
      <c r="L526" s="13">
        <f t="array" ref="L526">IFERROR(INDEX(Unified_Matrix!$A:$ZZ,ROW(A523),MATCH("Max OVR",Unified_Matrix!$1:$1,0)),"")</f>
        <v/>
      </c>
      <c r="M526" s="13">
        <f t="array" ref="M526">IFERROR(INDEX(Unified_Matrix!$A:$ZZ,ROW(A523),MATCH("Req_Position",Unified_Matrix!$1:$1,0)),"")</f>
        <v/>
      </c>
      <c r="N526" s="13">
        <f t="array" ref="N526">IFERROR(INDEX(Unified_Matrix!$A:$ZZ,ROW(A523),MATCH("Req_OVR_Max",Unified_Matrix!$1:$1,0)),"")</f>
        <v/>
      </c>
      <c r="O526" s="25">
        <f t="array" ref="O526">IFERROR(INDEX(Unified_Matrix!$A:$ZZ,ROW(A523),MATCH("Req_Other",Unified_Matrix!$1:$1,0)),"")</f>
        <v/>
      </c>
    </row>
  </sheetData>
  <autoFilter ref="A31:P31"/>
  <mergeCells count="5">
    <mergeCell ref="F20:F24"/>
    <mergeCell ref="F10:F14"/>
    <mergeCell ref="F25:F29"/>
    <mergeCell ref="F15:F19"/>
    <mergeCell ref="F5:F9"/>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B32"/>
  <sheetViews>
    <sheetView zoomScale="70" zoomScaleNormal="70" workbookViewId="0">
      <selection activeCell="A4" sqref="A4"/>
    </sheetView>
  </sheetViews>
  <sheetFormatPr baseColWidth="8" defaultRowHeight="16.5"/>
  <cols>
    <col width="14.875" customWidth="1" min="1" max="1"/>
    <col width="10.75" customWidth="1" min="2" max="2"/>
    <col width="17" customWidth="1" min="3" max="3"/>
    <col width="12.375" customWidth="1" min="5" max="5"/>
    <col width="9.625" customWidth="1" min="6" max="6"/>
    <col width="15.375" customWidth="1" min="7" max="7"/>
    <col width="15" customWidth="1" min="8" max="8"/>
    <col width="14" customWidth="1" min="9" max="9"/>
    <col width="22.5" customWidth="1" min="10" max="10"/>
    <col width="12.125" customWidth="1" min="11" max="11"/>
    <col width="20.625" customWidth="1" min="12" max="12"/>
    <col width="15.125" customWidth="1" min="13" max="13"/>
    <col width="15.375" customWidth="1" min="14" max="14"/>
    <col width="14.875" customWidth="1" min="15" max="15"/>
    <col width="14.625" customWidth="1" min="16" max="16"/>
    <col width="14.75" customWidth="1" min="17" max="17"/>
    <col width="15.125" customWidth="1" min="18" max="18"/>
    <col width="13.5" customWidth="1" min="19" max="19"/>
    <col width="17.875" customWidth="1" min="20" max="20"/>
    <col width="19.375" customWidth="1" min="21" max="21"/>
    <col width="17.75" customWidth="1" min="22" max="22"/>
    <col width="16.5" customWidth="1" min="23" max="23"/>
    <col width="11.125" customWidth="1" min="25" max="25"/>
    <col width="10.875" customWidth="1" min="27" max="27"/>
    <col width="11.125" customWidth="1" min="29" max="29"/>
    <col width="10.625" customWidth="1" min="31" max="31"/>
    <col width="10.375" customWidth="1" min="33" max="33"/>
    <col width="10.5" customWidth="1" min="35" max="35"/>
    <col width="10.875" customWidth="1" min="37" max="37"/>
    <col width="15.625" customWidth="1" min="38" max="38"/>
    <col width="18" customWidth="1" min="39" max="39"/>
    <col width="15.875" customWidth="1" min="40" max="40"/>
    <col width="18.25" customWidth="1" min="41" max="41"/>
    <col width="14.625" customWidth="1" min="42" max="42"/>
    <col width="17" customWidth="1" min="43" max="43"/>
    <col width="12.625" customWidth="1" min="44" max="44"/>
    <col width="15" customWidth="1" min="45" max="45"/>
    <col width="14.875" customWidth="1" min="46" max="46"/>
    <col width="17.25" customWidth="1" min="47" max="47"/>
    <col width="14.625" customWidth="1" min="48" max="48"/>
    <col width="17" customWidth="1" min="49" max="49"/>
    <col width="11" customWidth="1" min="50" max="50"/>
    <col width="13.375" customWidth="1" min="51" max="51"/>
    <col width="12.625" customWidth="1" min="52" max="52"/>
    <col width="15" customWidth="1" min="53" max="53"/>
    <col width="10.125" customWidth="1" min="54" max="54"/>
    <col width="12.5" customWidth="1" min="55" max="55"/>
    <col width="12.375" customWidth="1" min="56" max="56"/>
    <col width="14.75" customWidth="1" min="57" max="57"/>
    <col width="15.5" customWidth="1" min="58" max="58"/>
    <col width="17.875" customWidth="1" min="59" max="59"/>
    <col width="16.75" customWidth="1" min="60" max="60"/>
    <col width="19.125" customWidth="1" min="61" max="61"/>
    <col width="16.375" customWidth="1" min="62" max="62"/>
    <col width="18.75" customWidth="1" min="63" max="63"/>
    <col width="9.875" customWidth="1" min="64" max="64"/>
    <col width="12.25" customWidth="1" min="65" max="65"/>
    <col width="10.5" customWidth="1" min="66" max="66"/>
    <col width="12.875" customWidth="1" min="67" max="67"/>
    <col width="11.5" customWidth="1" min="68" max="68"/>
    <col width="13.875" customWidth="1" min="69" max="69"/>
    <col width="13.25" customWidth="1" min="70" max="70"/>
    <col width="15.625" customWidth="1" min="71" max="71"/>
    <col width="15.25" customWidth="1" min="72" max="72"/>
    <col width="17.625" customWidth="1" min="73" max="73"/>
    <col width="12.875" customWidth="1" min="74" max="74"/>
    <col width="15.25" customWidth="1" min="75" max="75"/>
    <col width="14.875" customWidth="1" min="76" max="76"/>
    <col width="17.25" customWidth="1" min="77" max="77"/>
    <col width="16.375" customWidth="1" min="78" max="78"/>
    <col width="18.75" customWidth="1" min="79" max="79"/>
    <col width="20.625" customWidth="1" min="80" max="80"/>
    <col width="23" customWidth="1" min="81" max="81"/>
    <col width="23.5" customWidth="1" min="82" max="82"/>
    <col width="25.875" customWidth="1" min="83" max="83"/>
    <col width="18.625" customWidth="1" min="84" max="84"/>
    <col width="21" customWidth="1" min="85" max="85"/>
    <col width="16.75" customWidth="1" min="86" max="86"/>
    <col width="19.125" customWidth="1" min="87" max="87"/>
    <col width="12.25" customWidth="1" min="88" max="88"/>
    <col width="14.625" customWidth="1" min="89" max="89"/>
    <col width="11.875" customWidth="1" min="90" max="90"/>
    <col width="14.25" customWidth="1" min="91" max="91"/>
    <col width="12.375" customWidth="1" min="92" max="92"/>
    <col width="14.75" customWidth="1" min="93" max="93"/>
    <col width="14.625" customWidth="1" min="94" max="94"/>
    <col width="17" customWidth="1" min="95" max="95"/>
    <col width="9.875" customWidth="1" min="97" max="97"/>
    <col width="10" customWidth="1" min="99" max="99"/>
    <col width="13.125" customWidth="1" min="100" max="100"/>
    <col width="20.75" customWidth="1" min="101" max="101"/>
    <col width="24.125" customWidth="1" min="102" max="102"/>
    <col width="12" customWidth="1" min="103" max="103"/>
    <col width="11" customWidth="1" min="104" max="104"/>
    <col width="13.125" customWidth="1" min="105" max="105"/>
  </cols>
  <sheetData>
    <row r="1">
      <c r="A1" t="inlineStr">
        <is>
          <t>Source_Group</t>
        </is>
      </c>
      <c r="B1" t="inlineStr">
        <is>
          <t>Category</t>
        </is>
      </c>
      <c r="C1" t="inlineStr">
        <is>
          <t>Evolution_Name</t>
        </is>
      </c>
      <c r="D1" t="inlineStr">
        <is>
          <t>URL</t>
        </is>
      </c>
      <c r="E1" t="inlineStr">
        <is>
          <t>Cost_Coins</t>
        </is>
      </c>
      <c r="F1" t="inlineStr">
        <is>
          <t>Cost_FP</t>
        </is>
      </c>
      <c r="G1" t="inlineStr">
        <is>
          <t>Req_OVR_Max</t>
        </is>
      </c>
      <c r="H1" t="inlineStr">
        <is>
          <t>Req_OVR_Min</t>
        </is>
      </c>
      <c r="I1" t="inlineStr">
        <is>
          <t>Req_Position</t>
        </is>
      </c>
      <c r="J1" t="inlineStr">
        <is>
          <t>Req_Excluded_Position</t>
        </is>
      </c>
      <c r="K1" t="inlineStr">
        <is>
          <t>Req_Rarity</t>
        </is>
      </c>
      <c r="L1" t="inlineStr">
        <is>
          <t>Req_Excluded_Rarity</t>
        </is>
      </c>
      <c r="M1" t="inlineStr">
        <is>
          <t>Req_PAC_Max</t>
        </is>
      </c>
      <c r="N1" t="inlineStr">
        <is>
          <t>Req_SHO_Max</t>
        </is>
      </c>
      <c r="O1" t="inlineStr">
        <is>
          <t>Req_PAS_Max</t>
        </is>
      </c>
      <c r="P1" t="inlineStr">
        <is>
          <t>Req_DRI_Max</t>
        </is>
      </c>
      <c r="Q1" t="inlineStr">
        <is>
          <t>Req_DEF_Max</t>
        </is>
      </c>
      <c r="R1" t="inlineStr">
        <is>
          <t>Req_PHY_Max</t>
        </is>
      </c>
      <c r="S1" t="inlineStr">
        <is>
          <t>Req_Max_PS</t>
        </is>
      </c>
      <c r="T1" t="inlineStr">
        <is>
          <t>Req_Max_PS_Plus</t>
        </is>
      </c>
      <c r="U1" t="inlineStr">
        <is>
          <t>Req_Max_Positions</t>
        </is>
      </c>
      <c r="V1" t="inlineStr">
        <is>
          <t>Req_Born_Before</t>
        </is>
      </c>
      <c r="W1" t="inlineStr">
        <is>
          <t>Req_Born_After</t>
        </is>
      </c>
      <c r="X1" t="inlineStr">
        <is>
          <t>+ OVR</t>
        </is>
      </c>
      <c r="Y1" t="inlineStr">
        <is>
          <t>Max OVR</t>
        </is>
      </c>
      <c r="Z1" t="inlineStr">
        <is>
          <t>+ PAC</t>
        </is>
      </c>
      <c r="AA1" t="inlineStr">
        <is>
          <t>Max PAC</t>
        </is>
      </c>
      <c r="AB1" t="inlineStr">
        <is>
          <t>+ SHO</t>
        </is>
      </c>
      <c r="AC1" t="inlineStr">
        <is>
          <t>Max SHO</t>
        </is>
      </c>
      <c r="AD1" t="inlineStr">
        <is>
          <t>+ PAS</t>
        </is>
      </c>
      <c r="AE1" t="inlineStr">
        <is>
          <t>Max PAS</t>
        </is>
      </c>
      <c r="AF1" t="inlineStr">
        <is>
          <t>+ DRI</t>
        </is>
      </c>
      <c r="AG1" t="inlineStr">
        <is>
          <t>Max DRI</t>
        </is>
      </c>
      <c r="AH1" t="inlineStr">
        <is>
          <t>+ DEF</t>
        </is>
      </c>
      <c r="AI1" t="inlineStr">
        <is>
          <t>Max DEF</t>
        </is>
      </c>
      <c r="AJ1" t="inlineStr">
        <is>
          <t>+ PHY</t>
        </is>
      </c>
      <c r="AK1" t="inlineStr">
        <is>
          <t>Max PHY</t>
        </is>
      </c>
      <c r="AL1" t="inlineStr">
        <is>
          <t>+ Acceleration</t>
        </is>
      </c>
      <c r="AM1" t="inlineStr">
        <is>
          <t>Max Acceleration</t>
        </is>
      </c>
      <c r="AN1" t="inlineStr">
        <is>
          <t>+ Sprint Speed</t>
        </is>
      </c>
      <c r="AO1" t="inlineStr">
        <is>
          <t>Max Sprint Speed</t>
        </is>
      </c>
      <c r="AP1" t="inlineStr">
        <is>
          <t>+ Positioning</t>
        </is>
      </c>
      <c r="AQ1" t="inlineStr">
        <is>
          <t>Max Positioning</t>
        </is>
      </c>
      <c r="AR1" t="inlineStr">
        <is>
          <t>+ Finishing</t>
        </is>
      </c>
      <c r="AS1" t="inlineStr">
        <is>
          <t>Max Finishing</t>
        </is>
      </c>
      <c r="AT1" t="inlineStr">
        <is>
          <t>+ Shot Power</t>
        </is>
      </c>
      <c r="AU1" t="inlineStr">
        <is>
          <t>Max Shot Power</t>
        </is>
      </c>
      <c r="AV1" t="inlineStr">
        <is>
          <t>+ Long Shots</t>
        </is>
      </c>
      <c r="AW1" t="inlineStr">
        <is>
          <t>Max Long Shots</t>
        </is>
      </c>
      <c r="AX1" t="inlineStr">
        <is>
          <t>+ Volleys</t>
        </is>
      </c>
      <c r="AY1" t="inlineStr">
        <is>
          <t>Max Volleys</t>
        </is>
      </c>
      <c r="AZ1" t="inlineStr">
        <is>
          <t>+ Penalties</t>
        </is>
      </c>
      <c r="BA1" t="inlineStr">
        <is>
          <t>Max Penalties</t>
        </is>
      </c>
      <c r="BB1" t="inlineStr">
        <is>
          <t>+ Vision</t>
        </is>
      </c>
      <c r="BC1" t="inlineStr">
        <is>
          <t>Max Vision</t>
        </is>
      </c>
      <c r="BD1" t="inlineStr">
        <is>
          <t>+ Crossing</t>
        </is>
      </c>
      <c r="BE1" t="inlineStr">
        <is>
          <t>Max Crossing</t>
        </is>
      </c>
      <c r="BF1" t="inlineStr">
        <is>
          <t>+ FK Accuracy</t>
        </is>
      </c>
      <c r="BG1" t="inlineStr">
        <is>
          <t>Max FK Accuracy</t>
        </is>
      </c>
      <c r="BH1" t="inlineStr">
        <is>
          <t>+ Short Passing</t>
        </is>
      </c>
      <c r="BI1" t="inlineStr">
        <is>
          <t>Max Short Passing</t>
        </is>
      </c>
      <c r="BJ1" t="inlineStr">
        <is>
          <t>+ Long Passing</t>
        </is>
      </c>
      <c r="BK1" t="inlineStr">
        <is>
          <t>Max Long Passing</t>
        </is>
      </c>
      <c r="BL1" t="inlineStr">
        <is>
          <t>+ Curve</t>
        </is>
      </c>
      <c r="BM1" t="inlineStr">
        <is>
          <t>Max Curve</t>
        </is>
      </c>
      <c r="BN1" t="inlineStr">
        <is>
          <t>+ Agility</t>
        </is>
      </c>
      <c r="BO1" t="inlineStr">
        <is>
          <t>Max Agility</t>
        </is>
      </c>
      <c r="BP1" t="inlineStr">
        <is>
          <t>+ Balance</t>
        </is>
      </c>
      <c r="BQ1" t="inlineStr">
        <is>
          <t>Max Balance</t>
        </is>
      </c>
      <c r="BR1" t="inlineStr">
        <is>
          <t>+ Reactions</t>
        </is>
      </c>
      <c r="BS1" t="inlineStr">
        <is>
          <t>Max Reactions</t>
        </is>
      </c>
      <c r="BT1" t="inlineStr">
        <is>
          <t>+ Ball Control</t>
        </is>
      </c>
      <c r="BU1" t="inlineStr">
        <is>
          <t>Max Ball Control</t>
        </is>
      </c>
      <c r="BV1" t="inlineStr">
        <is>
          <t>+ Dribbling</t>
        </is>
      </c>
      <c r="BW1" t="inlineStr">
        <is>
          <t>Max Dribbling</t>
        </is>
      </c>
      <c r="BX1" t="inlineStr">
        <is>
          <t>+ Composure</t>
        </is>
      </c>
      <c r="BY1" t="inlineStr">
        <is>
          <t>Max Composure</t>
        </is>
      </c>
      <c r="BZ1" t="inlineStr">
        <is>
          <t>+ Interceptions</t>
        </is>
      </c>
      <c r="CA1" t="inlineStr">
        <is>
          <t>Max Interceptions</t>
        </is>
      </c>
      <c r="CB1" t="inlineStr">
        <is>
          <t>+ Heading Accuracy</t>
        </is>
      </c>
      <c r="CC1" t="inlineStr">
        <is>
          <t>Max Heading Accuracy</t>
        </is>
      </c>
      <c r="CD1" t="inlineStr">
        <is>
          <t>+ Defensive Awareness</t>
        </is>
      </c>
      <c r="CE1" t="inlineStr">
        <is>
          <t>Max Defensive Awareness</t>
        </is>
      </c>
      <c r="CF1" t="inlineStr">
        <is>
          <t>+ Standing Tackle</t>
        </is>
      </c>
      <c r="CG1" t="inlineStr">
        <is>
          <t>Max Standing Tackle</t>
        </is>
      </c>
      <c r="CH1" t="inlineStr">
        <is>
          <t>+ Sliding Tackle</t>
        </is>
      </c>
      <c r="CI1" t="inlineStr">
        <is>
          <t>Max Sliding Tackle</t>
        </is>
      </c>
      <c r="CJ1" t="inlineStr">
        <is>
          <t>+ Jumping</t>
        </is>
      </c>
      <c r="CK1" t="inlineStr">
        <is>
          <t>Max Jumping</t>
        </is>
      </c>
      <c r="CL1" t="inlineStr">
        <is>
          <t>+ Stamina</t>
        </is>
      </c>
      <c r="CM1" t="inlineStr">
        <is>
          <t>Max Stamina</t>
        </is>
      </c>
      <c r="CN1" t="inlineStr">
        <is>
          <t>+ Strength</t>
        </is>
      </c>
      <c r="CO1" t="inlineStr">
        <is>
          <t>Max Strength</t>
        </is>
      </c>
      <c r="CP1" t="inlineStr">
        <is>
          <t>+ Aggression</t>
        </is>
      </c>
      <c r="CQ1" t="inlineStr">
        <is>
          <t>Max Aggression</t>
        </is>
      </c>
      <c r="CR1" t="inlineStr">
        <is>
          <t>+ SM</t>
        </is>
      </c>
      <c r="CS1" t="inlineStr">
        <is>
          <t>Max SM</t>
        </is>
      </c>
      <c r="CT1" t="inlineStr">
        <is>
          <t>+ WF</t>
        </is>
      </c>
      <c r="CU1" t="inlineStr">
        <is>
          <t>Max WF</t>
        </is>
      </c>
      <c r="CV1" t="inlineStr">
        <is>
          <t>Role_Added</t>
        </is>
      </c>
      <c r="CW1" t="inlineStr">
        <is>
          <t>Other_Upgrade_Text</t>
        </is>
      </c>
      <c r="CX1" t="inlineStr">
        <is>
          <t>Raw_Requirements_Text</t>
        </is>
      </c>
      <c r="CY1" t="inlineStr">
        <is>
          <t>Req_Other</t>
        </is>
      </c>
      <c r="CZ1" t="inlineStr">
        <is>
          <t>Link_Text</t>
        </is>
      </c>
      <c r="DA1" t="inlineStr">
        <is>
          <t>Parent_Text</t>
        </is>
      </c>
    </row>
    <row r="2">
      <c r="A2" t="inlineStr">
        <is>
          <t>Current</t>
        </is>
      </c>
      <c r="B2" t="inlineStr">
        <is>
          <t>Current Evolutions</t>
        </is>
      </c>
      <c r="C2" t="inlineStr">
        <is>
          <t>Future Stars Academy III - EA SPORTS FC 27</t>
        </is>
      </c>
      <c r="D2" t="inlineStr">
        <is>
          <t>https://www.fut.gg/evolutions/2551-future-stars-academy-iii/</t>
        </is>
      </c>
      <c r="G2" t="inlineStr">
        <is>
          <t>82</t>
        </is>
      </c>
      <c r="H2" t="inlineStr">
        <is>
          <t>82</t>
        </is>
      </c>
      <c r="K2" t="inlineStr">
        <is>
          <t>Future Stars Academy</t>
        </is>
      </c>
      <c r="S2" t="inlineStr">
        <is>
          <t>7</t>
        </is>
      </c>
      <c r="X2" t="n">
        <v>1</v>
      </c>
      <c r="Y2" t="n">
        <v>83</v>
      </c>
      <c r="AL2" t="n">
        <v>3</v>
      </c>
      <c r="AM2" t="n">
        <v>87</v>
      </c>
      <c r="AN2" t="n">
        <v>3</v>
      </c>
      <c r="AO2" t="n">
        <v>87</v>
      </c>
      <c r="AR2" t="n">
        <v>4</v>
      </c>
      <c r="AS2" t="n">
        <v>88</v>
      </c>
      <c r="AT2" t="n">
        <v>3</v>
      </c>
      <c r="AU2" t="n">
        <v>88</v>
      </c>
      <c r="AV2" t="n">
        <v>3</v>
      </c>
      <c r="AW2" t="n">
        <v>84</v>
      </c>
      <c r="AX2" t="n">
        <v>5</v>
      </c>
      <c r="AY2" t="n">
        <v>82</v>
      </c>
      <c r="BN2" t="n">
        <v>4</v>
      </c>
      <c r="BO2" t="n">
        <v>89</v>
      </c>
      <c r="BP2" t="n">
        <v>2</v>
      </c>
      <c r="BQ2" t="n">
        <v>85</v>
      </c>
      <c r="BR2" t="n">
        <v>3</v>
      </c>
      <c r="BS2" t="n">
        <v>86</v>
      </c>
      <c r="BT2" t="n">
        <v>5</v>
      </c>
      <c r="BU2" t="n">
        <v>89</v>
      </c>
      <c r="BV2" t="n">
        <v>5</v>
      </c>
      <c r="BW2" t="n">
        <v>89</v>
      </c>
      <c r="BX2" t="n">
        <v>3</v>
      </c>
      <c r="BY2" t="n">
        <v>85</v>
      </c>
      <c r="CW2" t="inlineStr">
        <is>
          <t>C +1 OVR 83 +4 Agility 89 +2 Balance 85 +3 Reactions 86 +5 Ball Control 89 +5 Dribbling 89 3 Level 1 Arouna Soro 82 CAM PAC 84 SHO 81 PAS 84 DRI 81 DEF 36 PHY 69 CM R 3 ★ 4 CAM 79.5 Arouna Soro 83 CAM PAC 84 SHO 81 PAS 84 DRI 85 DEF 36 PHY 69 CM R 3 ★ 4 CAM 81.2 UPGRADE PATHS Pick one Option A +1 OVR 83 +3 Sprint Speed 87 +3 Acceleration 87 3 Option B +1 OVR 83 +4 Finishing 88 +3 Shot Power 88 +3 Long Shots 84 +5 Volleys 82 +3 Composure 85 3 Option C Recommended +1 OVR 83 +4 Agility 89 +2 Balance 85 +3 Reactions 86 +5 Ball Control 89 +5 Dribbling 89 3</t>
        </is>
      </c>
      <c r="CX2" t="inlineStr">
        <is>
          <t>Rarity Future Stars Academy Overall Min. 82 Overall Max. 82 Max PS 7 Details Type Pathway, pick one option per level Submit by in 13 days Expiry in 20 days Coins Cost Free Points Cost Free</t>
        </is>
      </c>
      <c r="CY2" t="inlineStr">
        <is>
          <t>Rarity Future Stars Academy Overall Min. 82 Overall Max. 82 Max PS 7 Details Type Pathway, pick one option per level Submit by in 13 days Expiry in 20 days Coins Cost Free Points Cost Free</t>
        </is>
      </c>
      <c r="CZ2" t="inlineStr">
        <is>
          <t>Future Stars Academy III NEW</t>
        </is>
      </c>
      <c r="DA2" t="inlineStr">
        <is>
          <t>Future Stars Academy III NEW Time to find their signature. Unlock a new PlayStyle and sharpen their pace, shooting or dribbling as your Future Star rises to the next level. Taylor 67 LM PAC 83 SHO 62 PAS 58 DRI 69 DEF 36 PHY 64 CM CAM LW R 3 ★ 5 LM 70.1 Taylor 83 LM PAC 86 SHO 78 PAS 84 DRI 87 DEF 38 PHY 72 CM CAM LW R 4 ★ 5 LM 85.3 REQUIREMENTS Rarity Future Stars Academy Overall Min. 82 Overall Max. 82 Max PS 7 UPGRADES +1 OVR 83 +3 Sprint Speed 87 +3 Acceleration 87 3 in 13 days in 20 days 92% 8%</t>
        </is>
      </c>
    </row>
    <row r="3">
      <c r="A3" t="inlineStr">
        <is>
          <t>Current</t>
        </is>
      </c>
      <c r="B3" t="inlineStr">
        <is>
          <t>Current Evolutions</t>
        </is>
      </c>
      <c r="C3" t="inlineStr">
        <is>
          <t>Touchline Magic - EA SPORTS FC 27</t>
        </is>
      </c>
      <c r="D3" t="inlineStr">
        <is>
          <t>https://www.fut.gg/evolutions/2550-touchline-magic/</t>
        </is>
      </c>
      <c r="G3" t="inlineStr">
        <is>
          <t>80</t>
        </is>
      </c>
      <c r="I3" t="inlineStr">
        <is>
          <t>LW, RW</t>
        </is>
      </c>
      <c r="J3" t="inlineStr">
        <is>
          <t>ST, CM, CAM</t>
        </is>
      </c>
      <c r="M3" t="inlineStr">
        <is>
          <t>86</t>
        </is>
      </c>
      <c r="S3" t="inlineStr">
        <is>
          <t>7</t>
        </is>
      </c>
      <c r="X3" t="n">
        <v>10</v>
      </c>
      <c r="Y3" t="n">
        <v>84</v>
      </c>
      <c r="AL3" t="n">
        <v>10</v>
      </c>
      <c r="AM3" t="n">
        <v>85</v>
      </c>
      <c r="AN3" t="n">
        <v>10</v>
      </c>
      <c r="AO3" t="n">
        <v>85</v>
      </c>
      <c r="AP3" t="n">
        <v>7</v>
      </c>
      <c r="AQ3" t="n">
        <v>81</v>
      </c>
      <c r="AR3" t="n">
        <v>7</v>
      </c>
      <c r="AS3" t="n">
        <v>82</v>
      </c>
      <c r="AT3" t="n">
        <v>7</v>
      </c>
      <c r="AU3" t="n">
        <v>81</v>
      </c>
      <c r="AV3" t="n">
        <v>7</v>
      </c>
      <c r="AW3" t="n">
        <v>81</v>
      </c>
      <c r="BB3" t="n">
        <v>7</v>
      </c>
      <c r="BC3" t="n">
        <v>79</v>
      </c>
      <c r="BH3" t="n">
        <v>7</v>
      </c>
      <c r="BI3" t="n">
        <v>80</v>
      </c>
      <c r="BL3" t="n">
        <v>7</v>
      </c>
      <c r="BM3" t="n">
        <v>83</v>
      </c>
      <c r="BN3" t="n">
        <v>10</v>
      </c>
      <c r="BO3" t="n">
        <v>84</v>
      </c>
      <c r="BP3" t="n">
        <v>10</v>
      </c>
      <c r="BQ3" t="n">
        <v>83</v>
      </c>
      <c r="BR3" t="n">
        <v>10</v>
      </c>
      <c r="BS3" t="n">
        <v>83</v>
      </c>
      <c r="BT3" t="n">
        <v>10</v>
      </c>
      <c r="BU3" t="n">
        <v>84</v>
      </c>
      <c r="BV3" t="n">
        <v>10</v>
      </c>
      <c r="BW3" t="n">
        <v>84</v>
      </c>
      <c r="BX3" t="n">
        <v>10</v>
      </c>
      <c r="BY3" t="n">
        <v>83</v>
      </c>
      <c r="CL3" t="n">
        <v>7</v>
      </c>
      <c r="CM3" t="n">
        <v>82</v>
      </c>
      <c r="CR3" t="n">
        <v>1</v>
      </c>
      <c r="CS3" t="n">
        <v>4</v>
      </c>
      <c r="CW3" t="inlineStr">
        <is>
          <t>+10 OVR 84 +1 SM 4 +10 Sprint Speed 85 +7 Long Shots 81 +10 Agility 84 +10 Dribbling 84 +7 Positioning 81 +7 Vision 79 +10 Balance 83 +10 Composure 83 +7 Finishing 82 +7 Short Pass 80 +10 Reactions 83 +7 Stamina 82 +10 Acceleration 85 +7 Shot Power 81 +7 Curve 83 +10 Ball Control 84 3 Level 1 Cooper 80 RM PAC 74 SHO 71 PAS 77 DRI 79 DEF 42 PHY 66 RW R 3 ★ 3 Cooper 84 RM PAC 79 SHO 73 PAS 77 DRI 83 DEF 42 PHY 66 RW R 3 ★ 3 RM 73.2 UPGRADES +10 OVR 84 +10 Sprint Speed 85 +7 Long Shots 81 +10 Agility 84 +10 Dribbling 84</t>
        </is>
      </c>
      <c r="CX3" t="inlineStr">
        <is>
          <t>Overall Max. 80 Position LW, RW Excluded Position ST, CM, CAM Max PS 7 Pace Max. 86 Details Submit by in 9 days Expiry in 16 days Coins Cost 20,000 Points Cost 150</t>
        </is>
      </c>
      <c r="CY3" t="inlineStr">
        <is>
          <t>Overall Max. 80 Position LW, RW Excluded Position ST, CM, CAM Max PS 7 Pace Max. 86 Details Submit by in 9 days Expiry in 16 days Coins Cost 20,000 Points Cost 150</t>
        </is>
      </c>
      <c r="CZ3" t="inlineStr">
        <is>
          <t>Touchline Magic 20,000 150</t>
        </is>
      </c>
      <c r="DA3" t="inlineStr">
        <is>
          <t>Touchline Magic 20,000 150 Unlock defences from out wide with a dynamic winger capable of accelerating past markers, showcasing elite dribbling, and scoring crucial goals. Murphy 79 RW PAC 76 SHO 77 PAS 78 DRI 79 DEF 60 PHY 66 RM R 3 ★ 4 RM 72.0 Murphy 84 RW PAC 85 SHO 80 PAS 79 DRI 84 DEF 60 PHY 68 RM R 4 ★ 4 RM 82.5 REQUIREMENTS Overall Max. 80 Position LW, RW Excluded Position ST, CM, CAM Max PS 7 Pace Max. 86 UPGRADES +10 OVR 84 +1 SM 4 +10 Sprint Speed 85 +7 Long Shots 81 +10 Agility 84 +10 Dribbling 84 +7 Positioning 81 +7 Vision 79 +10 Balance 83 +10 Composure 83 +7 Finishing 82 +7 Short Pass 80 +10 Reactions 83 +7 Stamina 82 +10 Acceleration 85 +7 Shot Power 81 +7 Curve 83 +10 Ball Control 84 3 in 9 days in 16 days 47% 53%</t>
        </is>
      </c>
    </row>
    <row r="4">
      <c r="A4" t="inlineStr">
        <is>
          <t>Current</t>
        </is>
      </c>
      <c r="B4" t="inlineStr">
        <is>
          <t>Current Evolutions</t>
        </is>
      </c>
      <c r="C4" t="inlineStr">
        <is>
          <t>Future Stars Academy II - EA SPORTS FC 27</t>
        </is>
      </c>
      <c r="D4" t="inlineStr">
        <is>
          <t>https://www.fut.gg/evolutions/2549-future-stars-academy-ii/</t>
        </is>
      </c>
      <c r="G4" t="inlineStr">
        <is>
          <t>81</t>
        </is>
      </c>
      <c r="H4" t="inlineStr">
        <is>
          <t>81</t>
        </is>
      </c>
      <c r="K4" t="inlineStr">
        <is>
          <t>Future Stars Academy</t>
        </is>
      </c>
      <c r="X4" t="n">
        <v>1</v>
      </c>
      <c r="Y4" t="n">
        <v>82</v>
      </c>
      <c r="AP4" t="n">
        <v>1</v>
      </c>
      <c r="AQ4" t="n">
        <v>81</v>
      </c>
      <c r="AR4" t="n">
        <v>1</v>
      </c>
      <c r="AS4" t="n">
        <v>80</v>
      </c>
      <c r="AT4" t="n">
        <v>1</v>
      </c>
      <c r="AU4" t="n">
        <v>81</v>
      </c>
      <c r="AV4" t="n">
        <v>1</v>
      </c>
      <c r="AW4" t="n">
        <v>78</v>
      </c>
      <c r="BB4" t="n">
        <v>10</v>
      </c>
      <c r="BC4" t="n">
        <v>86</v>
      </c>
      <c r="BD4" t="n">
        <v>12</v>
      </c>
      <c r="BE4" t="n">
        <v>82</v>
      </c>
      <c r="BH4" t="n">
        <v>8</v>
      </c>
      <c r="BI4" t="n">
        <v>86</v>
      </c>
      <c r="BJ4" t="n">
        <v>12</v>
      </c>
      <c r="BK4" t="n">
        <v>82</v>
      </c>
      <c r="BL4" t="n">
        <v>12</v>
      </c>
      <c r="BM4" t="n">
        <v>84</v>
      </c>
      <c r="BP4" t="n">
        <v>1</v>
      </c>
      <c r="BQ4" t="n">
        <v>78</v>
      </c>
      <c r="BR4" t="n">
        <v>2</v>
      </c>
      <c r="BS4" t="n">
        <v>82</v>
      </c>
      <c r="BT4" t="n">
        <v>2</v>
      </c>
      <c r="BU4" t="n">
        <v>81</v>
      </c>
      <c r="BV4" t="n">
        <v>1</v>
      </c>
      <c r="BW4" t="n">
        <v>81</v>
      </c>
      <c r="BX4" t="n">
        <v>2</v>
      </c>
      <c r="BY4" t="n">
        <v>80</v>
      </c>
      <c r="CB4" t="n">
        <v>2</v>
      </c>
      <c r="CC4" t="n">
        <v>75</v>
      </c>
      <c r="CL4" t="n">
        <v>1</v>
      </c>
      <c r="CM4" t="n">
        <v>83</v>
      </c>
      <c r="CW4" t="inlineStr">
        <is>
          <t>A +1 OVR 82 +1 Finishing 80 +1 Long Shots 78 +2 Reactions 82 +1 Dribbling 81 +2 Heading Acc. 75 +1 Positioning 81 +1 Shot Power 81 +1 Balance 78 +2 Ball Control 81 +2 Composure 80 +1 Stamina 83 +10 Vision 86 +12 Crossing 82 +15 Fk Accuracy 80 +8 Short Pass 86 +12 Long Pass 82 +12 Curve 84 Level 1 Yıldız 81 RM PAC 84 SHO 80 PAS 81 DRI 80 DEF 54 PHY 71 CM LM CAM RW LW R 3 ★ 4 LM 78.7 Yıldız 82 RM PAC 84 SHO 80 PAS 81 DRI 81 DEF 54 PHY 71 CM LM CAM RW LW R 3 ★ 4 LM 78.9 UPGRADES +1 OVR 82 +1 Finishing 80 +1 Long Shots 78 +2 Reactions 82 +1 Dribbling 81 +2 Heading Acc. 75</t>
        </is>
      </c>
      <c r="CX4" t="inlineStr">
        <is>
          <t>Rarity Future Stars Academy Overall Min. 81 Overall Max. 81 Details Type Pathway, pick one option per level Submit by in 13 days Expiry in 20 days Coins Cost Free Points Cost Free</t>
        </is>
      </c>
      <c r="CY4" t="inlineStr">
        <is>
          <t>Rarity Future Stars Academy Overall Min. 81 Overall Max. 81 Details Type Pathway, pick one option per level Submit by in 13 days Expiry in 20 days Coins Cost Free Points Cost Free</t>
        </is>
      </c>
      <c r="CZ4" t="inlineStr">
        <is>
          <t>Future Stars Academy II</t>
        </is>
      </c>
      <c r="DA4" t="inlineStr">
        <is>
          <t>Future Stars Academy II The next step in their journey. Help your Future Star grow into a playmaker, a physical powerhouse or a well-rounded all-rounder. Mboup 70 LM PAC 86 SHO 65 PAS 60 DRI 73 DEF 27 PHY 58 ST LW R 3 ★ 3 LM 71.9 Mboup 82 LM PAC 86 SHO 84 PAS 84 DRI 82 DEF 29 PHY 67 ST LW R 3 ★ 4 LM 83.8 REQUIREMENTS Rarity Future Stars Academy Overall Min. 81 Overall Max. 81 UPGRADES +1 OVR 82 +1 Finishing 80 +1 Long Shots 78 +2 Reactions 82 +1 Dribbling 81 +2 Heading Acc. 75 +1 Positioning 81 +1 Shot Power 81 +1 Balance 78 +2 Ball Control 81 +2 Composure 80 +1 Stamina 83 +10 Vision 86 +12 Crossing 82 +15 Fk Accuracy 80 +8 Short Pass 86 +12 Long Pass 82 +12 Curve 84 in 13 days in 20 days 91% 9%</t>
        </is>
      </c>
    </row>
    <row r="5">
      <c r="A5" t="inlineStr">
        <is>
          <t>Current</t>
        </is>
      </c>
      <c r="B5" t="inlineStr">
        <is>
          <t>Current Evolutions</t>
        </is>
      </c>
      <c r="C5" t="inlineStr">
        <is>
          <t>Playmaker Reborn - EA SPORTS FC 27</t>
        </is>
      </c>
      <c r="D5" t="inlineStr">
        <is>
          <t>https://www.fut.gg/evolutions/2548-playmaker-reborn/</t>
        </is>
      </c>
      <c r="G5" t="inlineStr">
        <is>
          <t>74</t>
        </is>
      </c>
      <c r="I5" t="inlineStr">
        <is>
          <t>CAM, CM</t>
        </is>
      </c>
      <c r="J5" t="inlineStr">
        <is>
          <t>CDM, CB, ST</t>
        </is>
      </c>
      <c r="M5" t="inlineStr">
        <is>
          <t>85</t>
        </is>
      </c>
      <c r="S5" t="inlineStr">
        <is>
          <t>7</t>
        </is>
      </c>
      <c r="X5" t="n">
        <v>40</v>
      </c>
      <c r="Y5" t="n">
        <v>80</v>
      </c>
      <c r="AL5" t="n">
        <v>40</v>
      </c>
      <c r="AM5" t="n">
        <v>76</v>
      </c>
      <c r="AN5" t="n">
        <v>40</v>
      </c>
      <c r="AO5" t="n">
        <v>75</v>
      </c>
      <c r="AP5" t="n">
        <v>40</v>
      </c>
      <c r="AQ5" t="n">
        <v>77</v>
      </c>
      <c r="AR5" t="n">
        <v>40</v>
      </c>
      <c r="AS5" t="n">
        <v>76</v>
      </c>
      <c r="AT5" t="n">
        <v>40</v>
      </c>
      <c r="AU5" t="n">
        <v>75</v>
      </c>
      <c r="AV5" t="n">
        <v>40</v>
      </c>
      <c r="AW5" t="n">
        <v>77</v>
      </c>
      <c r="AX5" t="n">
        <v>40</v>
      </c>
      <c r="AY5" t="n">
        <v>76</v>
      </c>
      <c r="AZ5" t="n">
        <v>40</v>
      </c>
      <c r="BA5" t="n">
        <v>77</v>
      </c>
      <c r="BB5" t="n">
        <v>50</v>
      </c>
      <c r="BC5" t="n">
        <v>80</v>
      </c>
      <c r="BD5" t="n">
        <v>50</v>
      </c>
      <c r="BE5" t="n">
        <v>79</v>
      </c>
      <c r="BH5" t="n">
        <v>50</v>
      </c>
      <c r="BI5" t="n">
        <v>80</v>
      </c>
      <c r="BJ5" t="n">
        <v>50</v>
      </c>
      <c r="BK5" t="n">
        <v>81</v>
      </c>
      <c r="BL5" t="n">
        <v>50</v>
      </c>
      <c r="BM5" t="n">
        <v>79</v>
      </c>
      <c r="BN5" t="n">
        <v>40</v>
      </c>
      <c r="BO5" t="n">
        <v>78</v>
      </c>
      <c r="BP5" t="n">
        <v>40</v>
      </c>
      <c r="BQ5" t="n">
        <v>76</v>
      </c>
      <c r="BR5" t="n">
        <v>40</v>
      </c>
      <c r="BS5" t="n">
        <v>74</v>
      </c>
      <c r="BT5" t="n">
        <v>40</v>
      </c>
      <c r="BU5" t="n">
        <v>77</v>
      </c>
      <c r="BV5" t="n">
        <v>40</v>
      </c>
      <c r="BW5" t="n">
        <v>77</v>
      </c>
      <c r="BX5" t="n">
        <v>40</v>
      </c>
      <c r="BY5" t="n">
        <v>77</v>
      </c>
      <c r="CL5" t="n">
        <v>40</v>
      </c>
      <c r="CM5" t="n">
        <v>79</v>
      </c>
      <c r="CW5" t="inlineStr">
        <is>
          <t>+40 OVR 80 +40 Positioning 77 +40 Volleys 76 +50 Fk Accuracy 79 +40 Agility 78 +40 Dribbling 77 +40 Finishing 76 +40 Penalties 77 +50 Short Pass 80 +40 Balance 76 +40 Composure 77 +40 Acceleration 76 +40 Shot Power 75 +50 Vision 80 +50 Long Pass 81 +40 Reactions 74 +40 Stamina 79 +40 Sprint Speed 75 +40 Long Shots 77 +50 Crossing 79 +50 Curve 79 +40 Ball Control 77 3 Level 1 Dibling 74 RM PAC 76 SHO 67 PAS 71 DRI 77 DEF 38 PHY 64 CAM RW L 3 ★ 3 Dibling 80 RM PAC 76 SHO 68 PAS 72 DRI 77 DEF 38 PHY 64 CAM RW L 3 ★ 3 CAM 66.8 UPGRADES +40 OVR 80 +40 Positioning 77 +40 Volleys 76 +50 Fk Accuracy 79 +40 Agility 78 +40 Dribbling 77</t>
        </is>
      </c>
      <c r="CX5" t="inlineStr">
        <is>
          <t>Overall Max. 74 Position CAM, CM Excluded Position CDM, CB, ST Max PS 7 Pace Max. 85 Details Submit by in 8 days Expiry in 16 days Coins Cost Free Points Cost Free</t>
        </is>
      </c>
      <c r="CY5" t="inlineStr">
        <is>
          <t>Overall Max. 74 Position CAM, CM Excluded Position CDM, CB, ST Max PS 7 Pace Max. 85 Details Submit by in 8 days Expiry in 16 days Coins Cost Free Points Cost Free</t>
        </is>
      </c>
      <c r="CZ5" t="inlineStr">
        <is>
          <t>Playmaker Reborn</t>
        </is>
      </c>
      <c r="DA5" t="inlineStr">
        <is>
          <t>Playmaker Reborn Reinvent your midfield engine with sharp vision and crisp passes to dictate match tempo from the center. Tolić 71 CAM PAC 63 SHO 71 PAS 73 DRI 75 DEF 40 PHY 72 CM R 4 ★ 4 CAM 67.2 Tolić 80 CAM PAC 75 SHO 77 PAS 80 DRI 78 DEF 40 PHY 76 CM R 4 ★ 4 CAM 77.4 REQUIREMENTS Overall Max. 74 Position CAM, CM Excluded Position CDM, CB, ST Max PS 7 Pace Max. 85 UPGRADES +40 OVR 80 +40 Positioning 77 +40 Volleys 76 +50 Fk Accuracy 79 +40 Agility 78 +40 Dribbling 77 +40 Finishing 76 +40 Penalties 77 +50 Short Pass 80 +40 Balance 76 +40 Composure 77 +40 Acceleration 76 +40 Shot Power 75 +50 Vision 80 +50 Long Pass 81 +40 Reactions 74 +40 Stamina 79 +40 Sprint Speed 75 +40 Long Shots 77 +50 Crossing 79 +50 Curve 79 +40 Ball Control 77 3 TRAINING TIME 1 day in 8 days in 16 days 32% 68%</t>
        </is>
      </c>
    </row>
    <row r="6">
      <c r="A6" t="inlineStr">
        <is>
          <t>Current</t>
        </is>
      </c>
      <c r="B6" t="inlineStr">
        <is>
          <t>Current Evolutions</t>
        </is>
      </c>
      <c r="C6" t="inlineStr">
        <is>
          <t>Quick Step [FC 26 Obj] - EA SPORTS FC 27</t>
        </is>
      </c>
      <c r="D6" t="inlineStr">
        <is>
          <t>https://www.fut.gg/evolutions/2547-quick-step-fc-26-obj/</t>
        </is>
      </c>
      <c r="G6" t="inlineStr">
        <is>
          <t>83</t>
        </is>
      </c>
      <c r="S6" t="inlineStr">
        <is>
          <t>2</t>
        </is>
      </c>
      <c r="CW6" t="inlineStr">
        <is>
          <t>3 Level 1 Kingsbury 83 GK DIV 83 HAN 80 KIC 72 REF 83 SPD 41 POS 83 R 1 ★ 2 Kingsbury 83 GK DIV 83 HAN 80 KIC 72 REF 83 SPD 41 POS 83 R 1 ★ 2 GK 75.0 UPGRADES 3</t>
        </is>
      </c>
      <c r="CX6" t="inlineStr">
        <is>
          <t>Overall Max. 83 Max PS 2 Details Submit by in 1 year Expiry in 1 year Coins Cost Free Points Cost Free</t>
        </is>
      </c>
      <c r="CY6" t="inlineStr">
        <is>
          <t>Overall Max. 83 Max PS 2 Details Submit by in 1 year Expiry in 1 year Coins Cost Free Points Cost Free</t>
        </is>
      </c>
      <c r="CZ6" t="inlineStr">
        <is>
          <t>Quick Step [FC 26 Obj]</t>
        </is>
      </c>
      <c r="DA6" t="inlineStr">
        <is>
          <t>Quick Step [FC 26 Obj] Unlocked by completing the FC 26 Season 9 Pass Oosterwolde 76 CB PAC 88 SHO 42 PAS 64 DRI 72 DEF 75 PHY 81 LB L 2 ★ 2 LB 79.5 Oosterwolde 76 CB PAC 88 SHO 42 PAS 64 DRI 72 DEF 75 PHY 81 LB L 2 ★ 2 LB 81.3 REQUIREMENTS Overall Max. 83 Max PS 2 UPGRADES 3 in 1 year in 1 year 75% 25%</t>
        </is>
      </c>
    </row>
    <row r="7">
      <c r="A7" t="inlineStr">
        <is>
          <t>Current</t>
        </is>
      </c>
      <c r="B7" t="inlineStr">
        <is>
          <t>Current Evolutions</t>
        </is>
      </c>
      <c r="C7" t="inlineStr">
        <is>
          <t>Future Stars Academy I - EA SPORTS FC 27</t>
        </is>
      </c>
      <c r="D7" t="inlineStr">
        <is>
          <t>https://www.fut.gg/evolutions/2541-future-stars-academy-i/</t>
        </is>
      </c>
      <c r="G7" t="inlineStr">
        <is>
          <t>80</t>
        </is>
      </c>
      <c r="I7" t="inlineStr">
        <is>
          <t>CAM, ST</t>
        </is>
      </c>
      <c r="M7" t="inlineStr">
        <is>
          <t>86</t>
        </is>
      </c>
      <c r="S7" t="inlineStr">
        <is>
          <t>7</t>
        </is>
      </c>
      <c r="W7" t="inlineStr">
        <is>
          <t>2003-10-09</t>
        </is>
      </c>
      <c r="X7" t="n">
        <v>34</v>
      </c>
      <c r="Y7" t="n">
        <v>81</v>
      </c>
      <c r="AL7" t="n">
        <v>20</v>
      </c>
      <c r="AM7" t="n">
        <v>81</v>
      </c>
      <c r="AN7" t="n">
        <v>20</v>
      </c>
      <c r="AO7" t="n">
        <v>81</v>
      </c>
      <c r="AP7" t="n">
        <v>25</v>
      </c>
      <c r="AQ7" t="n">
        <v>80</v>
      </c>
      <c r="AR7" t="n">
        <v>20</v>
      </c>
      <c r="AS7" t="n">
        <v>79</v>
      </c>
      <c r="AT7" t="n">
        <v>20</v>
      </c>
      <c r="AU7" t="n">
        <v>80</v>
      </c>
      <c r="AV7" t="n">
        <v>20</v>
      </c>
      <c r="AW7" t="n">
        <v>77</v>
      </c>
      <c r="AX7" t="n">
        <v>20</v>
      </c>
      <c r="AY7" t="n">
        <v>75</v>
      </c>
      <c r="BB7" t="n">
        <v>30</v>
      </c>
      <c r="BC7" t="n">
        <v>82</v>
      </c>
      <c r="BD7" t="n">
        <v>35</v>
      </c>
      <c r="BE7" t="n">
        <v>76</v>
      </c>
      <c r="BH7" t="n">
        <v>35</v>
      </c>
      <c r="BI7" t="n">
        <v>82</v>
      </c>
      <c r="BJ7" t="n">
        <v>35</v>
      </c>
      <c r="BK7" t="n">
        <v>76</v>
      </c>
      <c r="BL7" t="n">
        <v>35</v>
      </c>
      <c r="BM7" t="n">
        <v>76</v>
      </c>
      <c r="BN7" t="n">
        <v>32</v>
      </c>
      <c r="BO7" t="n">
        <v>80</v>
      </c>
      <c r="BP7" t="n">
        <v>35</v>
      </c>
      <c r="BQ7" t="n">
        <v>77</v>
      </c>
      <c r="BR7" t="n">
        <v>25</v>
      </c>
      <c r="BS7" t="n">
        <v>80</v>
      </c>
      <c r="BT7" t="n">
        <v>32</v>
      </c>
      <c r="BU7" t="n">
        <v>80</v>
      </c>
      <c r="BV7" t="n">
        <v>32</v>
      </c>
      <c r="BW7" t="n">
        <v>80</v>
      </c>
      <c r="BX7" t="n">
        <v>30</v>
      </c>
      <c r="BY7" t="n">
        <v>78</v>
      </c>
      <c r="CB7" t="n">
        <v>20</v>
      </c>
      <c r="CC7" t="n">
        <v>73</v>
      </c>
      <c r="CL7" t="n">
        <v>25</v>
      </c>
      <c r="CM7" t="n">
        <v>82</v>
      </c>
      <c r="CN7" t="n">
        <v>15</v>
      </c>
      <c r="CO7" t="n">
        <v>73</v>
      </c>
      <c r="CR7" t="n">
        <v>2</v>
      </c>
      <c r="CS7" t="n">
        <v>4</v>
      </c>
      <c r="CW7" t="inlineStr">
        <is>
          <t>C +34 OVR 81 +2 SM 4 +20 Finishing 79 +30 Vision 82 +35 Long Pass 76 +25 Reactions 80 +20 Heading Acc. 73 +20 Acceleration 81 +20 Shot Power 80 +35 Crossing 76 +35 Curve 76 +32 Ball Control 80 +25 Stamina 82 +20 Sprint Speed 81 +20 Long Shots 77 +30 Fk Accuracy 72 +32 Agility 80 +32 Dribbling 80 +15 Strength 73 +25 Positioning 80 +20 Volleys 75 +35 Short Pass 82 +35 Balance 77 +30 Composure 78 Level 1 Kroupi 80 ST PAC 83 SHO 83 PAS 71 DRI 81 DEF 48 PHY 65 CAM R 3 ★ 3 Kroupi 81 ST PAC 83 SHO 83 PAS 75 DRI 81 DEF 48 PHY 65 CAM R 3 ★ 3 ST 79.5 UPGRADES +34 OVR 81 +20 Finishing 79 +30 Vision 82 +35 Long Pass 76 +25 Reactions 80 +20 Heading Acc. 73</t>
        </is>
      </c>
      <c r="CX7" t="inlineStr">
        <is>
          <t>Overall Max. 80 Position CAM, ST Born After 2003-10-09 Max PS 7 Pace Max. 86 Details Type Pathway, pick one option per level Submit by in 13 days Expiry in 20 days Coins Cost Free Points Cost Free</t>
        </is>
      </c>
      <c r="CY7" t="inlineStr">
        <is>
          <t>Overall Max. 80 Position CAM, ST Born After 2003-10-09 Max PS 7 Pace Max. 86 Details Type Pathway, pick one option per level Submit by in 13 days Expiry in 20 days Coins Cost Free Points Cost Free</t>
        </is>
      </c>
      <c r="CZ7" t="inlineStr">
        <is>
          <t>Future Stars Academy I</t>
        </is>
      </c>
      <c r="DA7" t="inlineStr">
        <is>
          <t>Future Stars Academy I Every legend starts somewhere. Develop your young forward into a complete player, then choose whether they make their mark with pace, shooting or dribbling. Taylor 67 LM PAC 83 SHO 62 PAS 58 DRI 69 DEF 36 PHY 64 CM CAM LW R 3 ★ 5 LM 70.1 Taylor 81 LM PAC 83 SHO 77 PAS 79 DRI 87 DEF 38 PHY 72 CM CAM LW R 4 ★ 5 LM 82.3 REQUIREMENTS Overall Max. 80 Position CAM, ST Born After 2003-10-09 Max PS 7 Pace Max. 86 UPGRADES C +34 OVR 81 +2 SM 4 +20 Finishing 79 +30 Vision 82 +35 Long Pass 76 +25 Reactions 80 +20 Heading Acc. 73 +20 Acceleration 81 +20 Shot Power 80 +35 Crossing 76 +35 Curve 76 +32 Ball Control 80 +25 Stamina 82 +20 Sprint Speed 81 +20 Long Shots 77 +30 Fk Accuracy 72 +32 Agility 80 +32 Dribbling 80 +15 Strength 73 +25 Positioning 80 +20 Volleys 75 +35 Short Pass 82 +35 Balance 77 +30 Composure 78 in 13 days in 20 days 95% 5%</t>
        </is>
      </c>
    </row>
    <row r="8">
      <c r="A8" t="inlineStr">
        <is>
          <t>Current</t>
        </is>
      </c>
      <c r="B8" t="inlineStr">
        <is>
          <t>Current Evolutions</t>
        </is>
      </c>
      <c r="C8" t="inlineStr">
        <is>
          <t>Batigol Precision - EA SPORTS FC 27</t>
        </is>
      </c>
      <c r="D8" t="inlineStr">
        <is>
          <t>https://www.fut.gg/evolutions/2540-batigol-precision/</t>
        </is>
      </c>
      <c r="G8" t="inlineStr">
        <is>
          <t>81</t>
        </is>
      </c>
      <c r="I8" t="inlineStr">
        <is>
          <t>ST</t>
        </is>
      </c>
      <c r="J8" t="inlineStr">
        <is>
          <t>CB, CM, CAM</t>
        </is>
      </c>
      <c r="M8" t="inlineStr">
        <is>
          <t>85</t>
        </is>
      </c>
      <c r="S8" t="inlineStr">
        <is>
          <t>7</t>
        </is>
      </c>
      <c r="X8" t="n">
        <v>6</v>
      </c>
      <c r="Y8" t="n">
        <v>83</v>
      </c>
      <c r="AL8" t="n">
        <v>7</v>
      </c>
      <c r="AM8" t="n">
        <v>83</v>
      </c>
      <c r="AN8" t="n">
        <v>7</v>
      </c>
      <c r="AO8" t="n">
        <v>83</v>
      </c>
      <c r="AP8" t="n">
        <v>7</v>
      </c>
      <c r="AQ8" t="n">
        <v>84</v>
      </c>
      <c r="AR8" t="n">
        <v>7</v>
      </c>
      <c r="AS8" t="n">
        <v>83</v>
      </c>
      <c r="AT8" t="n">
        <v>7</v>
      </c>
      <c r="AU8" t="n">
        <v>84</v>
      </c>
      <c r="AV8" t="n">
        <v>7</v>
      </c>
      <c r="AW8" t="n">
        <v>83</v>
      </c>
      <c r="AX8" t="n">
        <v>7</v>
      </c>
      <c r="AY8" t="n">
        <v>84</v>
      </c>
      <c r="AZ8" t="n">
        <v>7</v>
      </c>
      <c r="BA8" t="n">
        <v>83</v>
      </c>
      <c r="BN8" t="n">
        <v>7</v>
      </c>
      <c r="BO8" t="n">
        <v>82</v>
      </c>
      <c r="BP8" t="n">
        <v>7</v>
      </c>
      <c r="BQ8" t="n">
        <v>81</v>
      </c>
      <c r="BR8" t="n">
        <v>7</v>
      </c>
      <c r="BS8" t="n">
        <v>82</v>
      </c>
      <c r="BT8" t="n">
        <v>7</v>
      </c>
      <c r="BU8" t="n">
        <v>80</v>
      </c>
      <c r="BV8" t="n">
        <v>7</v>
      </c>
      <c r="BW8" t="n">
        <v>81</v>
      </c>
      <c r="CL8" t="n">
        <v>7</v>
      </c>
      <c r="CM8" t="n">
        <v>78</v>
      </c>
      <c r="CW8" t="inlineStr">
        <is>
          <t>B +6 OVR 83 +7 Sprint Speed 83 +7 Finishing 83 +7 Long Shots 83 +7 Penalties 83 +7 Acceleration 83 +7 Positioning 84 +7 Shot Power 84 +7 Volleys 84 +7 Stamina 78 +7 Agility 82 +7 Balance 81 +7 Reactions 82 +7 Ball Control 80 +7 Dribbling 81 3 Level 1 Bourdieu 81 ST PAC 83 SHO 82 PAS 69 DRI 79 DEF 36 PHY 76 R 3 ★ 4 Bourdieu 83 ST PAC 83 SHO 83 PAS 69 DRI 79 DEF 36 PHY 76 R 3 ★ 4 ST 80.9 UPGRADES +6 OVR 83 +7 Sprint Speed 83 +7 Finishing 83 +7 Long Shots 83 +7 Penalties 83</t>
        </is>
      </c>
      <c r="CX8" t="inlineStr">
        <is>
          <t>Overall Max. 81 Position ST Excluded Position CB, CM, CAM Max PS 7 Pace Max. 85 Details Type Pathway, pick one option per level Submit by in 4 days Expiry in 11 days Coins Cost Free Points Cost Free</t>
        </is>
      </c>
      <c r="CY8" t="inlineStr">
        <is>
          <t>Overall Max. 81 Position ST Excluded Position CB, CM, CAM Max PS 7 Pace Max. 85 Details Type Pathway, pick one option per level Submit by in 4 days Expiry in 11 days Coins Cost Free Points Cost Free</t>
        </is>
      </c>
      <c r="CZ8" t="inlineStr">
        <is>
          <t>Batigol Precision</t>
        </is>
      </c>
      <c r="DA8" t="inlineStr">
        <is>
          <t>Batigol Precision Bring elite goalscoring pedigree to your attack with a forward who thrives on pure ball striking. Danjuma 75 LW PAC 83 SHO 75 PAS 71 DRI 76 DEF 44 PHY 68 LM ST R 4 ★ 4 ST 77.6 Danjuma 81 LW PAC 83 SHO 82 PAS 71 DRI 80 DEF 44 PHY 70 LM ST R 4 ★ 4 ST 81.1 REQUIREMENTS Overall Max. 81 Position ST Excluded Position CB, CM, CAM Max PS 7 Pace Max. 85 UPGRADES B +6 OVR 83 +7 Sprint Speed 83 +7 Finishing 83 +7 Long Shots 83 +7 Penalties 83 +7 Acceleration 83 +7 Positioning 84 +7 Shot Power 84 +7 Volleys 84 +7 Stamina 78 +7 Agility 82 +7 Balance 81 +7 Reactions 82 +7 Ball Control 80 +7 Dribbling 81 3 in 4 days in 11 days 92% 8%</t>
        </is>
      </c>
    </row>
    <row r="9">
      <c r="A9" t="inlineStr">
        <is>
          <t>Current</t>
        </is>
      </c>
      <c r="B9" t="inlineStr">
        <is>
          <t>Current Evolutions</t>
        </is>
      </c>
      <c r="C9" t="inlineStr">
        <is>
          <t>Nine Duty - EA SPORTS FC 27</t>
        </is>
      </c>
      <c r="D9" t="inlineStr">
        <is>
          <t>https://www.fut.gg/evolutions/2539-nine-duty/</t>
        </is>
      </c>
      <c r="G9" t="inlineStr">
        <is>
          <t>74</t>
        </is>
      </c>
      <c r="I9" t="inlineStr">
        <is>
          <t>ST</t>
        </is>
      </c>
      <c r="J9" t="inlineStr">
        <is>
          <t>CB, CM, CAM</t>
        </is>
      </c>
      <c r="M9" t="inlineStr">
        <is>
          <t>85</t>
        </is>
      </c>
      <c r="S9" t="inlineStr">
        <is>
          <t>7</t>
        </is>
      </c>
      <c r="X9" t="n">
        <v>40</v>
      </c>
      <c r="Y9" t="n">
        <v>79</v>
      </c>
      <c r="AL9" t="n">
        <v>40</v>
      </c>
      <c r="AM9" t="n">
        <v>78</v>
      </c>
      <c r="AN9" t="n">
        <v>40</v>
      </c>
      <c r="AO9" t="n">
        <v>78</v>
      </c>
      <c r="AP9" t="n">
        <v>50</v>
      </c>
      <c r="AQ9" t="n">
        <v>80</v>
      </c>
      <c r="AR9" t="n">
        <v>50</v>
      </c>
      <c r="AS9" t="n">
        <v>79</v>
      </c>
      <c r="AT9" t="n">
        <v>50</v>
      </c>
      <c r="AU9" t="n">
        <v>79</v>
      </c>
      <c r="AV9" t="n">
        <v>50</v>
      </c>
      <c r="AW9" t="n">
        <v>78</v>
      </c>
      <c r="AX9" t="n">
        <v>50</v>
      </c>
      <c r="AY9" t="n">
        <v>79</v>
      </c>
      <c r="AZ9" t="n">
        <v>50</v>
      </c>
      <c r="BA9" t="n">
        <v>81</v>
      </c>
      <c r="BB9" t="n">
        <v>40</v>
      </c>
      <c r="BC9" t="n">
        <v>75</v>
      </c>
      <c r="BD9" t="n">
        <v>40</v>
      </c>
      <c r="BE9" t="n">
        <v>75</v>
      </c>
      <c r="BH9" t="n">
        <v>40</v>
      </c>
      <c r="BI9" t="n">
        <v>75</v>
      </c>
      <c r="BJ9" t="n">
        <v>40</v>
      </c>
      <c r="BK9" t="n">
        <v>75</v>
      </c>
      <c r="BL9" t="n">
        <v>40</v>
      </c>
      <c r="BM9" t="n">
        <v>77</v>
      </c>
      <c r="BN9" t="n">
        <v>40</v>
      </c>
      <c r="BO9" t="n">
        <v>78</v>
      </c>
      <c r="BP9" t="n">
        <v>40</v>
      </c>
      <c r="BQ9" t="n">
        <v>78</v>
      </c>
      <c r="BR9" t="n">
        <v>40</v>
      </c>
      <c r="BS9" t="n">
        <v>78</v>
      </c>
      <c r="BT9" t="n">
        <v>40</v>
      </c>
      <c r="BU9" t="n">
        <v>78</v>
      </c>
      <c r="BV9" t="n">
        <v>40</v>
      </c>
      <c r="BW9" t="n">
        <v>78</v>
      </c>
      <c r="BX9" t="n">
        <v>40</v>
      </c>
      <c r="BY9" t="n">
        <v>76</v>
      </c>
      <c r="CR9" t="n">
        <v>2</v>
      </c>
      <c r="CS9" t="n">
        <v>3</v>
      </c>
      <c r="CW9" t="inlineStr">
        <is>
          <t>+40 OVR 79 +2 SM 3 +50 Positioning 80 +50 Volleys 79 +40 Fk Accuracy 77 +40 Agility 78 +40 Dribbling 78 +50 Finishing 79 +50 Penalties 81 +40 Short Pass 75 +40 Balance 78 +40 Composure 76 +40 Acceleration 78 +50 Shot Power 79 +40 Vision 75 +40 Long Pass 75 +40 Reactions 78 +40 Sprint Speed 78 +50 Long Shots 78 +40 Crossing 75 +40 Curve 77 +40 Ball Control 78 3 Level 1 Szewieczková 74 LM PAC 67 SHO 72 PAS 73 DRI 74 DEF 63 PHY 70 ST LW R 3 ★ 3 Szewieczková 79 LM PAC 67 SHO 73 PAS 73 DRI 77 DEF 63 PHY 70 ST LW R 3 ★ 3 ST 66.6 UPGRADES +40 OVR 79 +50 Positioning 80 +50 Volleys 79 +40 Fk Accuracy 77 +40 Agility 78 +40 Dribbling 78</t>
        </is>
      </c>
      <c r="CX9" t="inlineStr">
        <is>
          <t>Overall Max. 74 Position ST Excluded Position CB, CM, CAM Max PS 7 Pace Max. 85 Details Submit by in 9 days Expiry in 16 days Coins Cost Free Points Cost Free</t>
        </is>
      </c>
      <c r="CY9" t="inlineStr">
        <is>
          <t>Overall Max. 74 Position ST Excluded Position CB, CM, CAM Max PS 7 Pace Max. 85 Details Submit by in 9 days Expiry in 16 days Coins Cost Free Points Cost Free</t>
        </is>
      </c>
      <c r="CZ9" t="inlineStr">
        <is>
          <t>Nine Duty</t>
        </is>
      </c>
      <c r="DA9" t="inlineStr">
        <is>
          <t>Nine Duty Elevate your striker’s attacking impact to help them consistently influence matches when leading the line. Rodney 60 ST PAC 84 SHO 59 PAS 52 DRI 60 DEF 29 PHY 65 RM LM RW LW R 3 ★ 4 ST 65.3 Rodney 79 ST PAC 84 SHO 79 PAS 75 DRI 78 DEF 29 PHY 65 RM LM RW LW R 3 ★ 4 ST 79.5 REQUIREMENTS Overall Max. 74 Position ST Excluded Position CB, CM, CAM Max PS 7 Pace Max. 85 UPGRADES +40 OVR 79 +2 SM 3 +50 Positioning 80 +50 Volleys 79 +40 Fk Accuracy 77 +40 Agility 78 +40 Dribbling 78 +50 Finishing 79 +50 Penalties 81 +40 Short Pass 75 +40 Balance 78 +40 Composure 76 +40 Acceleration 78 +50 Shot Power 79 +40 Vision 75 +40 Long Pass 75 +40 Reactions 78 +40 Sprint Speed 78 +50 Long Shots 78 +40 Crossing 75 +40 Curve 77 +40 Ball Control 78 3 TRAINING TIME 1 day in 9 days in 16 days 76% 24%</t>
        </is>
      </c>
    </row>
    <row r="10">
      <c r="A10" t="inlineStr">
        <is>
          <t>Current</t>
        </is>
      </c>
      <c r="B10" t="inlineStr">
        <is>
          <t>Current Evolutions</t>
        </is>
      </c>
      <c r="C10" t="inlineStr">
        <is>
          <t>Goal Guardian - EA SPORTS FC 27</t>
        </is>
      </c>
      <c r="D10" t="inlineStr">
        <is>
          <t>https://www.fut.gg/evolutions/2538-goal-guardian/</t>
        </is>
      </c>
      <c r="G10" t="inlineStr">
        <is>
          <t>79</t>
        </is>
      </c>
      <c r="I10" t="inlineStr">
        <is>
          <t>GK</t>
        </is>
      </c>
      <c r="S10" t="inlineStr">
        <is>
          <t>7</t>
        </is>
      </c>
      <c r="X10" t="n">
        <v>5</v>
      </c>
      <c r="Y10" t="n">
        <v>80</v>
      </c>
      <c r="BR10" t="n">
        <v>5</v>
      </c>
      <c r="BS10" t="n">
        <v>78</v>
      </c>
      <c r="CW10" t="inlineStr">
        <is>
          <t>A +5 OVR 80 +5 POS 77 +5 Diving 81 +5 Kicking 76 +5 Handling 80 +5 Reactions 78 +5 Reflexes 77 3 Level 1 Audero 79 GK DIV 81 HAN 76 KIC 74 REF 81 SPD 53 POS 78 R 1 ★ 3 Audero 80 GK DIV 81 HAN 80 KIC 76 REF 81 SPD 53 POS 78 R 1 ★ 3 GK 77.8 UPGRADES +5 OVR 80 +5 Diving 81 +5 Kicking 76 +5 Handling 80</t>
        </is>
      </c>
      <c r="CX10" t="inlineStr">
        <is>
          <t>Overall Max. 79 Position GK Max PS 7 Details Type Pathway, pick one option per level Submit by in 2 days Expiry in 9 days Coins Cost Free Points Cost Free</t>
        </is>
      </c>
      <c r="CY10" t="inlineStr">
        <is>
          <t>Overall Max. 79 Position GK Max PS 7 Details Type Pathway, pick one option per level Submit by in 2 days Expiry in 9 days Coins Cost Free Points Cost Free</t>
        </is>
      </c>
      <c r="CZ10" t="inlineStr">
        <is>
          <t>Goal Guardian</t>
        </is>
      </c>
      <c r="DA10" t="inlineStr">
        <is>
          <t>Goal Guardian Strengthen your presence between the posts by refining a keeper built to command the penalty area. Ronaldo 73 GK DIV 75 HAN 71 KIC 70 REF 74 SPD 26 POS 71 R 1 ★ 2 GK 75.2 Ronaldo 78 GK DIV 80 HAN 76 KIC 75 REF 78 SPD 26 POS 76 R 1 ★ 2 GK 80.7 REQUIREMENTS Overall Max. 79 Position GK Max PS 7 UPGRADES A +5 OVR 80 +5 POS 77 +5 Diving 81 +5 Kicking 76 +5 Handling 80 +5 Reactions 78 +5 Reflexes 77 3 in 2 days in 9 days 59% 41%</t>
        </is>
      </c>
    </row>
    <row r="11">
      <c r="A11" t="inlineStr">
        <is>
          <t>Current</t>
        </is>
      </c>
      <c r="B11" t="inlineStr">
        <is>
          <t>Current Evolutions</t>
        </is>
      </c>
      <c r="C11" t="inlineStr">
        <is>
          <t>Midfield Glow Up - EA SPORTS FC 27</t>
        </is>
      </c>
      <c r="D11" t="inlineStr">
        <is>
          <t>https://www.fut.gg/evolutions/2507-midfield-glow-up/</t>
        </is>
      </c>
      <c r="G11" t="inlineStr">
        <is>
          <t>74</t>
        </is>
      </c>
      <c r="I11" t="inlineStr">
        <is>
          <t>CDM</t>
        </is>
      </c>
      <c r="J11" t="inlineStr">
        <is>
          <t>CAM, CB, ST</t>
        </is>
      </c>
      <c r="M11" t="inlineStr">
        <is>
          <t>85</t>
        </is>
      </c>
      <c r="S11" t="inlineStr">
        <is>
          <t>7</t>
        </is>
      </c>
      <c r="X11" t="n">
        <v>40</v>
      </c>
      <c r="Y11" t="n">
        <v>79</v>
      </c>
      <c r="AL11" t="n">
        <v>40</v>
      </c>
      <c r="AM11" t="n">
        <v>75</v>
      </c>
      <c r="AN11" t="n">
        <v>40</v>
      </c>
      <c r="AO11" t="n">
        <v>75</v>
      </c>
      <c r="BB11" t="n">
        <v>50</v>
      </c>
      <c r="BC11" t="n">
        <v>77</v>
      </c>
      <c r="BD11" t="n">
        <v>50</v>
      </c>
      <c r="BE11" t="n">
        <v>75</v>
      </c>
      <c r="BH11" t="n">
        <v>50</v>
      </c>
      <c r="BI11" t="n">
        <v>80</v>
      </c>
      <c r="BJ11" t="n">
        <v>50</v>
      </c>
      <c r="BK11" t="n">
        <v>79</v>
      </c>
      <c r="BL11" t="n">
        <v>50</v>
      </c>
      <c r="BM11" t="n">
        <v>75</v>
      </c>
      <c r="BZ11" t="n">
        <v>40</v>
      </c>
      <c r="CA11" t="n">
        <v>75</v>
      </c>
      <c r="CD11" t="n">
        <v>40</v>
      </c>
      <c r="CE11" t="n">
        <v>80</v>
      </c>
      <c r="CF11" t="n">
        <v>40</v>
      </c>
      <c r="CG11" t="n">
        <v>80</v>
      </c>
      <c r="CH11" t="n">
        <v>40</v>
      </c>
      <c r="CI11" t="n">
        <v>75</v>
      </c>
      <c r="CJ11" t="n">
        <v>40</v>
      </c>
      <c r="CK11" t="n">
        <v>76</v>
      </c>
      <c r="CL11" t="n">
        <v>40</v>
      </c>
      <c r="CM11" t="n">
        <v>76</v>
      </c>
      <c r="CN11" t="n">
        <v>40</v>
      </c>
      <c r="CO11" t="n">
        <v>77</v>
      </c>
      <c r="CP11" t="n">
        <v>40</v>
      </c>
      <c r="CQ11" t="n">
        <v>75</v>
      </c>
      <c r="CV11" t="inlineStr">
        <is>
          <t>CDM Deep Lying Playmaker +; CDM Box Crasher +</t>
        </is>
      </c>
      <c r="CW11" t="inlineStr">
        <is>
          <t>+40 OVR 79 +50 Vision 77 +50 Long Pass 79 +40 Standing Tackle 80 +40 Strength 77 +50 Crossing 75 +50 Curve 75 +40 Sliding Tackle 75 +40 Aggression 75 +40 Acceleration 75 +50 Fk Accuracy 74 +40 Interceptions 75 +40 Jumping 76 +40 Sprint Speed 75 +50 Short Pass 80 +40 Defensive Awareness 80 +40 Stamina 76 CDM Deep Lying Playmaker + CDM Box Crasher + 3 Level 1 McGlynn 74 CM PAC 64 SHO 70 PAS 77 DRI 70 DEF 60 PHY 65 CDM RM RW L 2 ★ 3 McGlynn 79 CM PAC 64 SHO 70 PAS 77 DRI 70 DEF 64 PHY 72 CDM RM RW L 2 ★ 3 CM 67.0 UPGRADES +40 OVR 79 +50 Vision 77 +50 Long Pass 79 +40 Standing Tackle 80 +40 Strength 77</t>
        </is>
      </c>
      <c r="CX11" t="inlineStr">
        <is>
          <t>Overall Max. 74 Position CDM Excluded Position CAM, CB, ST Max PS 7 Pace Max. 85 Details Submit by in 9 days Expiry in 9 days Coins Cost Free Points Cost Free</t>
        </is>
      </c>
      <c r="CY11" t="inlineStr">
        <is>
          <t>Overall Max. 74 Position CDM Excluded Position CAM, CB, ST Max PS 7 Pace Max. 85 Details Submit by in 9 days Expiry in 9 days Coins Cost Free Points Cost Free</t>
        </is>
      </c>
      <c r="CZ11" t="inlineStr">
        <is>
          <t>Midfield Glow Up</t>
        </is>
      </c>
      <c r="DA11" t="inlineStr">
        <is>
          <t>Midfield Glow Up Elevate your engine room with a major tactical upgrade, combining enhanced recovery speed, relentless physical presence, and superior distribution across the pitch. Bannan 72 CM PAC 44 SHO 63 PAS 75 DRI 74 DEF 60 PHY 59 CDM L 3 ★ 3 CM 64.6 Bannan 79 CM PAC 75 SHO 63 PAS 78 DRI 74 DEF 75 PHY 78 CDM L 3 ★ 3 CDM 81.1 REQUIREMENTS Overall Max. 74 Position CDM Excluded Position CAM, CB, ST Max PS 7 Pace Max. 85 UPGRADES +40 OVR 79 +50 Vision 77 +50 Long Pass 79 +40 Standing Tackle 80 +40 Strength 77 +50 Crossing 75 +50 Curve 75 +40 Sliding Tackle 75 +40 Aggression 75 +40 Acceleration 75 +50 Fk Accuracy 74 +40 Interceptions 75 +40 Jumping 76 +40 Sprint Speed 75 +50 Short Pass 80 +40 Defensive Awareness 80 +40 Stamina 76 CDM Deep Lying Playmaker + CDM Box Crasher + 3 TRAINING TIME 1 day in 9 days in 9 days 83% 17%</t>
        </is>
      </c>
    </row>
    <row r="12">
      <c r="A12" t="inlineStr">
        <is>
          <t>Current</t>
        </is>
      </c>
      <c r="B12" t="inlineStr">
        <is>
          <t>Current Evolutions</t>
        </is>
      </c>
      <c r="C12" t="inlineStr">
        <is>
          <t>Intro to Repeatable Evolutions - EA SPORTS FC 27</t>
        </is>
      </c>
      <c r="D12" t="inlineStr">
        <is>
          <t>https://www.fut.gg/evolutions/2492-intro-to-repeatable-evolutions/</t>
        </is>
      </c>
      <c r="G12" t="inlineStr">
        <is>
          <t>79</t>
        </is>
      </c>
      <c r="I12" t="inlineStr">
        <is>
          <t>ST</t>
        </is>
      </c>
      <c r="M12" t="inlineStr">
        <is>
          <t>81</t>
        </is>
      </c>
      <c r="X12" t="n">
        <v>1</v>
      </c>
      <c r="Y12" t="n">
        <v>80</v>
      </c>
      <c r="AT12" t="n">
        <v>3</v>
      </c>
      <c r="AU12" t="n">
        <v>78</v>
      </c>
      <c r="AV12" t="n">
        <v>4</v>
      </c>
      <c r="AW12" t="n">
        <v>77</v>
      </c>
      <c r="AX12" t="n">
        <v>3</v>
      </c>
      <c r="AY12" t="n">
        <v>78</v>
      </c>
      <c r="BB12" t="n">
        <v>3</v>
      </c>
      <c r="BC12" t="n">
        <v>79</v>
      </c>
      <c r="BH12" t="n">
        <v>3</v>
      </c>
      <c r="BI12" t="n">
        <v>78</v>
      </c>
      <c r="BJ12" t="n">
        <v>4</v>
      </c>
      <c r="BK12" t="n">
        <v>77</v>
      </c>
      <c r="BR12" t="n">
        <v>4</v>
      </c>
      <c r="BS12" t="n">
        <v>80</v>
      </c>
      <c r="BV12" t="n">
        <v>4</v>
      </c>
      <c r="BW12" t="n">
        <v>80</v>
      </c>
      <c r="CW12" t="inlineStr">
        <is>
          <t>+1 OVR 80 +4 Long Shots 77 +3 Vision 79 +3 Short Pass 78 +4 Reactions 80 +3 Shot Power 78 +3 Volleys 78 +4 Fk Accuracy 80 +4 Long Pass 77 +4 Dribbling 80 Level 1 Møller 79 CAM PAC 76 SHO 77 PAS 72 DRI 78 DEF 46 PHY 75 CM ST R 3 ★ 4 Møller 80 CAM PAC 76 SHO 77 PAS 72 DRI 78 DEF 46 PHY 75 CM ST R 3 ★ 4 CAM 72.7 UPGRADES +1 OVR 80 +4 Long Shots 77 +3 Vision 79 +3 Short Pass 78 +4 Reactions 80</t>
        </is>
      </c>
      <c r="CX12" t="inlineStr">
        <is>
          <t>Overall Max. 79 Position ST Pace Max. 81 Details Submit by in 1 year Expiry in 1 year Coins Cost Free Points Cost Free</t>
        </is>
      </c>
      <c r="CY12" t="inlineStr">
        <is>
          <t>Overall Max. 79 Position ST Pace Max. 81 Details Submit by in 1 year Expiry in 1 year Coins Cost Free Points Cost Free</t>
        </is>
      </c>
      <c r="CZ12" t="inlineStr">
        <is>
          <t>Intro to Repeatable Evolutions 2</t>
        </is>
      </c>
      <c r="DA12" t="inlineStr">
        <is>
          <t>Intro to Repeatable Evolutions 2 Discover Repeatable Evolutions, allowing you to run multiple players through the same upgrade path! Lee Dong Gyeong 75 CAM PAC 77 SHO 74 PAS 73 DRI 75 DEF 59 PHY 73 CDM CM ST L 4 ★ 5 CAM 76.3 Lee Dong Gyeong 76 CAM PAC 77 SHO 75 PAS 76 DRI 77 DEF 59 PHY 73 CDM CM ST L 4 ★ 5 CAM 77.5 REQUIREMENTS Overall Max. 79 Position ST Pace Max. 81 UPGRADES +1 OVR 80 +4 Long Shots 77 +3 Vision 79 +3 Short Pass 78 +4 Reactions 80 +3 Shot Power 78 +3 Volleys 78 +4 Fk Accuracy 80 +4 Long Pass 77 +4 Dribbling 80 in 1 year in 1 year 80% 20%</t>
        </is>
      </c>
    </row>
    <row r="13">
      <c r="A13" t="inlineStr">
        <is>
          <t>Current</t>
        </is>
      </c>
      <c r="B13" t="inlineStr">
        <is>
          <t>Current Evolutions</t>
        </is>
      </c>
      <c r="C13" t="inlineStr">
        <is>
          <t>Intro to Evolutions - EA SPORTS FC 27</t>
        </is>
      </c>
      <c r="D13" t="inlineStr">
        <is>
          <t>https://www.fut.gg/evolutions/2491-intro-to-evolutions/</t>
        </is>
      </c>
      <c r="G13" t="inlineStr">
        <is>
          <t>75</t>
        </is>
      </c>
      <c r="I13" t="inlineStr">
        <is>
          <t>RB</t>
        </is>
      </c>
      <c r="J13" t="inlineStr">
        <is>
          <t>CB</t>
        </is>
      </c>
      <c r="M13" t="inlineStr">
        <is>
          <t>80</t>
        </is>
      </c>
      <c r="S13" t="inlineStr">
        <is>
          <t>7</t>
        </is>
      </c>
      <c r="U13" t="inlineStr">
        <is>
          <t>2</t>
        </is>
      </c>
      <c r="X13" t="n">
        <v>34</v>
      </c>
      <c r="Y13" t="n">
        <v>79</v>
      </c>
      <c r="AL13" t="n">
        <v>40</v>
      </c>
      <c r="AM13" t="n">
        <v>80</v>
      </c>
      <c r="AN13" t="n">
        <v>40</v>
      </c>
      <c r="AO13" t="n">
        <v>80</v>
      </c>
      <c r="BB13" t="n">
        <v>40</v>
      </c>
      <c r="BC13" t="n">
        <v>75</v>
      </c>
      <c r="BD13" t="n">
        <v>40</v>
      </c>
      <c r="BE13" t="n">
        <v>78</v>
      </c>
      <c r="BH13" t="n">
        <v>40</v>
      </c>
      <c r="BI13" t="n">
        <v>76</v>
      </c>
      <c r="BL13" t="n">
        <v>40</v>
      </c>
      <c r="BM13" t="n">
        <v>80</v>
      </c>
      <c r="BN13" t="n">
        <v>40</v>
      </c>
      <c r="BO13" t="n">
        <v>78</v>
      </c>
      <c r="BP13" t="n">
        <v>40</v>
      </c>
      <c r="BQ13" t="n">
        <v>77</v>
      </c>
      <c r="BT13" t="n">
        <v>40</v>
      </c>
      <c r="BU13" t="n">
        <v>80</v>
      </c>
      <c r="BV13" t="n">
        <v>40</v>
      </c>
      <c r="BW13" t="n">
        <v>80</v>
      </c>
      <c r="BZ13" t="n">
        <v>40</v>
      </c>
      <c r="CA13" t="n">
        <v>76</v>
      </c>
      <c r="CD13" t="n">
        <v>40</v>
      </c>
      <c r="CE13" t="n">
        <v>77</v>
      </c>
      <c r="CF13" t="n">
        <v>40</v>
      </c>
      <c r="CG13" t="n">
        <v>78</v>
      </c>
      <c r="CH13" t="n">
        <v>40</v>
      </c>
      <c r="CI13" t="n">
        <v>75</v>
      </c>
      <c r="CL13" t="n">
        <v>40</v>
      </c>
      <c r="CM13" t="n">
        <v>80</v>
      </c>
      <c r="CV13" t="inlineStr">
        <is>
          <t>RB Wingback +</t>
        </is>
      </c>
      <c r="CW13" t="inlineStr">
        <is>
          <t>+34 OVR 79 +40 Sprint Speed 80 +40 Short Pass 76 +40 Balance 77 +40 Interceptions 76 +40 Sliding Tackle 75 +40 Vision 75 +40 Curve 80 +40 Ball Control 80 +40 Defensive Awareness 77 +40 Stamina 80 +40 Acceleration 80 +40 Crossing 78 +40 Agility 78 +40 Dribbling 80 +40 Standing Tackle 78 RB Wingback + 3 Level 1 Smolčić 75 RB PAC 64 SHO 56 PAS 66 DRI 71 DEF 77 PHY 73 RM R 2 ★ 4 Smolčić 79 RB PAC 73 SHO 56 PAS 68 DRI 71 DEF 77 PHY 73 RM R 2 ★ 4 RB 68.5 UPGRADES +34 OVR 79 +40 Sprint Speed 80 +40 Short Pass 76 +40 Balance 77 +40 Interceptions 76 +40 Sliding Tackle 75</t>
        </is>
      </c>
      <c r="CX13" t="inlineStr">
        <is>
          <t>Max Pos. 2 Overall Max. 75 Position RB Excluded Position CB Max PS 7 Pace Max. 80 Details Submit by in 1 year Expiry in 1 year Coins Cost Free Points Cost Free</t>
        </is>
      </c>
      <c r="CY13" t="inlineStr">
        <is>
          <t>Max Pos. 2 Overall Max. 75 Position RB Excluded Position CB Max PS 7 Pace Max. 80 Details Submit by in 1 year Expiry in 1 year Coins Cost Free Points Cost Free</t>
        </is>
      </c>
      <c r="CZ13" t="inlineStr">
        <is>
          <t>Intro to Evolutions</t>
        </is>
      </c>
      <c r="DA13" t="inlineStr">
        <is>
          <t>Intro to Evolutions Welcome to Evolutions in FC 27! Upgrade a player of your choice and unlock their first attribute boost. Cerezo 65 RB PAC 63 SHO 39 PAS 49 DRI 58 DEF 64 PHY 77 LB R 2 ★ 3 RB 56.5 Cerezo 79 RB PAC 80 SHO 39 PAS 70 DRI 78 DEF 75 PHY 78 LB R 2 ★ 3 RB 75.9 REQUIREMENTS Max Pos. 2 Overall Max. 75 Position RB Excluded Position CB Max PS 7 Pace Max. 80 UPGRADES +34 OVR 79 +40 Sprint Speed 80 +40 Short Pass 76 +40 Balance 77 +40 Interceptions 76 +40 Sliding Tackle 75 +40 Vision 75 +40 Curve 80 +40 Ball Control 80 +40 Defensive Awareness 77 +40 Stamina 80 +40 Acceleration 80 +40 Crossing 78 +40 Agility 78 +40 Dribbling 80 +40 Standing Tackle 78 RB Wingback + 3 in 1 year in 1 year 88% 12%</t>
        </is>
      </c>
    </row>
    <row r="14">
      <c r="A14" t="inlineStr">
        <is>
          <t>Current</t>
        </is>
      </c>
      <c r="B14" t="inlineStr">
        <is>
          <t>Current Evolutions</t>
        </is>
      </c>
      <c r="C14" t="inlineStr">
        <is>
          <t>Intro to Training Camp EVOs - EA SPORTS FC 27</t>
        </is>
      </c>
      <c r="D14" t="inlineStr">
        <is>
          <t>https://www.fut.gg/evolutions/2490-intro-to-training-camp-evos/</t>
        </is>
      </c>
      <c r="G14" t="inlineStr">
        <is>
          <t>80</t>
        </is>
      </c>
      <c r="I14" t="inlineStr">
        <is>
          <t>RB Details Submit by in 1 year Expiry in 1 year Coins Cost Free Points Cost Free</t>
        </is>
      </c>
      <c r="CV14" t="inlineStr">
        <is>
          <t>RB Fullback +</t>
        </is>
      </c>
      <c r="CW14" t="inlineStr">
        <is>
          <t>when the training session concludes. OVERVIEW ELIGIBLE PLAYERS EVOLVED PLAYERS TRENDING EVOLVED PLAYERS Community Verdict Worth Doing 83% of GG users upvoted this Evolution. Vote Now! 83% 17% Completion Difficulty Easy Number of Games 0 Recommended Position RB Number of Wins 0 Is Your Player Eligible? Want to check eligibility for your already evolved players? Sync them now on GG Club Trending Evolved Players View All Evolution Upgrades RB Fullback + Level 1 Hahn 80 CDM PAC 82 SHO 75 PAS 76 DRI 81 DEF 75 PHY 71 RB RM CM R 3 ★ 3 Hahn 80 CDM PAC 82 SHO 75 PAS 76 DRI 81 DEF 75 PHY 71 RB RM CM R 3 ★ 3 CDM 80.2 UPGRADES RB Fullback +</t>
        </is>
      </c>
      <c r="CX14" t="inlineStr">
        <is>
          <t>Overall Max. 80 Position RB Details Submit by in 1 year Expiry in 1 year Coins Cost Free Points Cost Free</t>
        </is>
      </c>
      <c r="CY14" t="inlineStr">
        <is>
          <t>Overall Max. 80 Position RB Details Submit by in 1 year Expiry in 1 year Coins Cost Free Points Cost Free</t>
        </is>
      </c>
      <c r="CZ14" t="inlineStr">
        <is>
          <t>Intro to Training Camp EVOs</t>
        </is>
      </c>
      <c r="DA14" t="inlineStr">
        <is>
          <t>Intro to Training Camp EVOs Send your players to training camp! Collect their attribute upgrades when the training session concludes. Thierry Correia 74 RB PAC 89 SHO 50 PAS 68 DRI 72 DEF 69 PHY 69 LB RM LM R 3 ★ 4 RB 78.2 Thierry Correia 74 RB PAC 89 SHO 50 PAS 68 DRI 72 DEF 69 PHY 69 LB RM LM R 3 ★ 4 RB 79.6 REQUIREMENTS Overall Max. 80 Position RB UPGRADES RB Fullback + TRAINING TIME 1 hours in 1 year in 1 year 83% 17%</t>
        </is>
      </c>
    </row>
    <row r="15">
      <c r="A15" t="inlineStr">
        <is>
          <t>Current</t>
        </is>
      </c>
      <c r="B15" t="inlineStr">
        <is>
          <t>Current Evolutions</t>
        </is>
      </c>
      <c r="C15" t="inlineStr">
        <is>
          <t>Intro to Pathway Evolutions - EA SPORTS FC 27</t>
        </is>
      </c>
      <c r="D15" t="inlineStr">
        <is>
          <t>https://www.fut.gg/evolutions/2488-intro-to-pathway-evolutions/</t>
        </is>
      </c>
      <c r="G15" t="inlineStr">
        <is>
          <t>80</t>
        </is>
      </c>
      <c r="S15" t="inlineStr">
        <is>
          <t>3</t>
        </is>
      </c>
      <c r="CW15" t="inlineStr">
        <is>
          <t>! OVERVIEW ELIGIBLE PLAYERS EVOLVED PLAYERS TRENDING EVOLVED PLAYERS Community Verdict Worth Doing 84% of GG users upvoted this Evolution. Vote Now! 84% 16% Completion Difficulty Easy Number of Games 1 Recommended Position ST Number of Wins 0 Is Your Player Eligible? Want to check eligibility for your already evolved players? Sync them now on GG Club Trending Evolved Players View All Sterling 80 RB PAC 80 SHO 58 PAS 74 DRI 77 DEF 79 PHY 83 CB LB RM LM R 3 ★ 3 RB 82.9 Tiago Santos 80 RB PAC 87 SHO 61 PAS 77 DRI 81 DEF 78 PHY 70 RM R 3 ★ 3 RB 83.5 Engelhardt 80 CDM PAC 84 SHO 60 PAS 72 DRI 71 DEF 80 PHY 84 CM R 3 ★ 3 CDM 82.2 Sterling 80 RB PAC 80 SHO 58 PAS 74 DRI 77 DEF 79 PHY 83 CB LB RM LM R 3 ★ 3 RB 82.9 Mwene 80 LB PAC 82 SHO 60 PAS 74 DRI 80 DEF 76 PHY 78 RB RM LM R 3 ★ 4 RB 81.2 Engelhardt 80 CDM PAC 84 SHO 60 PAS 72 DRI 71 DEF 80 PHY 84 CM R 3 ★ 3 CDM 82.2 Evolution Upgrades A 4 Level 1 Mastantuono 80 RM PAC 80 SHO 78 PAS 79 DRI 83 DEF 53 PHY 70 CAM RW L 3 ★ 3 Mastantuono 80 RM PAC 80 SHO 78 PAS 79 DRI 83 DEF 53 PHY 70 CAM RW L 3 ★ 3 RM 79.6 UPGRADE PATHS Pick one Option A Recommended 4 Option B 4</t>
        </is>
      </c>
      <c r="CX15" t="inlineStr">
        <is>
          <t>Overall Max. 80 Max PS 3 Details Type Pathway, pick one option per level Submit by in 1 year Expiry in 1 year Coins Cost Free Points Cost Free</t>
        </is>
      </c>
      <c r="CY15" t="inlineStr">
        <is>
          <t>Overall Max. 80 Max PS 3 Details Type Pathway, pick one option per level Submit by in 1 year Expiry in 1 year Coins Cost Free Points Cost Free</t>
        </is>
      </c>
      <c r="CZ15" t="inlineStr">
        <is>
          <t>Intro to Pathway Evolutions</t>
        </is>
      </c>
      <c r="DA15" t="inlineStr">
        <is>
          <t>Intro to Pathway Evolutions Explore Pathway Evolutions, a new type of Evolution that allows you to choose how your player develops and upgrades! Stoica 80 LM PAC 92 SHO 80 PAS 74 DRI 81 DEF 40 PHY 78 CAM ST LW R 3 ★ 3 ST 84.4 Stoica 80 LM PAC 92 SHO 80 PAS 74 DRI 81 DEF 40 PHY 78 CAM ST LW R 3 ★ 3 ST 85.2 REQUIREMENTS Overall Max. 80 Max PS 3 UPGRADES A 4 in 1 year in 1 year 84% 16%</t>
        </is>
      </c>
    </row>
    <row r="16">
      <c r="A16" t="inlineStr">
        <is>
          <t>Reward</t>
        </is>
      </c>
      <c r="B16" t="inlineStr">
        <is>
          <t>Objective</t>
        </is>
      </c>
      <c r="C16" t="inlineStr">
        <is>
          <t>Technical - EA SPORTS FC 27</t>
        </is>
      </c>
      <c r="D16" t="inlineStr">
        <is>
          <t>https://www.fut.gg/evolutions/2543-technical/</t>
        </is>
      </c>
      <c r="G16" t="inlineStr">
        <is>
          <t>80</t>
        </is>
      </c>
      <c r="S16" t="inlineStr">
        <is>
          <t>2</t>
        </is>
      </c>
      <c r="CW16" t="inlineStr">
        <is>
          <t>3 Level 1 Yohannes 80 CM PAC 73 SHO 74 PAS 75 DRI 81 DEF 68 PHY 68 CDM CAM R 3 ★ 2 Yohannes 80 CM PAC 73 SHO 74 PAS 75 DRI 81 DEF 68 PHY 68 CDM CAM R 3 ★ 2 CDM 72.2 UPGRADES 3</t>
        </is>
      </c>
      <c r="CX16" t="inlineStr">
        <is>
          <t>Overall Max. 80 Max PS 2 Details Submit by in 7 days Expiry in 7 days Coins Cost Free Points Cost Free</t>
        </is>
      </c>
      <c r="CY16" t="inlineStr">
        <is>
          <t>Overall Max. 80 Max PS 2 Details Submit by in 7 days Expiry in 7 days Coins Cost Free Points Cost Free</t>
        </is>
      </c>
      <c r="CZ16" t="inlineStr">
        <is>
          <t>Technical</t>
        </is>
      </c>
      <c r="DA16" t="inlineStr">
        <is>
          <t>Technical Unlocked by completing the Assist 5 task in the Back to Basics Objective objective Feller 80 LW PAC 87 SHO 80 PAS 71 DRI 82 DEF 37 PHY 75 RM LM CAM ST R 3 ★ 3 ST 79.0 Feller 80 LW PAC 87 SHO 80 PAS 71 DRI 82 DEF 37 PHY 75 RM LM CAM ST R 3 ★ 3 ST 79.8 REQUIREMENTS Overall Max. 80 Max PS 2 UPGRADES 3 in 7 days in 7 days 87% 13%</t>
        </is>
      </c>
    </row>
    <row r="17">
      <c r="A17" t="inlineStr">
        <is>
          <t>Reward</t>
        </is>
      </c>
      <c r="B17" t="inlineStr">
        <is>
          <t>Reward</t>
        </is>
      </c>
      <c r="C17" t="inlineStr">
        <is>
          <t>Frontline Flair - EA SPORTS FC 27</t>
        </is>
      </c>
      <c r="D17" t="inlineStr">
        <is>
          <t>https://www.fut.gg/evolutions/2532-frontline-flair/</t>
        </is>
      </c>
      <c r="G17" t="inlineStr">
        <is>
          <t>83</t>
        </is>
      </c>
      <c r="I17" t="inlineStr">
        <is>
          <t>LW, RW, ST</t>
        </is>
      </c>
      <c r="J17" t="inlineStr">
        <is>
          <t>CAM</t>
        </is>
      </c>
      <c r="M17" t="inlineStr">
        <is>
          <t>84</t>
        </is>
      </c>
      <c r="S17" t="inlineStr">
        <is>
          <t>7</t>
        </is>
      </c>
      <c r="X17" t="n">
        <v>1</v>
      </c>
      <c r="Y17" t="n">
        <v>84</v>
      </c>
      <c r="Z17" t="n">
        <v>2</v>
      </c>
      <c r="AA17" t="n">
        <v>84</v>
      </c>
      <c r="AB17" t="n">
        <v>1</v>
      </c>
      <c r="AC17" t="n">
        <v>82</v>
      </c>
      <c r="AF17" t="n">
        <v>2</v>
      </c>
      <c r="AG17" t="n">
        <v>84</v>
      </c>
      <c r="CW17" t="inlineStr">
        <is>
          <t>+1 OVR 84 +2 PAC 84 +1 SHO 82 +2 DRI 84 3 Level 1 Edna Imade 83 ST PAC 76 SHO 83 PAS 65 DRI 77 DEF 45 PHY 80 R 3 ★ 3 Edna Imade 84 ST PAC 78 SHO 83 PAS 65 DRI 79 DEF 45 PHY 80 R 3 ★ 3 ST 76.6 UPGRADES +1 OVR 84 +2 PAC 84 +1 SHO 82 +2 DRI 84 3</t>
        </is>
      </c>
      <c r="CX17" t="inlineStr">
        <is>
          <t>Overall Max. 83 Position LW, RW, ST Excluded Position CAM Max PS 7 Pace Max. 84 Details Submit by in 9 days Expiry in 16 days Coins Cost Free Points Cost Free</t>
        </is>
      </c>
      <c r="CY17" t="inlineStr">
        <is>
          <t>Overall Max. 83 Position LW, RW, ST Excluded Position CAM Max PS 7 Pace Max. 84 Details Submit by in 9 days Expiry in 16 days Coins Cost Free Points Cost Free</t>
        </is>
      </c>
      <c r="CZ17" t="inlineStr">
        <is>
          <t>Frontline Flair 2</t>
        </is>
      </c>
      <c r="DA17" t="inlineStr">
        <is>
          <t>Frontline Flair 2 Unlocked via the Token Store for 100 tokens Ueda 80 ST PAC 80 SHO 80 PAS 66 DRI 79 DEF 32 PHY 77 R 3 ★ 4 ST 80.2 Ueda 81 ST PAC 82 SHO 81 PAS 66 DRI 81 DEF 32 PHY 77 R 3 ★ 4 ST 81.7 REQUIREMENTS Overall Max. 83 Position LW, RW, ST Excluded Position CAM Max PS 7 Pace Max. 84 UPGRADES +1 OVR 84 +2 PAC 84 +1 SHO 82 +2 DRI 84 3 in 9 days in 16 days 76% 24%</t>
        </is>
      </c>
    </row>
    <row r="18">
      <c r="A18" t="inlineStr">
        <is>
          <t>Reward</t>
        </is>
      </c>
      <c r="B18" t="inlineStr">
        <is>
          <t>Objective</t>
        </is>
      </c>
      <c r="C18" t="inlineStr">
        <is>
          <t>Gallery Excellence - EA SPORTS FC 27</t>
        </is>
      </c>
      <c r="D18" t="inlineStr">
        <is>
          <t>https://www.fut.gg/evolutions/2527-gallery-excellence/</t>
        </is>
      </c>
      <c r="CW18" t="inlineStr">
        <is>
          <t>No upgrades Level 1 Ronaldinho 93 LW PAC 91 SHO 89 PAS 90 DRI 95 DEF 38 PHY 80 LM CAM R 5 ★ 4 Ronaldinho 93 LW PAC 91 SHO 89 PAS 90 DRI 95 DEF 38 PHY 80 LM CAM R 5 ★ 4 LW 92.7 UPGRADES No upgrades</t>
        </is>
      </c>
      <c r="CX18" t="inlineStr">
        <is>
          <t>No requirements Details Submit by in 1 year Expiry in 1 year Coins Cost Free Points Cost Free</t>
        </is>
      </c>
      <c r="CY18" t="inlineStr">
        <is>
          <t>No requirements Details Submit by in 1 year Expiry in 1 year Coins Cost Free Points Cost Free</t>
        </is>
      </c>
      <c r="CZ18" t="inlineStr">
        <is>
          <t>Gallery Excellence</t>
        </is>
      </c>
      <c r="DA18" t="inlineStr">
        <is>
          <t>Gallery Excellence Unlocked by completing the Gallery Milestone objective Dumornay 88 ST PAC 92 SHO 85 PAS 79 DRI 90 DEF 60 PHY 73 CDM CM CAM R 4 ★ 5 ST 92.7 Dumornay 88 ST PAC 92 SHO 85 PAS 79 DRI 90 DEF 60 PHY 73 CDM CM CAM R 4 ★ 5 ST 92.7 REQUIREMENTS No requirements UPGRADES No upgrades in 1 year in 1 year 73% 27%</t>
        </is>
      </c>
    </row>
    <row r="19">
      <c r="A19" t="inlineStr">
        <is>
          <t>Reward</t>
        </is>
      </c>
      <c r="B19" t="inlineStr">
        <is>
          <t>Standard Season Pass</t>
        </is>
      </c>
      <c r="C19" t="inlineStr">
        <is>
          <t>Season Ladder Excellence [SP 27] - EA SPORTS FC 27</t>
        </is>
      </c>
      <c r="D19" t="inlineStr">
        <is>
          <t>https://www.fut.gg/evolutions/2526-season-ladder-excellence-sp-27/</t>
        </is>
      </c>
      <c r="CW19" t="inlineStr">
        <is>
          <t>No upgrades Level 1 Ronaldo 94 ST PAC 94 SHO 94 PAS 79 DRI 94 DEF 43 PHY 75 R 5 ★ 5 Ronaldo 94 ST PAC 94 SHO 94 PAS 79 DRI 94 DEF 43 PHY 75 R 5 ★ 5 ST 96.5 UPGRADES No upgrades</t>
        </is>
      </c>
      <c r="CX19" t="inlineStr">
        <is>
          <t>No requirements Details Submit by in 15 days Expiry in 15 days Coins Cost Free Points Cost Free</t>
        </is>
      </c>
      <c r="CY19" t="inlineStr">
        <is>
          <t>No requirements Details Submit by in 15 days Expiry in 15 days Coins Cost Free Points Cost Free</t>
        </is>
      </c>
      <c r="CZ19" t="inlineStr">
        <is>
          <t>Season Ladder Excellence [SP 27]</t>
        </is>
      </c>
      <c r="DA19" t="inlineStr">
        <is>
          <t>Season Ladder Excellence [SP 27] Unlocked by reaching level 27 in the Standard Season Pass. Dumornay 88 ST PAC 92 SHO 85 PAS 79 DRI 90 DEF 60 PHY 73 CDM CM CAM R 4 ★ 5 ST 92.7 Dumornay 88 ST PAC 92 SHO 85 PAS 79 DRI 90 DEF 60 PHY 73 CDM CM CAM R 4 ★ 5 ST 92.7 REQUIREMENTS No requirements UPGRADES No upgrades in 15 days in 15 days 53% 47%</t>
        </is>
      </c>
    </row>
    <row r="20">
      <c r="A20" t="inlineStr">
        <is>
          <t>Reward</t>
        </is>
      </c>
      <c r="B20" t="inlineStr">
        <is>
          <t>Premium Season Pass</t>
        </is>
      </c>
      <c r="C20" t="inlineStr">
        <is>
          <t>Ones to Watch Retro 20 [SP+ 26] - EA SPORTS FC 27</t>
        </is>
      </c>
      <c r="D20" t="inlineStr">
        <is>
          <t>https://www.fut.gg/evolutions/2505-ones-to-watch-retro-20-sp-26/</t>
        </is>
      </c>
      <c r="CW20" t="inlineStr">
        <is>
          <t>No upgrades Level 1 Zidane 94 CAM PAC 83 SHO 90 PAS 94 DRI 94 DEF 73 PHY 84 CM R 5 ★ 5 Zidane 94 CAM PAC 83 SHO 90 PAS 94 DRI 94 DEF 73 PHY 84 CM R 5 ★ 5 CAM 94.6 UPGRADES No upgrades</t>
        </is>
      </c>
      <c r="CX20" t="inlineStr">
        <is>
          <t>No requirements Details Submit by in 15 days Expiry in 15 days Coins Cost Free Points Cost Free</t>
        </is>
      </c>
      <c r="CY20" t="inlineStr">
        <is>
          <t>No requirements Details Submit by in 15 days Expiry in 15 days Coins Cost Free Points Cost Free</t>
        </is>
      </c>
      <c r="CZ20" t="inlineStr">
        <is>
          <t>Ones to Watch Retro 20 [SP+ 26]</t>
        </is>
      </c>
      <c r="DA20" t="inlineStr">
        <is>
          <t>Ones to Watch Retro 20 [SP+ 26] Unlocked by reaching level 26 in the Premium Season Pass. Dumornay 88 ST PAC 92 SHO 85 PAS 79 DRI 90 DEF 60 PHY 73 CDM CM CAM R 4 ★ 5 ST 92.7 Dumornay 88 ST PAC 92 SHO 85 PAS 79 DRI 90 DEF 60 PHY 73 CDM CM CAM R 4 ★ 5 ST 92.7 REQUIREMENTS No requirements UPGRADES No upgrades in 15 days in 15 days 20% 80%</t>
        </is>
      </c>
    </row>
    <row r="21">
      <c r="A21" t="inlineStr">
        <is>
          <t>Reward</t>
        </is>
      </c>
      <c r="B21" t="inlineStr">
        <is>
          <t>Premium Season Pass</t>
        </is>
      </c>
      <c r="C21" t="inlineStr">
        <is>
          <t>Ones to Watch Retro 19 [SP+ 26] - EA SPORTS FC 27</t>
        </is>
      </c>
      <c r="D21" t="inlineStr">
        <is>
          <t>https://www.fut.gg/evolutions/2504-ones-to-watch-retro-19-sp-26/</t>
        </is>
      </c>
      <c r="CW21" t="inlineStr">
        <is>
          <t>No upgrades Level 1 Cruyff 93 CAM PAC 90 SHO 91 PAS 90 DRI 94 DEF 42 PHY 73 ST R 5 ★ 5 Cruyff 93 CAM PAC 90 SHO 91 PAS 90 DRI 94 DEF 42 PHY 73 ST R 5 ★ 5 CAM 93.8 UPGRADES No upgrades</t>
        </is>
      </c>
      <c r="CX21" t="inlineStr">
        <is>
          <t>No requirements Details Submit by in 15 days Expiry in 15 days Coins Cost Free Points Cost Free</t>
        </is>
      </c>
      <c r="CY21" t="inlineStr">
        <is>
          <t>No requirements Details Submit by in 15 days Expiry in 15 days Coins Cost Free Points Cost Free</t>
        </is>
      </c>
      <c r="CZ21" t="inlineStr">
        <is>
          <t>Ones to Watch Retro 19 [SP+ 26]</t>
        </is>
      </c>
      <c r="DA21" t="inlineStr">
        <is>
          <t>Ones to Watch Retro 19 [SP+ 26] Unlocked by reaching level 26 in the Premium Season Pass. Dumornay 88 ST PAC 92 SHO 85 PAS 79 DRI 90 DEF 60 PHY 73 CDM CM CAM R 4 ★ 5 ST 92.7 Dumornay 88 ST PAC 92 SHO 85 PAS 79 DRI 90 DEF 60 PHY 73 CDM CM CAM R 4 ★ 5 ST 92.7 REQUIREMENTS No requirements UPGRADES No upgrades in 15 days in 15 days 16% 84%</t>
        </is>
      </c>
    </row>
    <row r="22">
      <c r="A22" t="inlineStr">
        <is>
          <t>Reward</t>
        </is>
      </c>
      <c r="B22" t="inlineStr">
        <is>
          <t>Standard Season Pass</t>
        </is>
      </c>
      <c r="C22" t="inlineStr">
        <is>
          <t>Ones to Watch Retro 18 [SP 27] - EA SPORTS FC 27</t>
        </is>
      </c>
      <c r="D22" t="inlineStr">
        <is>
          <t>https://www.fut.gg/evolutions/2503-ones-to-watch-retro-18-sp-27/</t>
        </is>
      </c>
      <c r="CW22" t="inlineStr">
        <is>
          <t>No upgrades Level 1 Zidane 94 CAM PAC 83 SHO 90 PAS 94 DRI 94 DEF 73 PHY 84 CM R 5 ★ 5 Zidane 94 CAM PAC 83 SHO 90 PAS 94 DRI 94 DEF 73 PHY 84 CM R 5 ★ 5 CAM 94.6 UPGRADES No upgrades</t>
        </is>
      </c>
      <c r="CX22" t="inlineStr">
        <is>
          <t>No requirements Details Submit by in 15 days Expiry in 15 days Coins Cost Free Points Cost Free</t>
        </is>
      </c>
      <c r="CY22" t="inlineStr">
        <is>
          <t>No requirements Details Submit by in 15 days Expiry in 15 days Coins Cost Free Points Cost Free</t>
        </is>
      </c>
      <c r="CZ22" t="inlineStr">
        <is>
          <t>Ones to Watch Retro 18 [SP 27]</t>
        </is>
      </c>
      <c r="DA22" t="inlineStr">
        <is>
          <t>Ones to Watch Retro 18 [SP 27] Unlocked by reaching level 27 in the Standard Season Pass. Dumornay 88 ST PAC 92 SHO 85 PAS 79 DRI 90 DEF 60 PHY 73 CDM CM CAM R 4 ★ 5 ST 92.7 Dumornay 88 ST PAC 92 SHO 85 PAS 79 DRI 90 DEF 60 PHY 73 CDM CM CAM R 4 ★ 5 ST 92.7 REQUIREMENTS No requirements UPGRADES No upgrades in 15 days in 15 days 22% 78%</t>
        </is>
      </c>
    </row>
    <row r="23">
      <c r="A23" t="inlineStr">
        <is>
          <t>Reward</t>
        </is>
      </c>
      <c r="B23" t="inlineStr">
        <is>
          <t>Objective</t>
        </is>
      </c>
      <c r="C23" t="inlineStr">
        <is>
          <t>Pinged Pass - EA SPORTS FC 27</t>
        </is>
      </c>
      <c r="D23" t="inlineStr">
        <is>
          <t>https://www.fut.gg/evolutions/2501-pinged-pass/</t>
        </is>
      </c>
      <c r="G23" t="inlineStr">
        <is>
          <t>79</t>
        </is>
      </c>
      <c r="S23" t="inlineStr">
        <is>
          <t>2</t>
        </is>
      </c>
      <c r="CW23" t="inlineStr">
        <is>
          <t>3 Level 1 Gerard Martín 79 CB PAC 74 SHO 53 PAS 75 DRI 70 DEF 80 PHY 79 LB LM L 3 ★ 3 Gerard Martín 79 CB PAC 74 SHO 53 PAS 75 DRI 70 DEF 80 PHY 79 LB LM L 3 ★ 3 CB 77.5 UPGRADES 3</t>
        </is>
      </c>
      <c r="CX23" t="inlineStr">
        <is>
          <t>Overall Max. 79 Max PS 2 Details Submit by in 16 days Expiry in 16 days Coins Cost Free Points Cost Free</t>
        </is>
      </c>
      <c r="CY23" t="inlineStr">
        <is>
          <t>Overall Max. 79 Max PS 2 Details Submit by in 16 days Expiry in 16 days Coins Cost Free Points Cost Free</t>
        </is>
      </c>
      <c r="CZ23" t="inlineStr">
        <is>
          <t>Pinged Pass</t>
        </is>
      </c>
      <c r="DA23" t="inlineStr">
        <is>
          <t>Pinged Pass Unlocked by completing the Pep's Domination task in the Ones We Watched World Class Challenge objective Pineda 78 CAM PAC 81 SHO 73 PAS 74 DRI 82 DEF 73 PHY 71 CM R 4 ★ 4 CM 78.7 Pineda 78 CAM PAC 81 SHO 73 PAS 74 DRI 82 DEF 73 PHY 71 CM R 4 ★ 4 CM 79.8 REQUIREMENTS Overall Max. 79 Max PS 2 UPGRADES 3 in 16 days in 16 days 97% 3%</t>
        </is>
      </c>
    </row>
    <row r="24">
      <c r="A24" t="inlineStr">
        <is>
          <t>Reward</t>
        </is>
      </c>
      <c r="B24" t="inlineStr">
        <is>
          <t>Objective</t>
        </is>
      </c>
      <c r="C24" t="inlineStr">
        <is>
          <t>Believe - EA SPORTS FC 27</t>
        </is>
      </c>
      <c r="D24" t="inlineStr">
        <is>
          <t>https://www.fut.gg/evolutions/2500-believe/</t>
        </is>
      </c>
      <c r="G24" t="inlineStr">
        <is>
          <t>82</t>
        </is>
      </c>
      <c r="I24" t="inlineStr">
        <is>
          <t>ST Details Submit by in 11 months Expiry in 11 months Coins Cost Free Points Cost Free</t>
        </is>
      </c>
      <c r="X24" t="n">
        <v>1</v>
      </c>
      <c r="Y24" t="n">
        <v>83</v>
      </c>
      <c r="BH24" t="n">
        <v>4</v>
      </c>
      <c r="BI24" t="n">
        <v>83</v>
      </c>
      <c r="BX24" t="n">
        <v>3</v>
      </c>
      <c r="BY24" t="n">
        <v>84</v>
      </c>
      <c r="CW24" t="inlineStr">
        <is>
          <t>+1 OVR 83 +4 Short Pass 83 +3 Composure 84 Level 1 Kean 82 ST PAC 85 SHO 82 PAS 59 DRI 81 DEF 41 PHY 74 R 3 ★ 3 Kean 83 ST PAC 85 SHO 82 PAS 60 DRI 81 DEF 41 PHY 74 R 3 ★ 3 ST 80.4 UPGRADES +1 OVR 83 +4 Short Pass 83 +3 Composure 84</t>
        </is>
      </c>
      <c r="CX24" t="inlineStr">
        <is>
          <t>Overall Max. 82 Position ST Details Submit by in 11 months Expiry in 11 months Coins Cost Free Points Cost Free</t>
        </is>
      </c>
      <c r="CY24" t="inlineStr">
        <is>
          <t>Overall Max. 82 Position ST Details Submit by in 11 months Expiry in 11 months Coins Cost Free Points Cost Free</t>
        </is>
      </c>
      <c r="CZ24" t="inlineStr">
        <is>
          <t>Believe</t>
        </is>
      </c>
      <c r="DA24" t="inlineStr">
        <is>
          <t>Believe Unlocked by completing the Ted Lasso's Masterclass objective Chiesa 80 RM PAC 87 SHO 79 PAS 75 DRI 83 DEF 44 PHY 68 RW ST R 4 ★ 4 RM 83.7 Chiesa 81 RM PAC 87 SHO 79 PAS 77 DRI 83 DEF 44 PHY 68 RW ST R 4 ★ 4 RM 84.1 REQUIREMENTS Overall Max. 82 Position ST UPGRADES +1 OVR 83 +4 Short Pass 83 +3 Composure 84 in 11 months in 11 months 35% 65%</t>
        </is>
      </c>
    </row>
    <row r="25">
      <c r="A25" t="inlineStr">
        <is>
          <t>Reward</t>
        </is>
      </c>
      <c r="B25" t="inlineStr">
        <is>
          <t>Premium Season Pass</t>
        </is>
      </c>
      <c r="C25" t="inlineStr">
        <is>
          <t>Shooting Practice [SP+ 28] - EA SPORTS FC 27</t>
        </is>
      </c>
      <c r="D25" t="inlineStr">
        <is>
          <t>https://www.fut.gg/evolutions/2499-shooting-practice-sp-28/</t>
        </is>
      </c>
      <c r="G25" t="inlineStr">
        <is>
          <t>81</t>
        </is>
      </c>
      <c r="I25" t="inlineStr">
        <is>
          <t>LW, RW, ST</t>
        </is>
      </c>
      <c r="S25" t="inlineStr">
        <is>
          <t>3</t>
        </is>
      </c>
      <c r="T25" t="inlineStr">
        <is>
          <t>0</t>
        </is>
      </c>
      <c r="CW25" t="inlineStr">
        <is>
          <t>B · A 4 Level 1 Poljak 81 LB PAC 80 SHO 63 PAS 75 DRI 74 DEF 76 PHY 83 RB RM LM LW R 4 ★ 3 Poljak 81 LB PAC 80 SHO 63 PAS 75 DRI 74 DEF 76 PHY 83 RB RM LM LW R 4 ★ 3 RB 73.5 UPGRADE PATHS Pick one Option A 4 Option B Recommended 4</t>
        </is>
      </c>
      <c r="CX25" t="inlineStr">
        <is>
          <t>Overall Max. 81 Position LW, RW, ST Max PS 3 Max PS+ 0 Details Type Pathway, pick one option per level Submit by in 16 days Expiry in 16 days Coins Cost Free Points Cost Free</t>
        </is>
      </c>
      <c r="CY25" t="inlineStr">
        <is>
          <t>Overall Max. 81 Position LW, RW, ST Max PS 3 Max PS+ 0 Details Type Pathway, pick one option per level Submit by in 16 days Expiry in 16 days Coins Cost Free Points Cost Free</t>
        </is>
      </c>
      <c r="CZ25" t="inlineStr">
        <is>
          <t>Shooting Practice [SP+ 28]</t>
        </is>
      </c>
      <c r="DA25" t="inlineStr">
        <is>
          <t>Shooting Practice [SP+ 28] Unlocked by reaching level 28 in the Premium Season Pass. Nkoudou 78 LM PAC 92 SHO 79 PAS 71 DRI 81 DEF 34 PHY 63 LW R 5 ★ 3 LM 81.1 Nkoudou 78 LM PAC 92 SHO 79 PAS 71 DRI 81 DEF 34 PHY 63 LW R 5 ★ 3 LM 82.8 REQUIREMENTS Overall Max. 81 Position LW, RW, ST Max PS 3 Max PS+ 0 UPGRADES B · A 4 in 16 days in 16 days 83% 17%</t>
        </is>
      </c>
    </row>
    <row r="26">
      <c r="A26" t="inlineStr">
        <is>
          <t>Reward</t>
        </is>
      </c>
      <c r="B26" t="inlineStr">
        <is>
          <t>Standard Season Pass</t>
        </is>
      </c>
      <c r="C26" t="inlineStr">
        <is>
          <t>Creative or Composed? [SP 27] - EA SPORTS FC 27</t>
        </is>
      </c>
      <c r="D26" t="inlineStr">
        <is>
          <t>https://www.fut.gg/evolutions/2498-creative-or-composed-sp-27/</t>
        </is>
      </c>
      <c r="G26" t="inlineStr">
        <is>
          <t>79</t>
        </is>
      </c>
      <c r="S26" t="inlineStr">
        <is>
          <t>2</t>
        </is>
      </c>
      <c r="CW26" t="inlineStr">
        <is>
          <t>A · A 3 Level 1 Atubolu 79 GK DIV 79 HAN 74 KIC 79 REF 80 SPD 55 POS 76 R 1 ★ 3 Atubolu 79 GK DIV 79 HAN 74 KIC 79 REF 80 SPD 55 POS 76 R 1 ★ 3 GK 78.8 UPGRADE PATHS Pick one Option A Recommended 3 Option B 3</t>
        </is>
      </c>
      <c r="CX26" t="inlineStr">
        <is>
          <t>Overall Max. 79 Max PS 2 Details Type Pathway, pick one option per level Submit by in 16 days Expiry in 16 days Coins Cost Free Points Cost Free</t>
        </is>
      </c>
      <c r="CY26" t="inlineStr">
        <is>
          <t>Overall Max. 79 Max PS 2 Details Type Pathway, pick one option per level Submit by in 16 days Expiry in 16 days Coins Cost Free Points Cost Free</t>
        </is>
      </c>
      <c r="CZ26" t="inlineStr">
        <is>
          <t>Creative or Composed? [SP 27]</t>
        </is>
      </c>
      <c r="DA26" t="inlineStr">
        <is>
          <t>Creative or Composed? [SP 27] Unlocked by reaching level 27 in the Standard Season Pass. Baku 79 RB PAC 83 SHO 72 PAS 75 DRI 80 DEF 75 PHY 76 RM CM RW R 3 ★ 4 CM 78.4 Baku 79 RB PAC 83 SHO 72 PAS 75 DRI 80 DEF 75 PHY 76 RM CM RW R 3 ★ 4 CM 80.2 REQUIREMENTS Overall Max. 79 Max PS 2 UPGRADES A · A 3 in 16 days in 16 days 88% 13%</t>
        </is>
      </c>
    </row>
    <row r="27">
      <c r="A27" t="inlineStr">
        <is>
          <t>Reward</t>
        </is>
      </c>
      <c r="B27" t="inlineStr">
        <is>
          <t>Premium Season Pass</t>
        </is>
      </c>
      <c r="C27" t="inlineStr">
        <is>
          <t>Winger Glow Up [SP+ 26] - EA SPORTS FC 27</t>
        </is>
      </c>
      <c r="D27" t="inlineStr">
        <is>
          <t>https://www.fut.gg/evolutions/2497-winger-glow-up-sp-26/</t>
        </is>
      </c>
      <c r="G27" t="inlineStr">
        <is>
          <t>81</t>
        </is>
      </c>
      <c r="I27" t="inlineStr">
        <is>
          <t>LW</t>
        </is>
      </c>
      <c r="J27" t="inlineStr">
        <is>
          <t>LB, ST</t>
        </is>
      </c>
      <c r="M27" t="inlineStr">
        <is>
          <t>85</t>
        </is>
      </c>
      <c r="S27" t="inlineStr">
        <is>
          <t>7</t>
        </is>
      </c>
      <c r="T27" t="inlineStr">
        <is>
          <t>0</t>
        </is>
      </c>
      <c r="U27" t="inlineStr">
        <is>
          <t>3</t>
        </is>
      </c>
      <c r="X27" t="n">
        <v>10</v>
      </c>
      <c r="Y27" t="n">
        <v>83</v>
      </c>
      <c r="AL27" t="n">
        <v>15</v>
      </c>
      <c r="AM27" t="n">
        <v>85</v>
      </c>
      <c r="AN27" t="n">
        <v>15</v>
      </c>
      <c r="AO27" t="n">
        <v>85</v>
      </c>
      <c r="AP27" t="n">
        <v>10</v>
      </c>
      <c r="AQ27" t="n">
        <v>80</v>
      </c>
      <c r="AR27" t="n">
        <v>10</v>
      </c>
      <c r="AS27" t="n">
        <v>78</v>
      </c>
      <c r="AT27" t="n">
        <v>10</v>
      </c>
      <c r="AU27" t="n">
        <v>77</v>
      </c>
      <c r="AV27" t="n">
        <v>10</v>
      </c>
      <c r="AW27" t="n">
        <v>80</v>
      </c>
      <c r="AX27" t="n">
        <v>10</v>
      </c>
      <c r="AY27" t="n">
        <v>74</v>
      </c>
      <c r="AZ27" t="n">
        <v>10</v>
      </c>
      <c r="BA27" t="n">
        <v>74</v>
      </c>
      <c r="BB27" t="n">
        <v>10</v>
      </c>
      <c r="BC27" t="n">
        <v>81</v>
      </c>
      <c r="BD27" t="n">
        <v>10</v>
      </c>
      <c r="BE27" t="n">
        <v>82</v>
      </c>
      <c r="BH27" t="n">
        <v>10</v>
      </c>
      <c r="BI27" t="n">
        <v>76</v>
      </c>
      <c r="BJ27" t="n">
        <v>10</v>
      </c>
      <c r="BK27" t="n">
        <v>80</v>
      </c>
      <c r="BL27" t="n">
        <v>10</v>
      </c>
      <c r="BM27" t="n">
        <v>78</v>
      </c>
      <c r="BN27" t="n">
        <v>15</v>
      </c>
      <c r="BO27" t="n">
        <v>86</v>
      </c>
      <c r="BP27" t="n">
        <v>15</v>
      </c>
      <c r="BQ27" t="n">
        <v>85</v>
      </c>
      <c r="BR27" t="n">
        <v>15</v>
      </c>
      <c r="BS27" t="n">
        <v>78</v>
      </c>
      <c r="BT27" t="n">
        <v>15</v>
      </c>
      <c r="BU27" t="n">
        <v>85</v>
      </c>
      <c r="BV27" t="n">
        <v>15</v>
      </c>
      <c r="BW27" t="n">
        <v>84</v>
      </c>
      <c r="BX27" t="n">
        <v>15</v>
      </c>
      <c r="BY27" t="n">
        <v>80</v>
      </c>
      <c r="CL27" t="n">
        <v>10</v>
      </c>
      <c r="CM27" t="n">
        <v>72</v>
      </c>
      <c r="CR27" t="n">
        <v>1</v>
      </c>
      <c r="CS27" t="n">
        <v>3</v>
      </c>
      <c r="CW27" t="inlineStr">
        <is>
          <t>+10 OVR 83 +1 SM 3 +10 Positioning 80 +10 Volleys 74 +10 Fk Accuracy 73 +15 Agility 86 +15 Dribbling 84 +10 Finishing 78 +10 Penalties 74 +10 Short Pass 76 +15 Balance 85 +15 Composure 80 +15 Acceleration 85 +10 Shot Power 77 +10 Vision 81 +10 Long Pass 80 +15 Reactions 78 +10 Stamina 72 +15 Sprint Speed 85 +10 Long Shots 80 +10 Crossing 82 +10 Curve 78 +15 Ball Control 85 3 Level 1 Dudinha 81 LM PAC 71 SHO 73 PAS 78 DRI 81 DEF 41 PHY 52 LW L 4 ★ 3 Dudinha 83 LM PAC 71 SHO 74 PAS 78 DRI 83 DEF 41 PHY 52 LW L 4 ★ 3 LM 70.1 UPGRADES +10 OVR 83 +10 Positioning 80 +10 Volleys 74 +10 Fk Accuracy 73 +15 Agility 86 +15 Dribbling 84</t>
        </is>
      </c>
      <c r="CX27" t="inlineStr">
        <is>
          <t>Max Pos. 3 Overall Max. 81 Position LW Excluded Position LB, ST Max PS 7 Max PS+ 0 Pace Max. 85 Details Submit by in 16 days Expiry in 16 days Coins Cost Free Points Cost Free</t>
        </is>
      </c>
      <c r="CY27" t="inlineStr">
        <is>
          <t>Max Pos. 3 Overall Max. 81 Position LW Excluded Position LB, ST Max PS 7 Max PS+ 0 Pace Max. 85 Details Submit by in 16 days Expiry in 16 days Coins Cost Free Points Cost Free</t>
        </is>
      </c>
      <c r="CZ27" t="inlineStr">
        <is>
          <t>Winger Glow Up [SP+ 26]</t>
        </is>
      </c>
      <c r="DA27" t="inlineStr">
        <is>
          <t>Winger Glow Up [SP+ 26] Unlocked by reaching level 26 in the Premium Season Pass. Cambiaghi 76 LM PAC 73 SHO 74 PAS 72 DRI 79 DEF 43 PHY 60 LW R 3 ★ 5 LM 70.1 Cambiaghi 83 LM PAC 85 SHO 78 PAS 78 DRI 84 DEF 43 PHY 63 LW R 3 ★ 5 LM 80.9 REQUIREMENTS Max Pos. 3 Overall Max. 81 Position LW Excluded Position LB, ST Max PS 7 Max PS+ 0 Pace Max. 85 UPGRADES +10 OVR 83 +1 SM 3 +10 Positioning 80 +10 Volleys 74 +10 Fk Accuracy 73 +15 Agility 86 +15 Dribbling 84 +10 Finishing 78 +10 Penalties 74 +10 Short Pass 76 +15 Balance 85 +15 Composure 80 +15 Acceleration 85 +10 Shot Power 77 +10 Vision 81 +10 Long Pass 80 +15 Reactions 78 +10 Stamina 72 +15 Sprint Speed 85 +10 Long Shots 80 +10 Crossing 82 +10 Curve 78 +15 Ball Control 85 3 in 16 days in 16 days 91% 9%</t>
        </is>
      </c>
    </row>
    <row r="28">
      <c r="A28" t="inlineStr">
        <is>
          <t>Reward</t>
        </is>
      </c>
      <c r="B28" t="inlineStr">
        <is>
          <t>Premium Season Pass</t>
        </is>
      </c>
      <c r="C28" t="inlineStr">
        <is>
          <t>Tactical Ascent [SP+ 14] - EA SPORTS FC 27</t>
        </is>
      </c>
      <c r="D28" t="inlineStr">
        <is>
          <t>https://www.fut.gg/evolutions/2496-tactical-ascent-sp-14/</t>
        </is>
      </c>
      <c r="G28" t="inlineStr">
        <is>
          <t>79</t>
        </is>
      </c>
      <c r="S28" t="inlineStr">
        <is>
          <t>2</t>
        </is>
      </c>
      <c r="CW28" t="inlineStr">
        <is>
          <t>A · A 3 Level 1 Atubolu 79 GK DIV 79 HAN 74 KIC 79 REF 80 SPD 55 POS 76 R 1 ★ 3 Atubolu 79 GK DIV 79 HAN 74 KIC 79 REF 80 SPD 55 POS 76 R 1 ★ 3 GK 78.7 UPGRADE PATHS Pick one Option A Recommended 3 Option B 3</t>
        </is>
      </c>
      <c r="CX28" t="inlineStr">
        <is>
          <t>Overall Max. 79 Max PS 2 Details Type Pathway, pick one option per level Submit by in 16 days Expiry in 16 days Coins Cost Free Points Cost Free</t>
        </is>
      </c>
      <c r="CY28" t="inlineStr">
        <is>
          <t>Overall Max. 79 Max PS 2 Details Type Pathway, pick one option per level Submit by in 16 days Expiry in 16 days Coins Cost Free Points Cost Free</t>
        </is>
      </c>
      <c r="CZ28" t="inlineStr">
        <is>
          <t>Tactical Ascent [SP+ 14]</t>
        </is>
      </c>
      <c r="DA28" t="inlineStr">
        <is>
          <t>Tactical Ascent [SP+ 14] Unlocked by reaching level 14 in the Premium Season Pass. Mika Mármol 75 CB PAC 85 SHO 55 PAS 66 DRI 73 DEF 74 PHY 79 LB L 2 ★ 3 LB 77.1 Mika Mármol 75 CB PAC 85 SHO 55 PAS 66 DRI 73 DEF 74 PHY 79 LB L 2 ★ 3 LB 80.4 REQUIREMENTS Overall Max. 79 Max PS 2 UPGRADES A · A 3 in 16 days in 16 days 89% 11%</t>
        </is>
      </c>
    </row>
    <row r="29">
      <c r="A29" t="inlineStr">
        <is>
          <t>Reward</t>
        </is>
      </c>
      <c r="B29" t="inlineStr">
        <is>
          <t>Standard Season Pass</t>
        </is>
      </c>
      <c r="C29" t="inlineStr">
        <is>
          <t>Relentless [SP 11] - EA SPORTS FC 27</t>
        </is>
      </c>
      <c r="D29" t="inlineStr">
        <is>
          <t>https://www.fut.gg/evolutions/2495-relentless-sp-11/</t>
        </is>
      </c>
      <c r="G29" t="inlineStr">
        <is>
          <t>79</t>
        </is>
      </c>
      <c r="S29" t="inlineStr">
        <is>
          <t>2</t>
        </is>
      </c>
      <c r="CW29" t="inlineStr">
        <is>
          <t>3 Level 1 Gabriel Jesus 79 ST PAC 78 SHO 79 PAS 74 DRI 84 DEF 39 PHY 68 CAM R 4 ★ 3 Gabriel Jesus 79 ST PAC 78 SHO 79 PAS 74 DRI 84 DEF 39 PHY 68 CAM R 4 ★ 3 ST 79.1 UPGRADES 3</t>
        </is>
      </c>
      <c r="CX29" t="inlineStr">
        <is>
          <t>Overall Max. 79 Max PS 2 Details Submit by in 16 days Expiry in 16 days Coins Cost Free Points Cost Free</t>
        </is>
      </c>
      <c r="CY29" t="inlineStr">
        <is>
          <t>Overall Max. 79 Max PS 2 Details Submit by in 16 days Expiry in 16 days Coins Cost Free Points Cost Free</t>
        </is>
      </c>
      <c r="CZ29" t="inlineStr">
        <is>
          <t>Relentless [SP 11]</t>
        </is>
      </c>
      <c r="DA29" t="inlineStr">
        <is>
          <t>Relentless [SP 11] Unlocked by reaching level 11 in the Standard Season Pass. Baku 79 RB PAC 83 SHO 72 PAS 75 DRI 80 DEF 75 PHY 76 RM CM RW R 3 ★ 4 CM 78.4 Baku 79 RB PAC 83 SHO 72 PAS 75 DRI 80 DEF 75 PHY 76 RM CM RW R 3 ★ 4 CM 79.0 REQUIREMENTS Overall Max. 79 Max PS 2 UPGRADES 3 in 16 days in 16 days 40% 60%</t>
        </is>
      </c>
    </row>
    <row r="30">
      <c r="A30" t="inlineStr">
        <is>
          <t>Reward</t>
        </is>
      </c>
      <c r="B30" t="inlineStr">
        <is>
          <t>Standard Season Pass</t>
        </is>
      </c>
      <c r="C30" t="inlineStr">
        <is>
          <t>Striker Glow Up [SP 7] - EA SPORTS FC 27</t>
        </is>
      </c>
      <c r="D30" t="inlineStr">
        <is>
          <t>https://www.fut.gg/evolutions/2494-striker-glow-up-sp-7/</t>
        </is>
      </c>
      <c r="G30" t="inlineStr">
        <is>
          <t>79</t>
        </is>
      </c>
      <c r="I30" t="inlineStr">
        <is>
          <t>ST</t>
        </is>
      </c>
      <c r="J30" t="inlineStr">
        <is>
          <t>CAM, CM</t>
        </is>
      </c>
      <c r="M30" t="inlineStr">
        <is>
          <t>84</t>
        </is>
      </c>
      <c r="S30" t="inlineStr">
        <is>
          <t>7</t>
        </is>
      </c>
      <c r="U30" t="inlineStr">
        <is>
          <t>3</t>
        </is>
      </c>
      <c r="X30" t="n">
        <v>10</v>
      </c>
      <c r="Y30" t="n">
        <v>80</v>
      </c>
      <c r="AL30" t="n">
        <v>10</v>
      </c>
      <c r="AM30" t="n">
        <v>80</v>
      </c>
      <c r="AN30" t="n">
        <v>10</v>
      </c>
      <c r="AO30" t="n">
        <v>78</v>
      </c>
      <c r="AP30" t="n">
        <v>15</v>
      </c>
      <c r="AQ30" t="n">
        <v>82</v>
      </c>
      <c r="AR30" t="n">
        <v>15</v>
      </c>
      <c r="AS30" t="n">
        <v>83</v>
      </c>
      <c r="AT30" t="n">
        <v>15</v>
      </c>
      <c r="AU30" t="n">
        <v>82</v>
      </c>
      <c r="AV30" t="n">
        <v>15</v>
      </c>
      <c r="AW30" t="n">
        <v>78</v>
      </c>
      <c r="AX30" t="n">
        <v>15</v>
      </c>
      <c r="AY30" t="n">
        <v>78</v>
      </c>
      <c r="AZ30" t="n">
        <v>10</v>
      </c>
      <c r="BA30" t="n">
        <v>75</v>
      </c>
      <c r="BB30" t="n">
        <v>8</v>
      </c>
      <c r="BC30" t="n">
        <v>70</v>
      </c>
      <c r="BH30" t="n">
        <v>8</v>
      </c>
      <c r="BI30" t="n">
        <v>72</v>
      </c>
      <c r="BJ30" t="n">
        <v>8</v>
      </c>
      <c r="BK30" t="n">
        <v>62</v>
      </c>
      <c r="BL30" t="n">
        <v>15</v>
      </c>
      <c r="BM30" t="n">
        <v>77</v>
      </c>
      <c r="BN30" t="n">
        <v>15</v>
      </c>
      <c r="BO30" t="n">
        <v>78</v>
      </c>
      <c r="BP30" t="n">
        <v>15</v>
      </c>
      <c r="BQ30" t="n">
        <v>77</v>
      </c>
      <c r="BR30" t="n">
        <v>10</v>
      </c>
      <c r="BS30" t="n">
        <v>76</v>
      </c>
      <c r="BT30" t="n">
        <v>10</v>
      </c>
      <c r="BU30" t="n">
        <v>76</v>
      </c>
      <c r="BV30" t="n">
        <v>10</v>
      </c>
      <c r="BW30" t="n">
        <v>76</v>
      </c>
      <c r="BX30" t="n">
        <v>8</v>
      </c>
      <c r="BY30" t="n">
        <v>80</v>
      </c>
      <c r="CJ30" t="n">
        <v>10</v>
      </c>
      <c r="CK30" t="n">
        <v>78</v>
      </c>
      <c r="CL30" t="n">
        <v>10</v>
      </c>
      <c r="CM30" t="n">
        <v>67</v>
      </c>
      <c r="CW30" t="inlineStr">
        <is>
          <t>+10 OVR 80 +15 Positioning 82 +15 Volleys 78 +8 Long Pass 62 +10 Reactions 76 +10 Jumping 78 +15 Finishing 83 +10 Penalties 75 +15 Curve 77 +10 Ball Control 76 +10 Stamina 67 +10 Acceleration 80 +15 Shot Power 82 +8 Vision 70 +15 Agility 78 +10 Dribbling 76 +10 Sprint Speed 78 +15 Long Shots 78 +8 Short Pass 72 +15 Balance 77 +8 Composure 80 3 Level 1 Panichelli 79 ST PAC 69 SHO 81 PAS 63 DRI 73 DEF 28 PHY 82 R 3 ★ 3 Panichelli 80 ST PAC 69 SHO 81 PAS 64 DRI 73 DEF 28 PHY 82 R 3 ★ 3 ST 69.5 UPGRADES +10 OVR 80 +15 Positioning 82 +15 Volleys 78 +8 Long Pass 62 +10 Reactions 76 +10 Jumping 78</t>
        </is>
      </c>
      <c r="CX30" t="inlineStr">
        <is>
          <t>Max Pos. 3 Overall Max. 79 Position ST Excluded Position CAM, CM Max PS 7 Pace Max. 84 Details Submit by in 16 days Expiry in 16 days Coins Cost Free Points Cost Free</t>
        </is>
      </c>
      <c r="CY30" t="inlineStr">
        <is>
          <t>Max Pos. 3 Overall Max. 79 Position ST Excluded Position CAM, CM Max PS 7 Pace Max. 84 Details Submit by in 16 days Expiry in 16 days Coins Cost Free Points Cost Free</t>
        </is>
      </c>
      <c r="CZ30" t="inlineStr">
        <is>
          <t>Striker Glow Up [SP 7]</t>
        </is>
      </c>
      <c r="DA30" t="inlineStr">
        <is>
          <t>Striker Glow Up [SP 7] Unlocked by reaching level 7 in the Standard Season Pass. Zirkzee 77 ST PAC 67 SHO 76 PAS 73 DRI 80 DEF 42 PHY 75 R 4 ★ 3 ST 70.9 Zirkzee 80 ST PAC 77 SHO 81 PAS 74 DRI 82 DEF 42 PHY 75 R 4 ★ 3 ST 78.6 REQUIREMENTS Max Pos. 3 Overall Max. 79 Position ST Excluded Position CAM, CM Max PS 7 Pace Max. 84 UPGRADES +10 OVR 80 +15 Positioning 82 +15 Volleys 78 +8 Long Pass 62 +10 Reactions 76 +10 Jumping 78 +15 Finishing 83 +10 Penalties 75 +15 Curve 77 +10 Ball Control 76 +10 Stamina 67 +10 Acceleration 80 +15 Shot Power 82 +8 Vision 70 +15 Agility 78 +10 Dribbling 76 +10 Sprint Speed 78 +15 Long Shots 78 +8 Short Pass 72 +15 Balance 77 +8 Composure 80 3 in 16 days in 16 days 89% 11%</t>
        </is>
      </c>
    </row>
    <row r="31">
      <c r="A31" t="inlineStr">
        <is>
          <t>Reward</t>
        </is>
      </c>
      <c r="B31" t="inlineStr">
        <is>
          <t>Premium Season Pass</t>
        </is>
      </c>
      <c r="C31" t="inlineStr">
        <is>
          <t>Midfield Polish [SP+ 1] - EA SPORTS FC 27</t>
        </is>
      </c>
      <c r="D31" t="inlineStr">
        <is>
          <t>https://www.fut.gg/evolutions/2493-midfield-polish-sp-1/</t>
        </is>
      </c>
      <c r="G31" t="inlineStr">
        <is>
          <t>79</t>
        </is>
      </c>
      <c r="I31" t="inlineStr">
        <is>
          <t>CM, CDM</t>
        </is>
      </c>
      <c r="J31" t="inlineStr">
        <is>
          <t>CAM Details Submit by in 16 days Expiry in 16 days Coins Cost Free Points Cost Free</t>
        </is>
      </c>
      <c r="X31" t="n">
        <v>1</v>
      </c>
      <c r="Y31" t="n">
        <v>80</v>
      </c>
      <c r="AD31" t="n">
        <v>1</v>
      </c>
      <c r="AE31" t="n">
        <v>79</v>
      </c>
      <c r="AH31" t="n">
        <v>1</v>
      </c>
      <c r="AI31" t="n">
        <v>79</v>
      </c>
      <c r="CW31" t="inlineStr">
        <is>
          <t>+1 OVR 80 +1 PAS 79 +1 DEF 79 Level 1 Nildén 79 LB PAC 83 SHO 52 PAS 73 DRI 72 DEF 74 PHY 75 CDM L 3 ★ 3 Nildén 80 LB PAC 83 SHO 52 PAS 74 DRI 72 DEF 75 PHY 75 CDM L 3 ★ 3 LB 75.4 UPGRADES +1 OVR 80 +1 PAS 79 +1 DEF 79</t>
        </is>
      </c>
      <c r="CX31" t="inlineStr">
        <is>
          <t>Overall Max. 79 Position CM, CDM Excluded Position CAM Details Submit by in 16 days Expiry in 16 days Coins Cost Free Points Cost Free</t>
        </is>
      </c>
      <c r="CY31" t="inlineStr">
        <is>
          <t>Overall Max. 79 Position CM, CDM Excluded Position CAM Details Submit by in 16 days Expiry in 16 days Coins Cost Free Points Cost Free</t>
        </is>
      </c>
      <c r="CZ31" t="inlineStr">
        <is>
          <t>Midfield Polish [SP+ 1]</t>
        </is>
      </c>
      <c r="DA31" t="inlineStr">
        <is>
          <t>Midfield Polish [SP+ 1] Unlocked by reaching level 1 in the Premium Season Pass. Berg 79 CDM PAC 74 SHO 69 PAS 78 DRI 73 DEF 74 PHY 83 CM R 3 ★ 3 CM 77.8 Berg 80 CDM PAC 74 SHO 69 PAS 79 DRI 73 DEF 75 PHY 83 CM R 3 ★ 3 CM 78.4 REQUIREMENTS Overall Max. 79 Position CM, CDM Excluded Position CAM UPGRADES +1 OVR 80 +1 PAS 79 +1 DEF 79 in 16 days in 16 days 24% 76%</t>
        </is>
      </c>
    </row>
    <row r="32">
      <c r="A32" t="inlineStr">
        <is>
          <t>Reward</t>
        </is>
      </c>
      <c r="B32" t="inlineStr">
        <is>
          <t>Reward</t>
        </is>
      </c>
      <c r="C32" t="inlineStr">
        <is>
          <t>Repeat Delivery - EA SPORTS FC 27</t>
        </is>
      </c>
      <c r="D32" t="inlineStr">
        <is>
          <t>https://www.fut.gg/evolutions/2489-repeat-delivery/</t>
        </is>
      </c>
      <c r="G32" t="inlineStr">
        <is>
          <t>74</t>
        </is>
      </c>
      <c r="I32" t="inlineStr">
        <is>
          <t>LM, RM</t>
        </is>
      </c>
      <c r="J32" t="inlineStr">
        <is>
          <t>LB, RB</t>
        </is>
      </c>
      <c r="M32" t="inlineStr">
        <is>
          <t>83</t>
        </is>
      </c>
      <c r="S32" t="inlineStr">
        <is>
          <t>7</t>
        </is>
      </c>
      <c r="X32" t="n">
        <v>8</v>
      </c>
      <c r="Y32" t="n">
        <v>78</v>
      </c>
      <c r="AL32" t="n">
        <v>5</v>
      </c>
      <c r="AM32" t="n">
        <v>80</v>
      </c>
      <c r="AN32" t="n">
        <v>5</v>
      </c>
      <c r="AO32" t="n">
        <v>80</v>
      </c>
      <c r="BB32" t="n">
        <v>15</v>
      </c>
      <c r="BC32" t="n">
        <v>84</v>
      </c>
      <c r="BD32" t="n">
        <v>10</v>
      </c>
      <c r="BE32" t="n">
        <v>78</v>
      </c>
      <c r="BH32" t="n">
        <v>15</v>
      </c>
      <c r="BI32" t="n">
        <v>76</v>
      </c>
      <c r="BJ32" t="n">
        <v>12</v>
      </c>
      <c r="BK32" t="n">
        <v>76</v>
      </c>
      <c r="BL32" t="n">
        <v>12</v>
      </c>
      <c r="BM32" t="n">
        <v>78</v>
      </c>
      <c r="BN32" t="n">
        <v>8</v>
      </c>
      <c r="BO32" t="n">
        <v>78</v>
      </c>
      <c r="BP32" t="n">
        <v>12</v>
      </c>
      <c r="BQ32" t="n">
        <v>75</v>
      </c>
      <c r="BR32" t="n">
        <v>12</v>
      </c>
      <c r="BS32" t="n">
        <v>73</v>
      </c>
      <c r="BT32" t="n">
        <v>8</v>
      </c>
      <c r="BU32" t="n">
        <v>74</v>
      </c>
      <c r="BV32" t="n">
        <v>8</v>
      </c>
      <c r="BW32" t="n">
        <v>74</v>
      </c>
      <c r="BX32" t="n">
        <v>10</v>
      </c>
      <c r="BY32" t="n">
        <v>75</v>
      </c>
      <c r="CL32" t="n">
        <v>15</v>
      </c>
      <c r="CM32" t="n">
        <v>78</v>
      </c>
      <c r="CR32" t="n">
        <v>2</v>
      </c>
      <c r="CS32" t="n">
        <v>3</v>
      </c>
      <c r="CT32" t="n">
        <v>2</v>
      </c>
      <c r="CU32" t="n">
        <v>3</v>
      </c>
      <c r="CW32" t="inlineStr">
        <is>
          <t>+8 OVR 78 +2 SM 3 +2 WF 3 +5 Sprint Speed 80 +15 Short Pass 76 +12 Balance 75 +10 Composure 75 +15 Vision 84 +12 Long Pass 76 +12 Reactions 73 +15 Stamina 78 +10 Crossing 78 +12 Curve 78 +8 Ball Control 74 +5 Acceleration 80 +4 Fk Accuracy 80 +8 Agility 78 +8 Dribbling 74 3 Level 1 Kats 74 LW PAC 81 SHO 74 PAS 66 DRI 73 DEF 35 PHY 58 LM CAM ST R 3 ★ 3 Kats 78 LW PAC 81 SHO 74 PAS 68 DRI 74 DEF 35 PHY 58 LM CAM ST R 3 ★ 3 LM 70.0 UPGRADES +8 OVR 78 +5 Sprint Speed 80 +15 Short Pass 76 +12 Balance 75 +10 Composure 75</t>
        </is>
      </c>
      <c r="CX32" t="inlineStr">
        <is>
          <t>Overall Max. 74 Position LM, RM Excluded Position LB, RB Max PS 7 Pace Max. 83 Details Submit by in 8 days Expiry in 8 days Coins Cost Free Points Cost Free</t>
        </is>
      </c>
      <c r="CY32" t="inlineStr">
        <is>
          <t>Overall Max. 74 Position LM, RM Excluded Position LB, RB Max PS 7 Pace Max. 83 Details Submit by in 8 days Expiry in 8 days Coins Cost Free Points Cost Free</t>
        </is>
      </c>
      <c r="CZ32" t="inlineStr">
        <is>
          <t>Repeat Delivery 4</t>
        </is>
      </c>
      <c r="DA32" t="inlineStr">
        <is>
          <t>Repeat Delivery 4 Keep the service coming. Upgrade your wide midfielder’s passing and delivery, then run it back for another round and keep feeding your attack from the flanks. Meza 73 CM PAC 69 SHO 71 PAS 73 DRI 76 DEF 68 PHY 73 CDM RM RW R 5 ★ 4 CM 71.8 Meza 78 CM PAC 74 SHO 71 PAS 78 DRI 77 DEF 68 PHY 76 CDM RM RW R 5 ★ 4 CM 77.1 REQUIREMENTS Overall Max. 74 Position LM, RM Excluded Position LB, RB Max PS 7 Pace Max. 83 UPGRADES +8 OVR 78 +2 SM 3 +2 WF 3 +5 Sprint Speed 80 +15 Short Pass 76 +12 Balance 75 +10 Composure 75 +15 Vision 84 +12 Long Pass 76 +12 Reactions 73 +15 Stamina 78 +10 Crossing 78 +12 Curve 78 +8 Ball Control 74 +5 Acceleration 80 +4 Fk Accuracy 80 +8 Agility 78 +8 Dribbling 74 3 TRAINING TIME 1 day in 8 days in 8 days 91% 9%</t>
        </is>
      </c>
    </row>
  </sheetData>
  <pageMargins left="0.75" right="0.75" top="1" bottom="1" header="0.5" footer="0.5"/>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892"/>
  <sheetViews>
    <sheetView workbookViewId="0">
      <selection activeCell="A1" sqref="A1"/>
    </sheetView>
  </sheetViews>
  <sheetFormatPr baseColWidth="8" defaultRowHeight="16.5"/>
  <sheetData>
    <row r="1">
      <c r="A1" t="inlineStr">
        <is>
          <t>Level</t>
        </is>
      </c>
      <c r="B1" t="inlineStr">
        <is>
          <t>Upgrade_Type</t>
        </is>
      </c>
      <c r="C1" t="inlineStr">
        <is>
          <t>Stat_Name</t>
        </is>
      </c>
      <c r="D1" t="inlineStr">
        <is>
          <t>Increase</t>
        </is>
      </c>
      <c r="E1" t="inlineStr">
        <is>
          <t>Cap_or_Result</t>
        </is>
      </c>
      <c r="F1" t="inlineStr">
        <is>
          <t>Raw_Text</t>
        </is>
      </c>
      <c r="G1" t="inlineStr">
        <is>
          <t>Evolution_Name</t>
        </is>
      </c>
      <c r="H1" t="inlineStr">
        <is>
          <t>Source_Group</t>
        </is>
      </c>
      <c r="I1" t="inlineStr">
        <is>
          <t>Category</t>
        </is>
      </c>
      <c r="J1" t="inlineStr">
        <is>
          <t>URL</t>
        </is>
      </c>
    </row>
    <row r="2">
      <c r="B2" t="inlineStr">
        <is>
          <t>Sub Stat</t>
        </is>
      </c>
      <c r="C2" t="inlineStr">
        <is>
          <t>Agility</t>
        </is>
      </c>
      <c r="D2" t="n">
        <v>10</v>
      </c>
      <c r="E2" t="n">
        <v>90</v>
      </c>
      <c r="F2" t="inlineStr">
        <is>
          <t>+10 Agility 90</t>
        </is>
      </c>
      <c r="G2" t="inlineStr">
        <is>
          <t>Rapid Gains - EA SPORTS FC 26</t>
        </is>
      </c>
      <c r="H2" t="inlineStr">
        <is>
          <t>Current</t>
        </is>
      </c>
      <c r="I2" t="inlineStr">
        <is>
          <t>Current Evolutions</t>
        </is>
      </c>
      <c r="J2" t="inlineStr">
        <is>
          <t>https://www.fut.gg/evolutions/1962-rapid-gains/</t>
        </is>
      </c>
    </row>
    <row r="3">
      <c r="B3" t="inlineStr">
        <is>
          <t>Sub Stat</t>
        </is>
      </c>
      <c r="C3" t="inlineStr">
        <is>
          <t>Strength</t>
        </is>
      </c>
      <c r="D3" t="n">
        <v>10</v>
      </c>
      <c r="E3" t="n">
        <v>95</v>
      </c>
      <c r="F3" t="inlineStr">
        <is>
          <t>+10 Strength 95</t>
        </is>
      </c>
      <c r="G3" t="inlineStr">
        <is>
          <t>Rapid Gains - EA SPORTS FC 26</t>
        </is>
      </c>
      <c r="H3" t="inlineStr">
        <is>
          <t>Current</t>
        </is>
      </c>
      <c r="I3" t="inlineStr">
        <is>
          <t>Current Evolutions</t>
        </is>
      </c>
      <c r="J3" t="inlineStr">
        <is>
          <t>https://www.fut.gg/evolutions/1962-rapid-gains/</t>
        </is>
      </c>
    </row>
    <row r="4">
      <c r="B4" t="inlineStr">
        <is>
          <t>Sub Stat</t>
        </is>
      </c>
      <c r="C4" t="inlineStr">
        <is>
          <t>Agility</t>
        </is>
      </c>
      <c r="D4" t="n">
        <v>10</v>
      </c>
      <c r="E4" t="n">
        <v>90</v>
      </c>
      <c r="F4" t="inlineStr">
        <is>
          <t>+10 Agility 90</t>
        </is>
      </c>
      <c r="G4" t="inlineStr">
        <is>
          <t>Rapid Gains - EA SPORTS FC 26</t>
        </is>
      </c>
      <c r="H4" t="inlineStr">
        <is>
          <t>Current</t>
        </is>
      </c>
      <c r="I4" t="inlineStr">
        <is>
          <t>Current Evolutions</t>
        </is>
      </c>
      <c r="J4" t="inlineStr">
        <is>
          <t>https://www.fut.gg/evolutions/1962-rapid-gains/</t>
        </is>
      </c>
    </row>
    <row r="5">
      <c r="B5" t="inlineStr">
        <is>
          <t>Sub Stat</t>
        </is>
      </c>
      <c r="C5" t="inlineStr">
        <is>
          <t>Strength</t>
        </is>
      </c>
      <c r="D5" t="n">
        <v>10</v>
      </c>
      <c r="E5" t="n">
        <v>95</v>
      </c>
      <c r="F5" t="inlineStr">
        <is>
          <t>+10 Strength 95</t>
        </is>
      </c>
      <c r="G5" t="inlineStr">
        <is>
          <t>Rapid Gains - EA SPORTS FC 26</t>
        </is>
      </c>
      <c r="H5" t="inlineStr">
        <is>
          <t>Current</t>
        </is>
      </c>
      <c r="I5" t="inlineStr">
        <is>
          <t>Current Evolutions</t>
        </is>
      </c>
      <c r="J5" t="inlineStr">
        <is>
          <t>https://www.fut.gg/evolutions/1962-rapid-gains/</t>
        </is>
      </c>
    </row>
    <row r="6">
      <c r="B6" t="inlineStr">
        <is>
          <t>Face Stat</t>
        </is>
      </c>
      <c r="C6" t="inlineStr">
        <is>
          <t>OVR</t>
        </is>
      </c>
      <c r="D6" t="n">
        <v>1</v>
      </c>
      <c r="F6" t="inlineStr">
        <is>
          <t>+1 OVR</t>
        </is>
      </c>
      <c r="G6" t="inlineStr">
        <is>
          <t>Tie Interceptor - EA SPORTS FC 26</t>
        </is>
      </c>
      <c r="H6" t="inlineStr">
        <is>
          <t>Current</t>
        </is>
      </c>
      <c r="I6" t="inlineStr">
        <is>
          <t>Current Evolutions</t>
        </is>
      </c>
      <c r="J6" t="inlineStr">
        <is>
          <t>https://www.fut.gg/evolutions/1954-tie-interceptor/</t>
        </is>
      </c>
    </row>
    <row r="7">
      <c r="B7" t="inlineStr">
        <is>
          <t>Sub Stat</t>
        </is>
      </c>
      <c r="C7" t="inlineStr">
        <is>
          <t>Vision</t>
        </is>
      </c>
      <c r="D7" t="n">
        <v>5</v>
      </c>
      <c r="E7" t="n">
        <v>91</v>
      </c>
      <c r="F7" t="inlineStr">
        <is>
          <t>+5 Vision 91</t>
        </is>
      </c>
      <c r="G7" t="inlineStr">
        <is>
          <t>Tie Interceptor - EA SPORTS FC 26</t>
        </is>
      </c>
      <c r="H7" t="inlineStr">
        <is>
          <t>Current</t>
        </is>
      </c>
      <c r="I7" t="inlineStr">
        <is>
          <t>Current Evolutions</t>
        </is>
      </c>
      <c r="J7" t="inlineStr">
        <is>
          <t>https://www.fut.gg/evolutions/1954-tie-interceptor/</t>
        </is>
      </c>
    </row>
    <row r="8">
      <c r="B8" t="inlineStr">
        <is>
          <t>Sub Stat</t>
        </is>
      </c>
      <c r="C8" t="inlineStr">
        <is>
          <t>Short Passing</t>
        </is>
      </c>
      <c r="D8" t="n">
        <v>2</v>
      </c>
      <c r="E8" t="n">
        <v>90</v>
      </c>
      <c r="F8" t="inlineStr">
        <is>
          <t>+2 Short Pass 90</t>
        </is>
      </c>
      <c r="G8" t="inlineStr">
        <is>
          <t>Tie Interceptor - EA SPORTS FC 26</t>
        </is>
      </c>
      <c r="H8" t="inlineStr">
        <is>
          <t>Current</t>
        </is>
      </c>
      <c r="I8" t="inlineStr">
        <is>
          <t>Current Evolutions</t>
        </is>
      </c>
      <c r="J8" t="inlineStr">
        <is>
          <t>https://www.fut.gg/evolutions/1954-tie-interceptor/</t>
        </is>
      </c>
    </row>
    <row r="9">
      <c r="B9" t="inlineStr">
        <is>
          <t>Sub Stat</t>
        </is>
      </c>
      <c r="C9" t="inlineStr">
        <is>
          <t>Long Passing</t>
        </is>
      </c>
      <c r="D9" t="n">
        <v>2</v>
      </c>
      <c r="E9" t="n">
        <v>93</v>
      </c>
      <c r="F9" t="inlineStr">
        <is>
          <t>+2 Long Pass 93</t>
        </is>
      </c>
      <c r="G9" t="inlineStr">
        <is>
          <t>Tie Interceptor - EA SPORTS FC 26</t>
        </is>
      </c>
      <c r="H9" t="inlineStr">
        <is>
          <t>Current</t>
        </is>
      </c>
      <c r="I9" t="inlineStr">
        <is>
          <t>Current Evolutions</t>
        </is>
      </c>
      <c r="J9" t="inlineStr">
        <is>
          <t>https://www.fut.gg/evolutions/1954-tie-interceptor/</t>
        </is>
      </c>
    </row>
    <row r="10">
      <c r="B10" t="inlineStr">
        <is>
          <t>Sub Stat</t>
        </is>
      </c>
      <c r="C10" t="inlineStr">
        <is>
          <t>Agility</t>
        </is>
      </c>
      <c r="D10" t="n">
        <v>5</v>
      </c>
      <c r="E10" t="n">
        <v>88</v>
      </c>
      <c r="F10" t="inlineStr">
        <is>
          <t>+5 Agility 88</t>
        </is>
      </c>
      <c r="G10" t="inlineStr">
        <is>
          <t>Tie Interceptor - EA SPORTS FC 26</t>
        </is>
      </c>
      <c r="H10" t="inlineStr">
        <is>
          <t>Current</t>
        </is>
      </c>
      <c r="I10" t="inlineStr">
        <is>
          <t>Current Evolutions</t>
        </is>
      </c>
      <c r="J10" t="inlineStr">
        <is>
          <t>https://www.fut.gg/evolutions/1954-tie-interceptor/</t>
        </is>
      </c>
    </row>
    <row r="11">
      <c r="B11" t="inlineStr">
        <is>
          <t>Sub Stat</t>
        </is>
      </c>
      <c r="C11" t="inlineStr">
        <is>
          <t>Interceptions</t>
        </is>
      </c>
      <c r="D11" t="n">
        <v>5</v>
      </c>
      <c r="E11" t="n">
        <v>93</v>
      </c>
      <c r="F11" t="inlineStr">
        <is>
          <t>+5 Interceptions 93</t>
        </is>
      </c>
      <c r="G11" t="inlineStr">
        <is>
          <t>Tie Interceptor - EA SPORTS FC 26</t>
        </is>
      </c>
      <c r="H11" t="inlineStr">
        <is>
          <t>Current</t>
        </is>
      </c>
      <c r="I11" t="inlineStr">
        <is>
          <t>Current Evolutions</t>
        </is>
      </c>
      <c r="J11" t="inlineStr">
        <is>
          <t>https://www.fut.gg/evolutions/1954-tie-interceptor/</t>
        </is>
      </c>
    </row>
    <row r="12">
      <c r="B12" t="inlineStr">
        <is>
          <t>Sub Stat</t>
        </is>
      </c>
      <c r="C12" t="inlineStr">
        <is>
          <t>Defensive Awareness</t>
        </is>
      </c>
      <c r="D12" t="n">
        <v>5</v>
      </c>
      <c r="E12" t="n">
        <v>92</v>
      </c>
      <c r="F12" t="inlineStr">
        <is>
          <t>+5 Defensive Awareness 92</t>
        </is>
      </c>
      <c r="G12" t="inlineStr">
        <is>
          <t>Tie Interceptor - EA SPORTS FC 26</t>
        </is>
      </c>
      <c r="H12" t="inlineStr">
        <is>
          <t>Current</t>
        </is>
      </c>
      <c r="I12" t="inlineStr">
        <is>
          <t>Current Evolutions</t>
        </is>
      </c>
      <c r="J12" t="inlineStr">
        <is>
          <t>https://www.fut.gg/evolutions/1954-tie-interceptor/</t>
        </is>
      </c>
    </row>
    <row r="13">
      <c r="B13" t="inlineStr">
        <is>
          <t>Sub Stat</t>
        </is>
      </c>
      <c r="C13" t="inlineStr">
        <is>
          <t>Strength</t>
        </is>
      </c>
      <c r="D13" t="n">
        <v>2</v>
      </c>
      <c r="E13" t="n">
        <v>92</v>
      </c>
      <c r="F13" t="inlineStr">
        <is>
          <t>+2 Strength 92</t>
        </is>
      </c>
      <c r="G13" t="inlineStr">
        <is>
          <t>Tie Interceptor - EA SPORTS FC 26</t>
        </is>
      </c>
      <c r="H13" t="inlineStr">
        <is>
          <t>Current</t>
        </is>
      </c>
      <c r="I13" t="inlineStr">
        <is>
          <t>Current Evolutions</t>
        </is>
      </c>
      <c r="J13" t="inlineStr">
        <is>
          <t>https://www.fut.gg/evolutions/1954-tie-interceptor/</t>
        </is>
      </c>
    </row>
    <row r="14">
      <c r="B14" t="inlineStr">
        <is>
          <t>Sub Stat</t>
        </is>
      </c>
      <c r="C14" t="inlineStr">
        <is>
          <t>Aggression</t>
        </is>
      </c>
      <c r="D14" t="n">
        <v>2</v>
      </c>
      <c r="E14" t="n">
        <v>93</v>
      </c>
      <c r="F14" t="inlineStr">
        <is>
          <t>+2 Aggression 93</t>
        </is>
      </c>
      <c r="G14" t="inlineStr">
        <is>
          <t>Tie Interceptor - EA SPORTS FC 26</t>
        </is>
      </c>
      <c r="H14" t="inlineStr">
        <is>
          <t>Current</t>
        </is>
      </c>
      <c r="I14" t="inlineStr">
        <is>
          <t>Current Evolutions</t>
        </is>
      </c>
      <c r="J14" t="inlineStr">
        <is>
          <t>https://www.fut.gg/evolutions/1954-tie-interceptor/</t>
        </is>
      </c>
    </row>
    <row r="15">
      <c r="B15" t="inlineStr">
        <is>
          <t>Face Stat</t>
        </is>
      </c>
      <c r="C15" t="inlineStr">
        <is>
          <t>OVR</t>
        </is>
      </c>
      <c r="D15" t="n">
        <v>1</v>
      </c>
      <c r="F15" t="inlineStr">
        <is>
          <t>+1 OVR</t>
        </is>
      </c>
      <c r="G15" t="inlineStr">
        <is>
          <t>Tie Interceptor - EA SPORTS FC 26</t>
        </is>
      </c>
      <c r="H15" t="inlineStr">
        <is>
          <t>Current</t>
        </is>
      </c>
      <c r="I15" t="inlineStr">
        <is>
          <t>Current Evolutions</t>
        </is>
      </c>
      <c r="J15" t="inlineStr">
        <is>
          <t>https://www.fut.gg/evolutions/1954-tie-interceptor/</t>
        </is>
      </c>
    </row>
    <row r="16">
      <c r="B16" t="inlineStr">
        <is>
          <t>Sub Stat</t>
        </is>
      </c>
      <c r="C16" t="inlineStr">
        <is>
          <t>Vision</t>
        </is>
      </c>
      <c r="D16" t="n">
        <v>5</v>
      </c>
      <c r="E16" t="n">
        <v>91</v>
      </c>
      <c r="F16" t="inlineStr">
        <is>
          <t>+5 Vision 91</t>
        </is>
      </c>
      <c r="G16" t="inlineStr">
        <is>
          <t>Tie Interceptor - EA SPORTS FC 26</t>
        </is>
      </c>
      <c r="H16" t="inlineStr">
        <is>
          <t>Current</t>
        </is>
      </c>
      <c r="I16" t="inlineStr">
        <is>
          <t>Current Evolutions</t>
        </is>
      </c>
      <c r="J16" t="inlineStr">
        <is>
          <t>https://www.fut.gg/evolutions/1954-tie-interceptor/</t>
        </is>
      </c>
    </row>
    <row r="17">
      <c r="B17" t="inlineStr">
        <is>
          <t>Sub Stat</t>
        </is>
      </c>
      <c r="C17" t="inlineStr">
        <is>
          <t>Short Passing</t>
        </is>
      </c>
      <c r="D17" t="n">
        <v>2</v>
      </c>
      <c r="E17" t="n">
        <v>90</v>
      </c>
      <c r="F17" t="inlineStr">
        <is>
          <t>+2 Short Pass 90</t>
        </is>
      </c>
      <c r="G17" t="inlineStr">
        <is>
          <t>Tie Interceptor - EA SPORTS FC 26</t>
        </is>
      </c>
      <c r="H17" t="inlineStr">
        <is>
          <t>Current</t>
        </is>
      </c>
      <c r="I17" t="inlineStr">
        <is>
          <t>Current Evolutions</t>
        </is>
      </c>
      <c r="J17" t="inlineStr">
        <is>
          <t>https://www.fut.gg/evolutions/1954-tie-interceptor/</t>
        </is>
      </c>
    </row>
    <row r="18">
      <c r="B18" t="inlineStr">
        <is>
          <t>Sub Stat</t>
        </is>
      </c>
      <c r="C18" t="inlineStr">
        <is>
          <t>Long Passing</t>
        </is>
      </c>
      <c r="D18" t="n">
        <v>2</v>
      </c>
      <c r="E18" t="n">
        <v>93</v>
      </c>
      <c r="F18" t="inlineStr">
        <is>
          <t>+2 Long Pass 93</t>
        </is>
      </c>
      <c r="G18" t="inlineStr">
        <is>
          <t>Tie Interceptor - EA SPORTS FC 26</t>
        </is>
      </c>
      <c r="H18" t="inlineStr">
        <is>
          <t>Current</t>
        </is>
      </c>
      <c r="I18" t="inlineStr">
        <is>
          <t>Current Evolutions</t>
        </is>
      </c>
      <c r="J18" t="inlineStr">
        <is>
          <t>https://www.fut.gg/evolutions/1954-tie-interceptor/</t>
        </is>
      </c>
    </row>
    <row r="19">
      <c r="B19" t="inlineStr">
        <is>
          <t>Sub Stat</t>
        </is>
      </c>
      <c r="C19" t="inlineStr">
        <is>
          <t>Agility</t>
        </is>
      </c>
      <c r="D19" t="n">
        <v>5</v>
      </c>
      <c r="E19" t="n">
        <v>88</v>
      </c>
      <c r="F19" t="inlineStr">
        <is>
          <t>+5 Agility 88</t>
        </is>
      </c>
      <c r="G19" t="inlineStr">
        <is>
          <t>Tie Interceptor - EA SPORTS FC 26</t>
        </is>
      </c>
      <c r="H19" t="inlineStr">
        <is>
          <t>Current</t>
        </is>
      </c>
      <c r="I19" t="inlineStr">
        <is>
          <t>Current Evolutions</t>
        </is>
      </c>
      <c r="J19" t="inlineStr">
        <is>
          <t>https://www.fut.gg/evolutions/1954-tie-interceptor/</t>
        </is>
      </c>
    </row>
    <row r="20">
      <c r="B20" t="inlineStr">
        <is>
          <t>Sub Stat</t>
        </is>
      </c>
      <c r="C20" t="inlineStr">
        <is>
          <t>Interceptions</t>
        </is>
      </c>
      <c r="D20" t="n">
        <v>5</v>
      </c>
      <c r="E20" t="n">
        <v>93</v>
      </c>
      <c r="F20" t="inlineStr">
        <is>
          <t>+5 Interceptions 93</t>
        </is>
      </c>
      <c r="G20" t="inlineStr">
        <is>
          <t>Tie Interceptor - EA SPORTS FC 26</t>
        </is>
      </c>
      <c r="H20" t="inlineStr">
        <is>
          <t>Current</t>
        </is>
      </c>
      <c r="I20" t="inlineStr">
        <is>
          <t>Current Evolutions</t>
        </is>
      </c>
      <c r="J20" t="inlineStr">
        <is>
          <t>https://www.fut.gg/evolutions/1954-tie-interceptor/</t>
        </is>
      </c>
    </row>
    <row r="21">
      <c r="B21" t="inlineStr">
        <is>
          <t>Face Stat</t>
        </is>
      </c>
      <c r="C21" t="inlineStr">
        <is>
          <t>OVR</t>
        </is>
      </c>
      <c r="D21" t="n">
        <v>15</v>
      </c>
      <c r="E21" t="n">
        <v>91</v>
      </c>
      <c r="F21" t="inlineStr">
        <is>
          <t>+15 OVR 91</t>
        </is>
      </c>
      <c r="G21" t="inlineStr">
        <is>
          <t>The Trailblazer - EA SPORTS FC 26</t>
        </is>
      </c>
      <c r="H21" t="inlineStr">
        <is>
          <t>Current</t>
        </is>
      </c>
      <c r="I21" t="inlineStr">
        <is>
          <t>Current Evolutions</t>
        </is>
      </c>
      <c r="J21" t="inlineStr">
        <is>
          <t>https://www.fut.gg/evolutions/1953-the-trailblazer/</t>
        </is>
      </c>
    </row>
    <row r="22">
      <c r="B22" t="inlineStr">
        <is>
          <t>Skill</t>
        </is>
      </c>
      <c r="C22" t="inlineStr">
        <is>
          <t>WF</t>
        </is>
      </c>
      <c r="D22" t="n">
        <v>4</v>
      </c>
      <c r="F22" t="inlineStr">
        <is>
          <t>+4 WF</t>
        </is>
      </c>
      <c r="G22" t="inlineStr">
        <is>
          <t>The Trailblazer - EA SPORTS FC 26</t>
        </is>
      </c>
      <c r="H22" t="inlineStr">
        <is>
          <t>Current</t>
        </is>
      </c>
      <c r="I22" t="inlineStr">
        <is>
          <t>Current Evolutions</t>
        </is>
      </c>
      <c r="J22" t="inlineStr">
        <is>
          <t>https://www.fut.gg/evolutions/1953-the-trailblazer/</t>
        </is>
      </c>
    </row>
    <row r="23">
      <c r="B23" t="inlineStr">
        <is>
          <t>Sub Stat</t>
        </is>
      </c>
      <c r="C23" t="inlineStr">
        <is>
          <t>Acceleration</t>
        </is>
      </c>
      <c r="D23" t="n">
        <v>25</v>
      </c>
      <c r="E23" t="n">
        <v>92</v>
      </c>
      <c r="F23" t="inlineStr">
        <is>
          <t>+25 Acceleration 92</t>
        </is>
      </c>
      <c r="G23" t="inlineStr">
        <is>
          <t>The Trailblazer - EA SPORTS FC 26</t>
        </is>
      </c>
      <c r="H23" t="inlineStr">
        <is>
          <t>Current</t>
        </is>
      </c>
      <c r="I23" t="inlineStr">
        <is>
          <t>Current Evolutions</t>
        </is>
      </c>
      <c r="J23" t="inlineStr">
        <is>
          <t>https://www.fut.gg/evolutions/1953-the-trailblazer/</t>
        </is>
      </c>
    </row>
    <row r="24">
      <c r="B24" t="inlineStr">
        <is>
          <t>Sub Stat</t>
        </is>
      </c>
      <c r="C24" t="inlineStr">
        <is>
          <t>Short Passing</t>
        </is>
      </c>
      <c r="D24" t="n">
        <v>25</v>
      </c>
      <c r="E24" t="n">
        <v>93</v>
      </c>
      <c r="F24" t="inlineStr">
        <is>
          <t>+25 Short Pass 93</t>
        </is>
      </c>
      <c r="G24" t="inlineStr">
        <is>
          <t>The Trailblazer - EA SPORTS FC 26</t>
        </is>
      </c>
      <c r="H24" t="inlineStr">
        <is>
          <t>Current</t>
        </is>
      </c>
      <c r="I24" t="inlineStr">
        <is>
          <t>Current Evolutions</t>
        </is>
      </c>
      <c r="J24" t="inlineStr">
        <is>
          <t>https://www.fut.gg/evolutions/1953-the-trailblazer/</t>
        </is>
      </c>
    </row>
    <row r="25">
      <c r="B25" t="inlineStr">
        <is>
          <t>Sub Stat</t>
        </is>
      </c>
      <c r="C25" t="inlineStr">
        <is>
          <t>Long Passing</t>
        </is>
      </c>
      <c r="D25" t="n">
        <v>25</v>
      </c>
      <c r="E25" t="n">
        <v>89</v>
      </c>
      <c r="F25" t="inlineStr">
        <is>
          <t>+25 Long Pass 89</t>
        </is>
      </c>
      <c r="G25" t="inlineStr">
        <is>
          <t>The Trailblazer - EA SPORTS FC 26</t>
        </is>
      </c>
      <c r="H25" t="inlineStr">
        <is>
          <t>Current</t>
        </is>
      </c>
      <c r="I25" t="inlineStr">
        <is>
          <t>Current Evolutions</t>
        </is>
      </c>
      <c r="J25" t="inlineStr">
        <is>
          <t>https://www.fut.gg/evolutions/1953-the-trailblazer/</t>
        </is>
      </c>
    </row>
    <row r="26">
      <c r="B26" t="inlineStr">
        <is>
          <t>Sub Stat</t>
        </is>
      </c>
      <c r="C26" t="inlineStr">
        <is>
          <t>Curve</t>
        </is>
      </c>
      <c r="D26" t="n">
        <v>15</v>
      </c>
      <c r="E26" t="n">
        <v>88</v>
      </c>
      <c r="F26" t="inlineStr">
        <is>
          <t>+15 Curve 88</t>
        </is>
      </c>
      <c r="G26" t="inlineStr">
        <is>
          <t>The Trailblazer - EA SPORTS FC 26</t>
        </is>
      </c>
      <c r="H26" t="inlineStr">
        <is>
          <t>Current</t>
        </is>
      </c>
      <c r="I26" t="inlineStr">
        <is>
          <t>Current Evolutions</t>
        </is>
      </c>
      <c r="J26" t="inlineStr">
        <is>
          <t>https://www.fut.gg/evolutions/1953-the-trailblazer/</t>
        </is>
      </c>
    </row>
    <row r="27">
      <c r="B27" t="inlineStr">
        <is>
          <t>Sub Stat</t>
        </is>
      </c>
      <c r="C27" t="inlineStr">
        <is>
          <t>Sprint Speed</t>
        </is>
      </c>
      <c r="D27" t="n">
        <v>25</v>
      </c>
      <c r="E27" t="n">
        <v>91</v>
      </c>
      <c r="F27" t="inlineStr">
        <is>
          <t>+25 Sprint Speed 91</t>
        </is>
      </c>
      <c r="G27" t="inlineStr">
        <is>
          <t>The Trailblazer - EA SPORTS FC 26</t>
        </is>
      </c>
      <c r="H27" t="inlineStr">
        <is>
          <t>Current</t>
        </is>
      </c>
      <c r="I27" t="inlineStr">
        <is>
          <t>Current Evolutions</t>
        </is>
      </c>
      <c r="J27" t="inlineStr">
        <is>
          <t>https://www.fut.gg/evolutions/1953-the-trailblazer/</t>
        </is>
      </c>
    </row>
    <row r="28">
      <c r="B28" t="inlineStr">
        <is>
          <t>Sub Stat</t>
        </is>
      </c>
      <c r="C28" t="inlineStr">
        <is>
          <t>Vision</t>
        </is>
      </c>
      <c r="D28" t="n">
        <v>15</v>
      </c>
      <c r="E28" t="n">
        <v>87</v>
      </c>
      <c r="F28" t="inlineStr">
        <is>
          <t>+15 Vision 87</t>
        </is>
      </c>
      <c r="G28" t="inlineStr">
        <is>
          <t>The Trailblazer - EA SPORTS FC 26</t>
        </is>
      </c>
      <c r="H28" t="inlineStr">
        <is>
          <t>Current</t>
        </is>
      </c>
      <c r="I28" t="inlineStr">
        <is>
          <t>Current Evolutions</t>
        </is>
      </c>
      <c r="J28" t="inlineStr">
        <is>
          <t>https://www.fut.gg/evolutions/1953-the-trailblazer/</t>
        </is>
      </c>
    </row>
    <row r="29">
      <c r="B29" t="inlineStr">
        <is>
          <t>Sub Stat</t>
        </is>
      </c>
      <c r="C29" t="inlineStr">
        <is>
          <t>Crossing</t>
        </is>
      </c>
      <c r="D29" t="n">
        <v>20</v>
      </c>
      <c r="E29" t="n">
        <v>89</v>
      </c>
      <c r="F29" t="inlineStr">
        <is>
          <t>+20 Crossing 89</t>
        </is>
      </c>
      <c r="G29" t="inlineStr">
        <is>
          <t>The Trailblazer - EA SPORTS FC 26</t>
        </is>
      </c>
      <c r="H29" t="inlineStr">
        <is>
          <t>Current</t>
        </is>
      </c>
      <c r="I29" t="inlineStr">
        <is>
          <t>Current Evolutions</t>
        </is>
      </c>
      <c r="J29" t="inlineStr">
        <is>
          <t>https://www.fut.gg/evolutions/1953-the-trailblazer/</t>
        </is>
      </c>
    </row>
    <row r="30">
      <c r="B30" t="inlineStr">
        <is>
          <t>Sub Stat</t>
        </is>
      </c>
      <c r="C30" t="inlineStr">
        <is>
          <t>Fk Accuracy</t>
        </is>
      </c>
      <c r="D30" t="n">
        <v>10</v>
      </c>
      <c r="E30" t="n">
        <v>80</v>
      </c>
      <c r="F30" t="inlineStr">
        <is>
          <t>+10 Fk Accuracy 80</t>
        </is>
      </c>
      <c r="G30" t="inlineStr">
        <is>
          <t>The Trailblazer - EA SPORTS FC 26</t>
        </is>
      </c>
      <c r="H30" t="inlineStr">
        <is>
          <t>Current</t>
        </is>
      </c>
      <c r="I30" t="inlineStr">
        <is>
          <t>Current Evolutions</t>
        </is>
      </c>
      <c r="J30" t="inlineStr">
        <is>
          <t>https://www.fut.gg/evolutions/1953-the-trailblazer/</t>
        </is>
      </c>
    </row>
    <row r="31">
      <c r="B31" t="inlineStr">
        <is>
          <t>Sub Stat</t>
        </is>
      </c>
      <c r="C31" t="inlineStr">
        <is>
          <t>Aggression</t>
        </is>
      </c>
      <c r="D31" t="n">
        <v>10</v>
      </c>
      <c r="E31" t="n">
        <v>89</v>
      </c>
      <c r="F31" t="inlineStr">
        <is>
          <t>+10 Aggression 89</t>
        </is>
      </c>
      <c r="G31" t="inlineStr">
        <is>
          <t>The Trailblazer - EA SPORTS FC 26</t>
        </is>
      </c>
      <c r="H31" t="inlineStr">
        <is>
          <t>Current</t>
        </is>
      </c>
      <c r="I31" t="inlineStr">
        <is>
          <t>Current Evolutions</t>
        </is>
      </c>
      <c r="J31" t="inlineStr">
        <is>
          <t>https://www.fut.gg/evolutions/1953-the-trailblazer/</t>
        </is>
      </c>
    </row>
    <row r="32">
      <c r="B32" t="inlineStr">
        <is>
          <t>Sub Stat</t>
        </is>
      </c>
      <c r="C32" t="inlineStr">
        <is>
          <t>Agility</t>
        </is>
      </c>
      <c r="D32" t="n">
        <v>20</v>
      </c>
      <c r="E32" t="n">
        <v>91</v>
      </c>
      <c r="F32" t="inlineStr">
        <is>
          <t>+20 Agility 91</t>
        </is>
      </c>
      <c r="G32" t="inlineStr">
        <is>
          <t>The Trailblazer - EA SPORTS FC 26</t>
        </is>
      </c>
      <c r="H32" t="inlineStr">
        <is>
          <t>Current</t>
        </is>
      </c>
      <c r="I32" t="inlineStr">
        <is>
          <t>Current Evolutions</t>
        </is>
      </c>
      <c r="J32" t="inlineStr">
        <is>
          <t>https://www.fut.gg/evolutions/1953-the-trailblazer/</t>
        </is>
      </c>
    </row>
    <row r="33">
      <c r="B33" t="inlineStr">
        <is>
          <t>Sub Stat</t>
        </is>
      </c>
      <c r="C33" t="inlineStr">
        <is>
          <t>Balance</t>
        </is>
      </c>
      <c r="D33" t="n">
        <v>20</v>
      </c>
      <c r="E33" t="n">
        <v>88</v>
      </c>
      <c r="F33" t="inlineStr">
        <is>
          <t>+20 Balance 88</t>
        </is>
      </c>
      <c r="G33" t="inlineStr">
        <is>
          <t>The Trailblazer - EA SPORTS FC 26</t>
        </is>
      </c>
      <c r="H33" t="inlineStr">
        <is>
          <t>Current</t>
        </is>
      </c>
      <c r="I33" t="inlineStr">
        <is>
          <t>Current Evolutions</t>
        </is>
      </c>
      <c r="J33" t="inlineStr">
        <is>
          <t>https://www.fut.gg/evolutions/1953-the-trailblazer/</t>
        </is>
      </c>
    </row>
    <row r="34">
      <c r="B34" t="inlineStr">
        <is>
          <t>Sub Stat</t>
        </is>
      </c>
      <c r="C34" t="inlineStr">
        <is>
          <t>Stamina</t>
        </is>
      </c>
      <c r="D34" t="n">
        <v>10</v>
      </c>
      <c r="E34" t="n">
        <v>90</v>
      </c>
      <c r="F34" t="inlineStr">
        <is>
          <t>+10 Stamina 90</t>
        </is>
      </c>
      <c r="G34" t="inlineStr">
        <is>
          <t>The Trailblazer - EA SPORTS FC 26</t>
        </is>
      </c>
      <c r="H34" t="inlineStr">
        <is>
          <t>Current</t>
        </is>
      </c>
      <c r="I34" t="inlineStr">
        <is>
          <t>Current Evolutions</t>
        </is>
      </c>
      <c r="J34" t="inlineStr">
        <is>
          <t>https://www.fut.gg/evolutions/1953-the-trailblazer/</t>
        </is>
      </c>
    </row>
    <row r="35">
      <c r="B35" t="inlineStr">
        <is>
          <t>Sub Stat</t>
        </is>
      </c>
      <c r="C35" t="inlineStr">
        <is>
          <t>Strength</t>
        </is>
      </c>
      <c r="D35" t="n">
        <v>10</v>
      </c>
      <c r="E35" t="n">
        <v>89</v>
      </c>
      <c r="F35" t="inlineStr">
        <is>
          <t>+10 Strength 89</t>
        </is>
      </c>
      <c r="G35" t="inlineStr">
        <is>
          <t>The Trailblazer - EA SPORTS FC 26</t>
        </is>
      </c>
      <c r="H35" t="inlineStr">
        <is>
          <t>Current</t>
        </is>
      </c>
      <c r="I35" t="inlineStr">
        <is>
          <t>Current Evolutions</t>
        </is>
      </c>
      <c r="J35" t="inlineStr">
        <is>
          <t>https://www.fut.gg/evolutions/1953-the-trailblazer/</t>
        </is>
      </c>
    </row>
    <row r="36">
      <c r="B36" t="inlineStr">
        <is>
          <t>Sub Stat</t>
        </is>
      </c>
      <c r="C36" t="inlineStr">
        <is>
          <t>Jumping</t>
        </is>
      </c>
      <c r="D36" t="n">
        <v>10</v>
      </c>
      <c r="E36" t="n">
        <v>85</v>
      </c>
      <c r="F36" t="inlineStr">
        <is>
          <t>+10 Jumping 85</t>
        </is>
      </c>
      <c r="G36" t="inlineStr">
        <is>
          <t>The Trailblazer - EA SPORTS FC 26</t>
        </is>
      </c>
      <c r="H36" t="inlineStr">
        <is>
          <t>Current</t>
        </is>
      </c>
      <c r="I36" t="inlineStr">
        <is>
          <t>Current Evolutions</t>
        </is>
      </c>
      <c r="J36" t="inlineStr">
        <is>
          <t>https://www.fut.gg/evolutions/1953-the-trailblazer/</t>
        </is>
      </c>
    </row>
    <row r="37">
      <c r="B37" t="inlineStr">
        <is>
          <t>Sub Stat</t>
        </is>
      </c>
      <c r="C37" t="inlineStr">
        <is>
          <t>Reactions</t>
        </is>
      </c>
      <c r="D37" t="n">
        <v>20</v>
      </c>
      <c r="E37" t="n">
        <v>89</v>
      </c>
      <c r="F37" t="inlineStr">
        <is>
          <t>+20 Reactions 89</t>
        </is>
      </c>
      <c r="G37" t="inlineStr">
        <is>
          <t>The Trailblazer - EA SPORTS FC 26</t>
        </is>
      </c>
      <c r="H37" t="inlineStr">
        <is>
          <t>Current</t>
        </is>
      </c>
      <c r="I37" t="inlineStr">
        <is>
          <t>Current Evolutions</t>
        </is>
      </c>
      <c r="J37" t="inlineStr">
        <is>
          <t>https://www.fut.gg/evolutions/1953-the-trailblazer/</t>
        </is>
      </c>
    </row>
    <row r="38">
      <c r="B38" t="inlineStr">
        <is>
          <t>Sub Stat</t>
        </is>
      </c>
      <c r="C38" t="inlineStr">
        <is>
          <t>Ball Control</t>
        </is>
      </c>
      <c r="D38" t="n">
        <v>20</v>
      </c>
      <c r="E38" t="n">
        <v>90</v>
      </c>
      <c r="F38" t="inlineStr">
        <is>
          <t>+20 Ball Control 90</t>
        </is>
      </c>
      <c r="G38" t="inlineStr">
        <is>
          <t>The Trailblazer - EA SPORTS FC 26</t>
        </is>
      </c>
      <c r="H38" t="inlineStr">
        <is>
          <t>Current</t>
        </is>
      </c>
      <c r="I38" t="inlineStr">
        <is>
          <t>Current Evolutions</t>
        </is>
      </c>
      <c r="J38" t="inlineStr">
        <is>
          <t>https://www.fut.gg/evolutions/1953-the-trailblazer/</t>
        </is>
      </c>
    </row>
    <row r="39">
      <c r="B39" t="inlineStr">
        <is>
          <t>Sub Stat</t>
        </is>
      </c>
      <c r="C39" t="inlineStr">
        <is>
          <t>Dribbling</t>
        </is>
      </c>
      <c r="D39" t="n">
        <v>20</v>
      </c>
      <c r="E39" t="n">
        <v>90</v>
      </c>
      <c r="F39" t="inlineStr">
        <is>
          <t>+20 Dribbling 90</t>
        </is>
      </c>
      <c r="G39" t="inlineStr">
        <is>
          <t>The Trailblazer - EA SPORTS FC 26</t>
        </is>
      </c>
      <c r="H39" t="inlineStr">
        <is>
          <t>Current</t>
        </is>
      </c>
      <c r="I39" t="inlineStr">
        <is>
          <t>Current Evolutions</t>
        </is>
      </c>
      <c r="J39" t="inlineStr">
        <is>
          <t>https://www.fut.gg/evolutions/1953-the-trailblazer/</t>
        </is>
      </c>
    </row>
    <row r="40">
      <c r="B40" t="inlineStr">
        <is>
          <t>Sub Stat</t>
        </is>
      </c>
      <c r="C40" t="inlineStr">
        <is>
          <t>Composure</t>
        </is>
      </c>
      <c r="D40" t="n">
        <v>20</v>
      </c>
      <c r="E40" t="n">
        <v>91</v>
      </c>
      <c r="F40" t="inlineStr">
        <is>
          <t>+20 Composure 91</t>
        </is>
      </c>
      <c r="G40" t="inlineStr">
        <is>
          <t>The Trailblazer - EA SPORTS FC 26</t>
        </is>
      </c>
      <c r="H40" t="inlineStr">
        <is>
          <t>Current</t>
        </is>
      </c>
      <c r="I40" t="inlineStr">
        <is>
          <t>Current Evolutions</t>
        </is>
      </c>
      <c r="J40" t="inlineStr">
        <is>
          <t>https://www.fut.gg/evolutions/1953-the-trailblazer/</t>
        </is>
      </c>
    </row>
    <row r="41">
      <c r="B41" t="inlineStr">
        <is>
          <t>Sub Stat</t>
        </is>
      </c>
      <c r="C41" t="inlineStr">
        <is>
          <t>Interceptions</t>
        </is>
      </c>
      <c r="D41" t="n">
        <v>15</v>
      </c>
      <c r="E41" t="n">
        <v>92</v>
      </c>
      <c r="F41" t="inlineStr">
        <is>
          <t>+15 Interceptions 92</t>
        </is>
      </c>
      <c r="G41" t="inlineStr">
        <is>
          <t>The Trailblazer - EA SPORTS FC 26</t>
        </is>
      </c>
      <c r="H41" t="inlineStr">
        <is>
          <t>Current</t>
        </is>
      </c>
      <c r="I41" t="inlineStr">
        <is>
          <t>Current Evolutions</t>
        </is>
      </c>
      <c r="J41" t="inlineStr">
        <is>
          <t>https://www.fut.gg/evolutions/1953-the-trailblazer/</t>
        </is>
      </c>
    </row>
    <row r="42">
      <c r="B42" t="inlineStr">
        <is>
          <t>Sub Stat</t>
        </is>
      </c>
      <c r="C42" t="inlineStr">
        <is>
          <t>Heading Accuracy</t>
        </is>
      </c>
      <c r="D42" t="n">
        <v>10</v>
      </c>
      <c r="E42" t="n">
        <v>88</v>
      </c>
      <c r="F42" t="inlineStr">
        <is>
          <t>+10 Heading Acc. 88</t>
        </is>
      </c>
      <c r="G42" t="inlineStr">
        <is>
          <t>The Trailblazer - EA SPORTS FC 26</t>
        </is>
      </c>
      <c r="H42" t="inlineStr">
        <is>
          <t>Current</t>
        </is>
      </c>
      <c r="I42" t="inlineStr">
        <is>
          <t>Current Evolutions</t>
        </is>
      </c>
      <c r="J42" t="inlineStr">
        <is>
          <t>https://www.fut.gg/evolutions/1953-the-trailblazer/</t>
        </is>
      </c>
    </row>
    <row r="43">
      <c r="B43" t="inlineStr">
        <is>
          <t>Sub Stat</t>
        </is>
      </c>
      <c r="C43" t="inlineStr">
        <is>
          <t>Defensive Awareness</t>
        </is>
      </c>
      <c r="D43" t="n">
        <v>10</v>
      </c>
      <c r="E43" t="n">
        <v>90</v>
      </c>
      <c r="F43" t="inlineStr">
        <is>
          <t>+10 Defensive Awareness 90</t>
        </is>
      </c>
      <c r="G43" t="inlineStr">
        <is>
          <t>The Trailblazer - EA SPORTS FC 26</t>
        </is>
      </c>
      <c r="H43" t="inlineStr">
        <is>
          <t>Current</t>
        </is>
      </c>
      <c r="I43" t="inlineStr">
        <is>
          <t>Current Evolutions</t>
        </is>
      </c>
      <c r="J43" t="inlineStr">
        <is>
          <t>https://www.fut.gg/evolutions/1953-the-trailblazer/</t>
        </is>
      </c>
    </row>
    <row r="44">
      <c r="B44" t="inlineStr">
        <is>
          <t>Sub Stat</t>
        </is>
      </c>
      <c r="C44" t="inlineStr">
        <is>
          <t>Standing Tackle</t>
        </is>
      </c>
      <c r="D44" t="n">
        <v>15</v>
      </c>
      <c r="E44" t="n">
        <v>94</v>
      </c>
      <c r="F44" t="inlineStr">
        <is>
          <t>+15 Standing Tackle 94</t>
        </is>
      </c>
      <c r="G44" t="inlineStr">
        <is>
          <t>The Trailblazer - EA SPORTS FC 26</t>
        </is>
      </c>
      <c r="H44" t="inlineStr">
        <is>
          <t>Current</t>
        </is>
      </c>
      <c r="I44" t="inlineStr">
        <is>
          <t>Current Evolutions</t>
        </is>
      </c>
      <c r="J44" t="inlineStr">
        <is>
          <t>https://www.fut.gg/evolutions/1953-the-trailblazer/</t>
        </is>
      </c>
    </row>
    <row r="45">
      <c r="B45" t="inlineStr">
        <is>
          <t>Sub Stat</t>
        </is>
      </c>
      <c r="C45" t="inlineStr">
        <is>
          <t>Sliding Tackle</t>
        </is>
      </c>
      <c r="D45" t="n">
        <v>15</v>
      </c>
      <c r="E45" t="n">
        <v>90</v>
      </c>
      <c r="F45" t="inlineStr">
        <is>
          <t>+15 Sliding Tackle 90</t>
        </is>
      </c>
      <c r="G45" t="inlineStr">
        <is>
          <t>The Trailblazer - EA SPORTS FC 26</t>
        </is>
      </c>
      <c r="H45" t="inlineStr">
        <is>
          <t>Current</t>
        </is>
      </c>
      <c r="I45" t="inlineStr">
        <is>
          <t>Current Evolutions</t>
        </is>
      </c>
      <c r="J45" t="inlineStr">
        <is>
          <t>https://www.fut.gg/evolutions/1953-the-trailblazer/</t>
        </is>
      </c>
    </row>
    <row r="46">
      <c r="B46" t="inlineStr">
        <is>
          <t>Face Stat</t>
        </is>
      </c>
      <c r="C46" t="inlineStr">
        <is>
          <t>OVR</t>
        </is>
      </c>
      <c r="D46" t="n">
        <v>15</v>
      </c>
      <c r="E46" t="n">
        <v>91</v>
      </c>
      <c r="F46" t="inlineStr">
        <is>
          <t>+15 OVR 91</t>
        </is>
      </c>
      <c r="G46" t="inlineStr">
        <is>
          <t>The Trailblazer - EA SPORTS FC 26</t>
        </is>
      </c>
      <c r="H46" t="inlineStr">
        <is>
          <t>Current</t>
        </is>
      </c>
      <c r="I46" t="inlineStr">
        <is>
          <t>Current Evolutions</t>
        </is>
      </c>
      <c r="J46" t="inlineStr">
        <is>
          <t>https://www.fut.gg/evolutions/1953-the-trailblazer/</t>
        </is>
      </c>
    </row>
    <row r="47">
      <c r="B47" t="inlineStr">
        <is>
          <t>Sub Stat</t>
        </is>
      </c>
      <c r="C47" t="inlineStr">
        <is>
          <t>Acceleration</t>
        </is>
      </c>
      <c r="D47" t="n">
        <v>25</v>
      </c>
      <c r="E47" t="n">
        <v>92</v>
      </c>
      <c r="F47" t="inlineStr">
        <is>
          <t>+25 Acceleration 92</t>
        </is>
      </c>
      <c r="G47" t="inlineStr">
        <is>
          <t>The Trailblazer - EA SPORTS FC 26</t>
        </is>
      </c>
      <c r="H47" t="inlineStr">
        <is>
          <t>Current</t>
        </is>
      </c>
      <c r="I47" t="inlineStr">
        <is>
          <t>Current Evolutions</t>
        </is>
      </c>
      <c r="J47" t="inlineStr">
        <is>
          <t>https://www.fut.gg/evolutions/1953-the-trailblazer/</t>
        </is>
      </c>
    </row>
    <row r="48">
      <c r="B48" t="inlineStr">
        <is>
          <t>Sub Stat</t>
        </is>
      </c>
      <c r="C48" t="inlineStr">
        <is>
          <t>Short Passing</t>
        </is>
      </c>
      <c r="D48" t="n">
        <v>25</v>
      </c>
      <c r="E48" t="n">
        <v>93</v>
      </c>
      <c r="F48" t="inlineStr">
        <is>
          <t>+25 Short Pass 93</t>
        </is>
      </c>
      <c r="G48" t="inlineStr">
        <is>
          <t>The Trailblazer - EA SPORTS FC 26</t>
        </is>
      </c>
      <c r="H48" t="inlineStr">
        <is>
          <t>Current</t>
        </is>
      </c>
      <c r="I48" t="inlineStr">
        <is>
          <t>Current Evolutions</t>
        </is>
      </c>
      <c r="J48" t="inlineStr">
        <is>
          <t>https://www.fut.gg/evolutions/1953-the-trailblazer/</t>
        </is>
      </c>
    </row>
    <row r="49">
      <c r="B49" t="inlineStr">
        <is>
          <t>Sub Stat</t>
        </is>
      </c>
      <c r="C49" t="inlineStr">
        <is>
          <t>Long Passing</t>
        </is>
      </c>
      <c r="D49" t="n">
        <v>25</v>
      </c>
      <c r="E49" t="n">
        <v>89</v>
      </c>
      <c r="F49" t="inlineStr">
        <is>
          <t>+25 Long Pass 89</t>
        </is>
      </c>
      <c r="G49" t="inlineStr">
        <is>
          <t>The Trailblazer - EA SPORTS FC 26</t>
        </is>
      </c>
      <c r="H49" t="inlineStr">
        <is>
          <t>Current</t>
        </is>
      </c>
      <c r="I49" t="inlineStr">
        <is>
          <t>Current Evolutions</t>
        </is>
      </c>
      <c r="J49" t="inlineStr">
        <is>
          <t>https://www.fut.gg/evolutions/1953-the-trailblazer/</t>
        </is>
      </c>
    </row>
    <row r="50">
      <c r="B50" t="inlineStr">
        <is>
          <t>Sub Stat</t>
        </is>
      </c>
      <c r="C50" t="inlineStr">
        <is>
          <t>Curve</t>
        </is>
      </c>
      <c r="D50" t="n">
        <v>15</v>
      </c>
      <c r="E50" t="n">
        <v>88</v>
      </c>
      <c r="F50" t="inlineStr">
        <is>
          <t>+15 Curve 88</t>
        </is>
      </c>
      <c r="G50" t="inlineStr">
        <is>
          <t>The Trailblazer - EA SPORTS FC 26</t>
        </is>
      </c>
      <c r="H50" t="inlineStr">
        <is>
          <t>Current</t>
        </is>
      </c>
      <c r="I50" t="inlineStr">
        <is>
          <t>Current Evolutions</t>
        </is>
      </c>
      <c r="J50" t="inlineStr">
        <is>
          <t>https://www.fut.gg/evolutions/1953-the-trailblazer/</t>
        </is>
      </c>
    </row>
    <row r="51">
      <c r="B51" t="inlineStr">
        <is>
          <t>Sub Stat</t>
        </is>
      </c>
      <c r="C51" t="inlineStr">
        <is>
          <t>Acceleration</t>
        </is>
      </c>
      <c r="D51" t="n">
        <v>3</v>
      </c>
      <c r="E51" t="n">
        <v>91</v>
      </c>
      <c r="F51" t="inlineStr">
        <is>
          <t>+3 Acceleration 91</t>
        </is>
      </c>
      <c r="G51" t="inlineStr">
        <is>
          <t>Fountain of Youth - EA SPORTS FC 26</t>
        </is>
      </c>
      <c r="H51" t="inlineStr">
        <is>
          <t>Current</t>
        </is>
      </c>
      <c r="I51" t="inlineStr">
        <is>
          <t>Current Evolutions</t>
        </is>
      </c>
      <c r="J51" t="inlineStr">
        <is>
          <t>https://www.fut.gg/evolutions/1951-fountain-of-youth/</t>
        </is>
      </c>
    </row>
    <row r="52">
      <c r="B52" t="inlineStr">
        <is>
          <t>Sub Stat</t>
        </is>
      </c>
      <c r="C52" t="inlineStr">
        <is>
          <t>Sprint Speed</t>
        </is>
      </c>
      <c r="D52" t="n">
        <v>3</v>
      </c>
      <c r="E52" t="n">
        <v>90</v>
      </c>
      <c r="F52" t="inlineStr">
        <is>
          <t>+3 Sprint Speed 90</t>
        </is>
      </c>
      <c r="G52" t="inlineStr">
        <is>
          <t>Fountain of Youth - EA SPORTS FC 26</t>
        </is>
      </c>
      <c r="H52" t="inlineStr">
        <is>
          <t>Current</t>
        </is>
      </c>
      <c r="I52" t="inlineStr">
        <is>
          <t>Current Evolutions</t>
        </is>
      </c>
      <c r="J52" t="inlineStr">
        <is>
          <t>https://www.fut.gg/evolutions/1951-fountain-of-youth/</t>
        </is>
      </c>
    </row>
    <row r="53">
      <c r="B53" t="inlineStr">
        <is>
          <t>Sub Stat</t>
        </is>
      </c>
      <c r="C53" t="inlineStr">
        <is>
          <t>Agility</t>
        </is>
      </c>
      <c r="D53" t="n">
        <v>5</v>
      </c>
      <c r="E53" t="n">
        <v>94</v>
      </c>
      <c r="F53" t="inlineStr">
        <is>
          <t>+5 Agility 94</t>
        </is>
      </c>
      <c r="G53" t="inlineStr">
        <is>
          <t>Fountain of Youth - EA SPORTS FC 26</t>
        </is>
      </c>
      <c r="H53" t="inlineStr">
        <is>
          <t>Current</t>
        </is>
      </c>
      <c r="I53" t="inlineStr">
        <is>
          <t>Current Evolutions</t>
        </is>
      </c>
      <c r="J53" t="inlineStr">
        <is>
          <t>https://www.fut.gg/evolutions/1951-fountain-of-youth/</t>
        </is>
      </c>
    </row>
    <row r="54">
      <c r="B54" t="inlineStr">
        <is>
          <t>Sub Stat</t>
        </is>
      </c>
      <c r="C54" t="inlineStr">
        <is>
          <t>Balance</t>
        </is>
      </c>
      <c r="D54" t="n">
        <v>5</v>
      </c>
      <c r="E54" t="n">
        <v>94</v>
      </c>
      <c r="F54" t="inlineStr">
        <is>
          <t>+5 Balance 94</t>
        </is>
      </c>
      <c r="G54" t="inlineStr">
        <is>
          <t>Fountain of Youth - EA SPORTS FC 26</t>
        </is>
      </c>
      <c r="H54" t="inlineStr">
        <is>
          <t>Current</t>
        </is>
      </c>
      <c r="I54" t="inlineStr">
        <is>
          <t>Current Evolutions</t>
        </is>
      </c>
      <c r="J54" t="inlineStr">
        <is>
          <t>https://www.fut.gg/evolutions/1951-fountain-of-youth/</t>
        </is>
      </c>
    </row>
    <row r="55">
      <c r="B55" t="inlineStr">
        <is>
          <t>Sub Stat</t>
        </is>
      </c>
      <c r="C55" t="inlineStr">
        <is>
          <t>Stamina</t>
        </is>
      </c>
      <c r="D55" t="n">
        <v>10</v>
      </c>
      <c r="E55" t="n">
        <v>95</v>
      </c>
      <c r="F55" t="inlineStr">
        <is>
          <t>+10 Stamina 95</t>
        </is>
      </c>
      <c r="G55" t="inlineStr">
        <is>
          <t>Fountain of Youth - EA SPORTS FC 26</t>
        </is>
      </c>
      <c r="H55" t="inlineStr">
        <is>
          <t>Current</t>
        </is>
      </c>
      <c r="I55" t="inlineStr">
        <is>
          <t>Current Evolutions</t>
        </is>
      </c>
      <c r="J55" t="inlineStr">
        <is>
          <t>https://www.fut.gg/evolutions/1951-fountain-of-youth/</t>
        </is>
      </c>
    </row>
    <row r="56">
      <c r="B56" t="inlineStr">
        <is>
          <t>Sub Stat</t>
        </is>
      </c>
      <c r="C56" t="inlineStr">
        <is>
          <t>Acceleration</t>
        </is>
      </c>
      <c r="D56" t="n">
        <v>3</v>
      </c>
      <c r="E56" t="n">
        <v>91</v>
      </c>
      <c r="F56" t="inlineStr">
        <is>
          <t>+3 Acceleration 91</t>
        </is>
      </c>
      <c r="G56" t="inlineStr">
        <is>
          <t>Fountain of Youth - EA SPORTS FC 26</t>
        </is>
      </c>
      <c r="H56" t="inlineStr">
        <is>
          <t>Current</t>
        </is>
      </c>
      <c r="I56" t="inlineStr">
        <is>
          <t>Current Evolutions</t>
        </is>
      </c>
      <c r="J56" t="inlineStr">
        <is>
          <t>https://www.fut.gg/evolutions/1951-fountain-of-youth/</t>
        </is>
      </c>
    </row>
    <row r="57">
      <c r="B57" t="inlineStr">
        <is>
          <t>Sub Stat</t>
        </is>
      </c>
      <c r="C57" t="inlineStr">
        <is>
          <t>Sprint Speed</t>
        </is>
      </c>
      <c r="D57" t="n">
        <v>3</v>
      </c>
      <c r="E57" t="n">
        <v>90</v>
      </c>
      <c r="F57" t="inlineStr">
        <is>
          <t>+3 Sprint Speed 90</t>
        </is>
      </c>
      <c r="G57" t="inlineStr">
        <is>
          <t>Fountain of Youth - EA SPORTS FC 26</t>
        </is>
      </c>
      <c r="H57" t="inlineStr">
        <is>
          <t>Current</t>
        </is>
      </c>
      <c r="I57" t="inlineStr">
        <is>
          <t>Current Evolutions</t>
        </is>
      </c>
      <c r="J57" t="inlineStr">
        <is>
          <t>https://www.fut.gg/evolutions/1951-fountain-of-youth/</t>
        </is>
      </c>
    </row>
    <row r="58">
      <c r="B58" t="inlineStr">
        <is>
          <t>Sub Stat</t>
        </is>
      </c>
      <c r="C58" t="inlineStr">
        <is>
          <t>Agility</t>
        </is>
      </c>
      <c r="D58" t="n">
        <v>5</v>
      </c>
      <c r="E58" t="n">
        <v>94</v>
      </c>
      <c r="F58" t="inlineStr">
        <is>
          <t>+5 Agility 94</t>
        </is>
      </c>
      <c r="G58" t="inlineStr">
        <is>
          <t>Fountain of Youth - EA SPORTS FC 26</t>
        </is>
      </c>
      <c r="H58" t="inlineStr">
        <is>
          <t>Current</t>
        </is>
      </c>
      <c r="I58" t="inlineStr">
        <is>
          <t>Current Evolutions</t>
        </is>
      </c>
      <c r="J58" t="inlineStr">
        <is>
          <t>https://www.fut.gg/evolutions/1951-fountain-of-youth/</t>
        </is>
      </c>
    </row>
    <row r="59">
      <c r="B59" t="inlineStr">
        <is>
          <t>Sub Stat</t>
        </is>
      </c>
      <c r="C59" t="inlineStr">
        <is>
          <t>Balance</t>
        </is>
      </c>
      <c r="D59" t="n">
        <v>5</v>
      </c>
      <c r="E59" t="n">
        <v>94</v>
      </c>
      <c r="F59" t="inlineStr">
        <is>
          <t>+5 Balance 94</t>
        </is>
      </c>
      <c r="G59" t="inlineStr">
        <is>
          <t>Fountain of Youth - EA SPORTS FC 26</t>
        </is>
      </c>
      <c r="H59" t="inlineStr">
        <is>
          <t>Current</t>
        </is>
      </c>
      <c r="I59" t="inlineStr">
        <is>
          <t>Current Evolutions</t>
        </is>
      </c>
      <c r="J59" t="inlineStr">
        <is>
          <t>https://www.fut.gg/evolutions/1951-fountain-of-youth/</t>
        </is>
      </c>
    </row>
    <row r="60">
      <c r="B60" t="inlineStr">
        <is>
          <t>Sub Stat</t>
        </is>
      </c>
      <c r="C60" t="inlineStr">
        <is>
          <t>Stamina</t>
        </is>
      </c>
      <c r="D60" t="n">
        <v>10</v>
      </c>
      <c r="E60" t="n">
        <v>95</v>
      </c>
      <c r="F60" t="inlineStr">
        <is>
          <t>+10 Stamina 95</t>
        </is>
      </c>
      <c r="G60" t="inlineStr">
        <is>
          <t>Fountain of Youth - EA SPORTS FC 26</t>
        </is>
      </c>
      <c r="H60" t="inlineStr">
        <is>
          <t>Current</t>
        </is>
      </c>
      <c r="I60" t="inlineStr">
        <is>
          <t>Current Evolutions</t>
        </is>
      </c>
      <c r="J60" t="inlineStr">
        <is>
          <t>https://www.fut.gg/evolutions/1951-fountain-of-youth/</t>
        </is>
      </c>
    </row>
    <row r="61">
      <c r="B61" t="inlineStr">
        <is>
          <t>Face Stat</t>
        </is>
      </c>
      <c r="C61" t="inlineStr">
        <is>
          <t>OVR</t>
        </is>
      </c>
      <c r="D61" t="n">
        <v>30</v>
      </c>
      <c r="E61" t="n">
        <v>91</v>
      </c>
      <c r="F61" t="inlineStr">
        <is>
          <t>+30 OVR 91</t>
        </is>
      </c>
      <c r="G61" t="inlineStr">
        <is>
          <t>The King of Highbury - EA SPORTS FC 26</t>
        </is>
      </c>
      <c r="H61" t="inlineStr">
        <is>
          <t>Current</t>
        </is>
      </c>
      <c r="I61" t="inlineStr">
        <is>
          <t>Current Evolutions</t>
        </is>
      </c>
      <c r="J61" t="inlineStr">
        <is>
          <t>https://www.fut.gg/evolutions/1939-the-king-of-highbury/</t>
        </is>
      </c>
    </row>
    <row r="62">
      <c r="B62" t="inlineStr">
        <is>
          <t>Skill</t>
        </is>
      </c>
      <c r="C62" t="inlineStr">
        <is>
          <t>SM</t>
        </is>
      </c>
      <c r="D62" t="n">
        <v>4</v>
      </c>
      <c r="F62" t="inlineStr">
        <is>
          <t>+4 SM</t>
        </is>
      </c>
      <c r="G62" t="inlineStr">
        <is>
          <t>The King of Highbury - EA SPORTS FC 26</t>
        </is>
      </c>
      <c r="H62" t="inlineStr">
        <is>
          <t>Current</t>
        </is>
      </c>
      <c r="I62" t="inlineStr">
        <is>
          <t>Current Evolutions</t>
        </is>
      </c>
      <c r="J62" t="inlineStr">
        <is>
          <t>https://www.fut.gg/evolutions/1939-the-king-of-highbury/</t>
        </is>
      </c>
    </row>
    <row r="63">
      <c r="B63" t="inlineStr">
        <is>
          <t>Skill</t>
        </is>
      </c>
      <c r="C63" t="inlineStr">
        <is>
          <t>WF</t>
        </is>
      </c>
      <c r="D63" t="n">
        <v>3</v>
      </c>
      <c r="E63" t="n">
        <v>4</v>
      </c>
      <c r="F63" t="inlineStr">
        <is>
          <t>+3 WF 4</t>
        </is>
      </c>
      <c r="G63" t="inlineStr">
        <is>
          <t>The King of Highbury - EA SPORTS FC 26</t>
        </is>
      </c>
      <c r="H63" t="inlineStr">
        <is>
          <t>Current</t>
        </is>
      </c>
      <c r="I63" t="inlineStr">
        <is>
          <t>Current Evolutions</t>
        </is>
      </c>
      <c r="J63" t="inlineStr">
        <is>
          <t>https://www.fut.gg/evolutions/1939-the-king-of-highbury/</t>
        </is>
      </c>
    </row>
    <row r="64">
      <c r="B64" t="inlineStr">
        <is>
          <t>Sub Stat</t>
        </is>
      </c>
      <c r="C64" t="inlineStr">
        <is>
          <t>Acceleration</t>
        </is>
      </c>
      <c r="D64" t="n">
        <v>30</v>
      </c>
      <c r="E64" t="n">
        <v>92</v>
      </c>
      <c r="F64" t="inlineStr">
        <is>
          <t>+30 Acceleration 92</t>
        </is>
      </c>
      <c r="G64" t="inlineStr">
        <is>
          <t>The King of Highbury - EA SPORTS FC 26</t>
        </is>
      </c>
      <c r="H64" t="inlineStr">
        <is>
          <t>Current</t>
        </is>
      </c>
      <c r="I64" t="inlineStr">
        <is>
          <t>Current Evolutions</t>
        </is>
      </c>
      <c r="J64" t="inlineStr">
        <is>
          <t>https://www.fut.gg/evolutions/1939-the-king-of-highbury/</t>
        </is>
      </c>
    </row>
    <row r="65">
      <c r="B65" t="inlineStr">
        <is>
          <t>Sub Stat</t>
        </is>
      </c>
      <c r="C65" t="inlineStr">
        <is>
          <t>Agility</t>
        </is>
      </c>
      <c r="D65" t="n">
        <v>30</v>
      </c>
      <c r="E65" t="n">
        <v>90</v>
      </c>
      <c r="F65" t="inlineStr">
        <is>
          <t>+30 Agility 90</t>
        </is>
      </c>
      <c r="G65" t="inlineStr">
        <is>
          <t>The King of Highbury - EA SPORTS FC 26</t>
        </is>
      </c>
      <c r="H65" t="inlineStr">
        <is>
          <t>Current</t>
        </is>
      </c>
      <c r="I65" t="inlineStr">
        <is>
          <t>Current Evolutions</t>
        </is>
      </c>
      <c r="J65" t="inlineStr">
        <is>
          <t>https://www.fut.gg/evolutions/1939-the-king-of-highbury/</t>
        </is>
      </c>
    </row>
    <row r="66">
      <c r="B66" t="inlineStr">
        <is>
          <t>Sub Stat</t>
        </is>
      </c>
      <c r="C66" t="inlineStr">
        <is>
          <t>Balance</t>
        </is>
      </c>
      <c r="D66" t="n">
        <v>30</v>
      </c>
      <c r="E66" t="n">
        <v>88</v>
      </c>
      <c r="F66" t="inlineStr">
        <is>
          <t>+30 Balance 88</t>
        </is>
      </c>
      <c r="G66" t="inlineStr">
        <is>
          <t>The King of Highbury - EA SPORTS FC 26</t>
        </is>
      </c>
      <c r="H66" t="inlineStr">
        <is>
          <t>Current</t>
        </is>
      </c>
      <c r="I66" t="inlineStr">
        <is>
          <t>Current Evolutions</t>
        </is>
      </c>
      <c r="J66" t="inlineStr">
        <is>
          <t>https://www.fut.gg/evolutions/1939-the-king-of-highbury/</t>
        </is>
      </c>
    </row>
    <row r="67">
      <c r="B67" t="inlineStr">
        <is>
          <t>Sub Stat</t>
        </is>
      </c>
      <c r="C67" t="inlineStr">
        <is>
          <t>Reactions</t>
        </is>
      </c>
      <c r="D67" t="n">
        <v>30</v>
      </c>
      <c r="E67" t="n">
        <v>93</v>
      </c>
      <c r="F67" t="inlineStr">
        <is>
          <t>+30 Reactions 93</t>
        </is>
      </c>
      <c r="G67" t="inlineStr">
        <is>
          <t>The King of Highbury - EA SPORTS FC 26</t>
        </is>
      </c>
      <c r="H67" t="inlineStr">
        <is>
          <t>Current</t>
        </is>
      </c>
      <c r="I67" t="inlineStr">
        <is>
          <t>Current Evolutions</t>
        </is>
      </c>
      <c r="J67" t="inlineStr">
        <is>
          <t>https://www.fut.gg/evolutions/1939-the-king-of-highbury/</t>
        </is>
      </c>
    </row>
    <row r="68">
      <c r="B68" t="inlineStr">
        <is>
          <t>Sub Stat</t>
        </is>
      </c>
      <c r="C68" t="inlineStr">
        <is>
          <t>Ball Control</t>
        </is>
      </c>
      <c r="D68" t="n">
        <v>30</v>
      </c>
      <c r="E68" t="n">
        <v>89</v>
      </c>
      <c r="F68" t="inlineStr">
        <is>
          <t>+30 Ball Control 89</t>
        </is>
      </c>
      <c r="G68" t="inlineStr">
        <is>
          <t>The King of Highbury - EA SPORTS FC 26</t>
        </is>
      </c>
      <c r="H68" t="inlineStr">
        <is>
          <t>Current</t>
        </is>
      </c>
      <c r="I68" t="inlineStr">
        <is>
          <t>Current Evolutions</t>
        </is>
      </c>
      <c r="J68" t="inlineStr">
        <is>
          <t>https://www.fut.gg/evolutions/1939-the-king-of-highbury/</t>
        </is>
      </c>
    </row>
    <row r="69">
      <c r="B69" t="inlineStr">
        <is>
          <t>Sub Stat</t>
        </is>
      </c>
      <c r="C69" t="inlineStr">
        <is>
          <t>Sprint Speed</t>
        </is>
      </c>
      <c r="D69" t="n">
        <v>30</v>
      </c>
      <c r="E69" t="n">
        <v>92</v>
      </c>
      <c r="F69" t="inlineStr">
        <is>
          <t>+30 Sprint Speed 92</t>
        </is>
      </c>
      <c r="G69" t="inlineStr">
        <is>
          <t>The King of Highbury - EA SPORTS FC 26</t>
        </is>
      </c>
      <c r="H69" t="inlineStr">
        <is>
          <t>Current</t>
        </is>
      </c>
      <c r="I69" t="inlineStr">
        <is>
          <t>Current Evolutions</t>
        </is>
      </c>
      <c r="J69" t="inlineStr">
        <is>
          <t>https://www.fut.gg/evolutions/1939-the-king-of-highbury/</t>
        </is>
      </c>
    </row>
    <row r="70">
      <c r="B70" t="inlineStr">
        <is>
          <t>Sub Stat</t>
        </is>
      </c>
      <c r="C70" t="inlineStr">
        <is>
          <t>Positioning</t>
        </is>
      </c>
      <c r="D70" t="n">
        <v>30</v>
      </c>
      <c r="E70" t="n">
        <v>92</v>
      </c>
      <c r="F70" t="inlineStr">
        <is>
          <t>+30 Positioning 92</t>
        </is>
      </c>
      <c r="G70" t="inlineStr">
        <is>
          <t>The King of Highbury - EA SPORTS FC 26</t>
        </is>
      </c>
      <c r="H70" t="inlineStr">
        <is>
          <t>Current</t>
        </is>
      </c>
      <c r="I70" t="inlineStr">
        <is>
          <t>Current Evolutions</t>
        </is>
      </c>
      <c r="J70" t="inlineStr">
        <is>
          <t>https://www.fut.gg/evolutions/1939-the-king-of-highbury/</t>
        </is>
      </c>
    </row>
    <row r="71">
      <c r="B71" t="inlineStr">
        <is>
          <t>Sub Stat</t>
        </is>
      </c>
      <c r="C71" t="inlineStr">
        <is>
          <t>Finishing</t>
        </is>
      </c>
      <c r="D71" t="n">
        <v>30</v>
      </c>
      <c r="E71" t="n">
        <v>94</v>
      </c>
      <c r="F71" t="inlineStr">
        <is>
          <t>+30 Finishing 94</t>
        </is>
      </c>
      <c r="G71" t="inlineStr">
        <is>
          <t>The King of Highbury - EA SPORTS FC 26</t>
        </is>
      </c>
      <c r="H71" t="inlineStr">
        <is>
          <t>Current</t>
        </is>
      </c>
      <c r="I71" t="inlineStr">
        <is>
          <t>Current Evolutions</t>
        </is>
      </c>
      <c r="J71" t="inlineStr">
        <is>
          <t>https://www.fut.gg/evolutions/1939-the-king-of-highbury/</t>
        </is>
      </c>
    </row>
    <row r="72">
      <c r="B72" t="inlineStr">
        <is>
          <t>Sub Stat</t>
        </is>
      </c>
      <c r="C72" t="inlineStr">
        <is>
          <t>Shot Power</t>
        </is>
      </c>
      <c r="D72" t="n">
        <v>30</v>
      </c>
      <c r="E72" t="n">
        <v>91</v>
      </c>
      <c r="F72" t="inlineStr">
        <is>
          <t>+30 Shot Power 91</t>
        </is>
      </c>
      <c r="G72" t="inlineStr">
        <is>
          <t>The King of Highbury - EA SPORTS FC 26</t>
        </is>
      </c>
      <c r="H72" t="inlineStr">
        <is>
          <t>Current</t>
        </is>
      </c>
      <c r="I72" t="inlineStr">
        <is>
          <t>Current Evolutions</t>
        </is>
      </c>
      <c r="J72" t="inlineStr">
        <is>
          <t>https://www.fut.gg/evolutions/1939-the-king-of-highbury/</t>
        </is>
      </c>
    </row>
    <row r="73">
      <c r="B73" t="inlineStr">
        <is>
          <t>Sub Stat</t>
        </is>
      </c>
      <c r="C73" t="inlineStr">
        <is>
          <t>Long Shots</t>
        </is>
      </c>
      <c r="D73" t="n">
        <v>30</v>
      </c>
      <c r="E73" t="n">
        <v>91</v>
      </c>
      <c r="F73" t="inlineStr">
        <is>
          <t>+30 Long Shots 91</t>
        </is>
      </c>
      <c r="G73" t="inlineStr">
        <is>
          <t>The King of Highbury - EA SPORTS FC 26</t>
        </is>
      </c>
      <c r="H73" t="inlineStr">
        <is>
          <t>Current</t>
        </is>
      </c>
      <c r="I73" t="inlineStr">
        <is>
          <t>Current Evolutions</t>
        </is>
      </c>
      <c r="J73" t="inlineStr">
        <is>
          <t>https://www.fut.gg/evolutions/1939-the-king-of-highbury/</t>
        </is>
      </c>
    </row>
    <row r="74">
      <c r="B74" t="inlineStr">
        <is>
          <t>Sub Stat</t>
        </is>
      </c>
      <c r="C74" t="inlineStr">
        <is>
          <t>Volleys</t>
        </is>
      </c>
      <c r="D74" t="n">
        <v>30</v>
      </c>
      <c r="E74" t="n">
        <v>89</v>
      </c>
      <c r="F74" t="inlineStr">
        <is>
          <t>+30 Volleys 89</t>
        </is>
      </c>
      <c r="G74" t="inlineStr">
        <is>
          <t>The King of Highbury - EA SPORTS FC 26</t>
        </is>
      </c>
      <c r="H74" t="inlineStr">
        <is>
          <t>Current</t>
        </is>
      </c>
      <c r="I74" t="inlineStr">
        <is>
          <t>Current Evolutions</t>
        </is>
      </c>
      <c r="J74" t="inlineStr">
        <is>
          <t>https://www.fut.gg/evolutions/1939-the-king-of-highbury/</t>
        </is>
      </c>
    </row>
    <row r="75">
      <c r="B75" t="inlineStr">
        <is>
          <t>Sub Stat</t>
        </is>
      </c>
      <c r="C75" t="inlineStr">
        <is>
          <t>Penalties</t>
        </is>
      </c>
      <c r="D75" t="n">
        <v>30</v>
      </c>
      <c r="E75" t="n">
        <v>85</v>
      </c>
      <c r="F75" t="inlineStr">
        <is>
          <t>+30 Penalties 85</t>
        </is>
      </c>
      <c r="G75" t="inlineStr">
        <is>
          <t>The King of Highbury - EA SPORTS FC 26</t>
        </is>
      </c>
      <c r="H75" t="inlineStr">
        <is>
          <t>Current</t>
        </is>
      </c>
      <c r="I75" t="inlineStr">
        <is>
          <t>Current Evolutions</t>
        </is>
      </c>
      <c r="J75" t="inlineStr">
        <is>
          <t>https://www.fut.gg/evolutions/1939-the-king-of-highbury/</t>
        </is>
      </c>
    </row>
    <row r="76">
      <c r="B76" t="inlineStr">
        <is>
          <t>Sub Stat</t>
        </is>
      </c>
      <c r="C76" t="inlineStr">
        <is>
          <t>Vision</t>
        </is>
      </c>
      <c r="D76" t="n">
        <v>30</v>
      </c>
      <c r="E76" t="n">
        <v>85</v>
      </c>
      <c r="F76" t="inlineStr">
        <is>
          <t>+30 Vision 85</t>
        </is>
      </c>
      <c r="G76" t="inlineStr">
        <is>
          <t>The King of Highbury - EA SPORTS FC 26</t>
        </is>
      </c>
      <c r="H76" t="inlineStr">
        <is>
          <t>Current</t>
        </is>
      </c>
      <c r="I76" t="inlineStr">
        <is>
          <t>Current Evolutions</t>
        </is>
      </c>
      <c r="J76" t="inlineStr">
        <is>
          <t>https://www.fut.gg/evolutions/1939-the-king-of-highbury/</t>
        </is>
      </c>
    </row>
    <row r="77">
      <c r="B77" t="inlineStr">
        <is>
          <t>Sub Stat</t>
        </is>
      </c>
      <c r="C77" t="inlineStr">
        <is>
          <t>Crossing</t>
        </is>
      </c>
      <c r="D77" t="n">
        <v>30</v>
      </c>
      <c r="E77" t="n">
        <v>85</v>
      </c>
      <c r="F77" t="inlineStr">
        <is>
          <t>+30 Crossing 85</t>
        </is>
      </c>
      <c r="G77" t="inlineStr">
        <is>
          <t>The King of Highbury - EA SPORTS FC 26</t>
        </is>
      </c>
      <c r="H77" t="inlineStr">
        <is>
          <t>Current</t>
        </is>
      </c>
      <c r="I77" t="inlineStr">
        <is>
          <t>Current Evolutions</t>
        </is>
      </c>
      <c r="J77" t="inlineStr">
        <is>
          <t>https://www.fut.gg/evolutions/1939-the-king-of-highbury/</t>
        </is>
      </c>
    </row>
    <row r="78">
      <c r="B78" t="inlineStr">
        <is>
          <t>Sub Stat</t>
        </is>
      </c>
      <c r="C78" t="inlineStr">
        <is>
          <t>Fk Accuracy</t>
        </is>
      </c>
      <c r="D78" t="n">
        <v>30</v>
      </c>
      <c r="E78" t="n">
        <v>90</v>
      </c>
      <c r="F78" t="inlineStr">
        <is>
          <t>+30 Fk Accuracy 90</t>
        </is>
      </c>
      <c r="G78" t="inlineStr">
        <is>
          <t>The King of Highbury - EA SPORTS FC 26</t>
        </is>
      </c>
      <c r="H78" t="inlineStr">
        <is>
          <t>Current</t>
        </is>
      </c>
      <c r="I78" t="inlineStr">
        <is>
          <t>Current Evolutions</t>
        </is>
      </c>
      <c r="J78" t="inlineStr">
        <is>
          <t>https://www.fut.gg/evolutions/1939-the-king-of-highbury/</t>
        </is>
      </c>
    </row>
    <row r="79">
      <c r="B79" t="inlineStr">
        <is>
          <t>Sub Stat</t>
        </is>
      </c>
      <c r="C79" t="inlineStr">
        <is>
          <t>Short Passing</t>
        </is>
      </c>
      <c r="D79" t="n">
        <v>30</v>
      </c>
      <c r="E79" t="n">
        <v>88</v>
      </c>
      <c r="F79" t="inlineStr">
        <is>
          <t>+30 Short Pass 88</t>
        </is>
      </c>
      <c r="G79" t="inlineStr">
        <is>
          <t>The King of Highbury - EA SPORTS FC 26</t>
        </is>
      </c>
      <c r="H79" t="inlineStr">
        <is>
          <t>Current</t>
        </is>
      </c>
      <c r="I79" t="inlineStr">
        <is>
          <t>Current Evolutions</t>
        </is>
      </c>
      <c r="J79" t="inlineStr">
        <is>
          <t>https://www.fut.gg/evolutions/1939-the-king-of-highbury/</t>
        </is>
      </c>
    </row>
    <row r="80">
      <c r="B80" t="inlineStr">
        <is>
          <t>Sub Stat</t>
        </is>
      </c>
      <c r="C80" t="inlineStr">
        <is>
          <t>Long Passing</t>
        </is>
      </c>
      <c r="D80" t="n">
        <v>30</v>
      </c>
      <c r="E80" t="n">
        <v>85</v>
      </c>
      <c r="F80" t="inlineStr">
        <is>
          <t>+30 Long Pass 85</t>
        </is>
      </c>
      <c r="G80" t="inlineStr">
        <is>
          <t>The King of Highbury - EA SPORTS FC 26</t>
        </is>
      </c>
      <c r="H80" t="inlineStr">
        <is>
          <t>Current</t>
        </is>
      </c>
      <c r="I80" t="inlineStr">
        <is>
          <t>Current Evolutions</t>
        </is>
      </c>
      <c r="J80" t="inlineStr">
        <is>
          <t>https://www.fut.gg/evolutions/1939-the-king-of-highbury/</t>
        </is>
      </c>
    </row>
    <row r="81">
      <c r="B81" t="inlineStr">
        <is>
          <t>Sub Stat</t>
        </is>
      </c>
      <c r="C81" t="inlineStr">
        <is>
          <t>Curve</t>
        </is>
      </c>
      <c r="D81" t="n">
        <v>30</v>
      </c>
      <c r="E81" t="n">
        <v>95</v>
      </c>
      <c r="F81" t="inlineStr">
        <is>
          <t>+30 Curve 95</t>
        </is>
      </c>
      <c r="G81" t="inlineStr">
        <is>
          <t>The King of Highbury - EA SPORTS FC 26</t>
        </is>
      </c>
      <c r="H81" t="inlineStr">
        <is>
          <t>Current</t>
        </is>
      </c>
      <c r="I81" t="inlineStr">
        <is>
          <t>Current Evolutions</t>
        </is>
      </c>
      <c r="J81" t="inlineStr">
        <is>
          <t>https://www.fut.gg/evolutions/1939-the-king-of-highbury/</t>
        </is>
      </c>
    </row>
    <row r="82">
      <c r="B82" t="inlineStr">
        <is>
          <t>Sub Stat</t>
        </is>
      </c>
      <c r="C82" t="inlineStr">
        <is>
          <t>Dribbling</t>
        </is>
      </c>
      <c r="D82" t="n">
        <v>30</v>
      </c>
      <c r="E82" t="n">
        <v>90</v>
      </c>
      <c r="F82" t="inlineStr">
        <is>
          <t>+30 Dribbling 90</t>
        </is>
      </c>
      <c r="G82" t="inlineStr">
        <is>
          <t>The King of Highbury - EA SPORTS FC 26</t>
        </is>
      </c>
      <c r="H82" t="inlineStr">
        <is>
          <t>Current</t>
        </is>
      </c>
      <c r="I82" t="inlineStr">
        <is>
          <t>Current Evolutions</t>
        </is>
      </c>
      <c r="J82" t="inlineStr">
        <is>
          <t>https://www.fut.gg/evolutions/1939-the-king-of-highbury/</t>
        </is>
      </c>
    </row>
    <row r="83">
      <c r="B83" t="inlineStr">
        <is>
          <t>Sub Stat</t>
        </is>
      </c>
      <c r="C83" t="inlineStr">
        <is>
          <t>Composure</t>
        </is>
      </c>
      <c r="D83" t="n">
        <v>30</v>
      </c>
      <c r="E83" t="n">
        <v>92</v>
      </c>
      <c r="F83" t="inlineStr">
        <is>
          <t>+30 Composure 92</t>
        </is>
      </c>
      <c r="G83" t="inlineStr">
        <is>
          <t>The King of Highbury - EA SPORTS FC 26</t>
        </is>
      </c>
      <c r="H83" t="inlineStr">
        <is>
          <t>Current</t>
        </is>
      </c>
      <c r="I83" t="inlineStr">
        <is>
          <t>Current Evolutions</t>
        </is>
      </c>
      <c r="J83" t="inlineStr">
        <is>
          <t>https://www.fut.gg/evolutions/1939-the-king-of-highbury/</t>
        </is>
      </c>
    </row>
    <row r="84">
      <c r="B84" t="inlineStr">
        <is>
          <t>Sub Stat</t>
        </is>
      </c>
      <c r="C84" t="inlineStr">
        <is>
          <t>Heading Accuracy</t>
        </is>
      </c>
      <c r="D84" t="n">
        <v>25</v>
      </c>
      <c r="E84" t="n">
        <v>87</v>
      </c>
      <c r="F84" t="inlineStr">
        <is>
          <t>+25 Heading Acc. 87</t>
        </is>
      </c>
      <c r="G84" t="inlineStr">
        <is>
          <t>The King of Highbury - EA SPORTS FC 26</t>
        </is>
      </c>
      <c r="H84" t="inlineStr">
        <is>
          <t>Current</t>
        </is>
      </c>
      <c r="I84" t="inlineStr">
        <is>
          <t>Current Evolutions</t>
        </is>
      </c>
      <c r="J84" t="inlineStr">
        <is>
          <t>https://www.fut.gg/evolutions/1939-the-king-of-highbury/</t>
        </is>
      </c>
    </row>
    <row r="85">
      <c r="B85" t="inlineStr">
        <is>
          <t>Face Stat</t>
        </is>
      </c>
      <c r="C85" t="inlineStr">
        <is>
          <t>OVR</t>
        </is>
      </c>
      <c r="D85" t="n">
        <v>30</v>
      </c>
      <c r="E85" t="n">
        <v>91</v>
      </c>
      <c r="F85" t="inlineStr">
        <is>
          <t>+30 OVR 91</t>
        </is>
      </c>
      <c r="G85" t="inlineStr">
        <is>
          <t>The King of Highbury - EA SPORTS FC 26</t>
        </is>
      </c>
      <c r="H85" t="inlineStr">
        <is>
          <t>Current</t>
        </is>
      </c>
      <c r="I85" t="inlineStr">
        <is>
          <t>Current Evolutions</t>
        </is>
      </c>
      <c r="J85" t="inlineStr">
        <is>
          <t>https://www.fut.gg/evolutions/1939-the-king-of-highbury/</t>
        </is>
      </c>
    </row>
    <row r="86">
      <c r="B86" t="inlineStr">
        <is>
          <t>Sub Stat</t>
        </is>
      </c>
      <c r="C86" t="inlineStr">
        <is>
          <t>Acceleration</t>
        </is>
      </c>
      <c r="D86" t="n">
        <v>30</v>
      </c>
      <c r="E86" t="n">
        <v>92</v>
      </c>
      <c r="F86" t="inlineStr">
        <is>
          <t>+30 Acceleration 92</t>
        </is>
      </c>
      <c r="G86" t="inlineStr">
        <is>
          <t>The King of Highbury - EA SPORTS FC 26</t>
        </is>
      </c>
      <c r="H86" t="inlineStr">
        <is>
          <t>Current</t>
        </is>
      </c>
      <c r="I86" t="inlineStr">
        <is>
          <t>Current Evolutions</t>
        </is>
      </c>
      <c r="J86" t="inlineStr">
        <is>
          <t>https://www.fut.gg/evolutions/1939-the-king-of-highbury/</t>
        </is>
      </c>
    </row>
    <row r="87">
      <c r="B87" t="inlineStr">
        <is>
          <t>Sub Stat</t>
        </is>
      </c>
      <c r="C87" t="inlineStr">
        <is>
          <t>Agility</t>
        </is>
      </c>
      <c r="D87" t="n">
        <v>30</v>
      </c>
      <c r="E87" t="n">
        <v>90</v>
      </c>
      <c r="F87" t="inlineStr">
        <is>
          <t>+30 Agility 90</t>
        </is>
      </c>
      <c r="G87" t="inlineStr">
        <is>
          <t>The King of Highbury - EA SPORTS FC 26</t>
        </is>
      </c>
      <c r="H87" t="inlineStr">
        <is>
          <t>Current</t>
        </is>
      </c>
      <c r="I87" t="inlineStr">
        <is>
          <t>Current Evolutions</t>
        </is>
      </c>
      <c r="J87" t="inlineStr">
        <is>
          <t>https://www.fut.gg/evolutions/1939-the-king-of-highbury/</t>
        </is>
      </c>
    </row>
    <row r="88">
      <c r="B88" t="inlineStr">
        <is>
          <t>Sub Stat</t>
        </is>
      </c>
      <c r="C88" t="inlineStr">
        <is>
          <t>Balance</t>
        </is>
      </c>
      <c r="D88" t="n">
        <v>30</v>
      </c>
      <c r="E88" t="n">
        <v>88</v>
      </c>
      <c r="F88" t="inlineStr">
        <is>
          <t>+30 Balance 88</t>
        </is>
      </c>
      <c r="G88" t="inlineStr">
        <is>
          <t>The King of Highbury - EA SPORTS FC 26</t>
        </is>
      </c>
      <c r="H88" t="inlineStr">
        <is>
          <t>Current</t>
        </is>
      </c>
      <c r="I88" t="inlineStr">
        <is>
          <t>Current Evolutions</t>
        </is>
      </c>
      <c r="J88" t="inlineStr">
        <is>
          <t>https://www.fut.gg/evolutions/1939-the-king-of-highbury/</t>
        </is>
      </c>
    </row>
    <row r="89">
      <c r="B89" t="inlineStr">
        <is>
          <t>Sub Stat</t>
        </is>
      </c>
      <c r="C89" t="inlineStr">
        <is>
          <t>Reactions</t>
        </is>
      </c>
      <c r="D89" t="n">
        <v>30</v>
      </c>
      <c r="E89" t="n">
        <v>93</v>
      </c>
      <c r="F89" t="inlineStr">
        <is>
          <t>+30 Reactions 93</t>
        </is>
      </c>
      <c r="G89" t="inlineStr">
        <is>
          <t>The King of Highbury - EA SPORTS FC 26</t>
        </is>
      </c>
      <c r="H89" t="inlineStr">
        <is>
          <t>Current</t>
        </is>
      </c>
      <c r="I89" t="inlineStr">
        <is>
          <t>Current Evolutions</t>
        </is>
      </c>
      <c r="J89" t="inlineStr">
        <is>
          <t>https://www.fut.gg/evolutions/1939-the-king-of-highbury/</t>
        </is>
      </c>
    </row>
    <row r="90">
      <c r="B90" t="inlineStr">
        <is>
          <t>Sub Stat</t>
        </is>
      </c>
      <c r="C90" t="inlineStr">
        <is>
          <t>Ball Control</t>
        </is>
      </c>
      <c r="D90" t="n">
        <v>30</v>
      </c>
      <c r="E90" t="n">
        <v>89</v>
      </c>
      <c r="F90" t="inlineStr">
        <is>
          <t>+30 Ball Control 89</t>
        </is>
      </c>
      <c r="G90" t="inlineStr">
        <is>
          <t>The King of Highbury - EA SPORTS FC 26</t>
        </is>
      </c>
      <c r="H90" t="inlineStr">
        <is>
          <t>Current</t>
        </is>
      </c>
      <c r="I90" t="inlineStr">
        <is>
          <t>Current Evolutions</t>
        </is>
      </c>
      <c r="J90" t="inlineStr">
        <is>
          <t>https://www.fut.gg/evolutions/1939-the-king-of-highbury/</t>
        </is>
      </c>
    </row>
    <row r="91">
      <c r="B91" t="inlineStr">
        <is>
          <t>Sub Stat</t>
        </is>
      </c>
      <c r="C91" t="inlineStr">
        <is>
          <t>Shot Power</t>
        </is>
      </c>
      <c r="D91" t="n">
        <v>4</v>
      </c>
      <c r="E91" t="n">
        <v>93</v>
      </c>
      <c r="F91" t="inlineStr">
        <is>
          <t>+4 Shot Power 93</t>
        </is>
      </c>
      <c r="G91" t="inlineStr">
        <is>
          <t>Power Up - EA SPORTS FC 26</t>
        </is>
      </c>
      <c r="H91" t="inlineStr">
        <is>
          <t>Current</t>
        </is>
      </c>
      <c r="I91" t="inlineStr">
        <is>
          <t>Current Evolutions</t>
        </is>
      </c>
      <c r="J91" t="inlineStr">
        <is>
          <t>https://www.fut.gg/evolutions/1938-power-up/</t>
        </is>
      </c>
    </row>
    <row r="92">
      <c r="B92" t="inlineStr">
        <is>
          <t>Sub Stat</t>
        </is>
      </c>
      <c r="C92" t="inlineStr">
        <is>
          <t>Jumping</t>
        </is>
      </c>
      <c r="D92" t="n">
        <v>4</v>
      </c>
      <c r="E92" t="n">
        <v>93</v>
      </c>
      <c r="F92" t="inlineStr">
        <is>
          <t>+4 Jumping 93</t>
        </is>
      </c>
      <c r="G92" t="inlineStr">
        <is>
          <t>Power Up - EA SPORTS FC 26</t>
        </is>
      </c>
      <c r="H92" t="inlineStr">
        <is>
          <t>Current</t>
        </is>
      </c>
      <c r="I92" t="inlineStr">
        <is>
          <t>Current Evolutions</t>
        </is>
      </c>
      <c r="J92" t="inlineStr">
        <is>
          <t>https://www.fut.gg/evolutions/1938-power-up/</t>
        </is>
      </c>
    </row>
    <row r="93">
      <c r="B93" t="inlineStr">
        <is>
          <t>Sub Stat</t>
        </is>
      </c>
      <c r="C93" t="inlineStr">
        <is>
          <t>Aggression</t>
        </is>
      </c>
      <c r="D93" t="n">
        <v>3</v>
      </c>
      <c r="E93" t="n">
        <v>91</v>
      </c>
      <c r="F93" t="inlineStr">
        <is>
          <t>+3 Aggression 91</t>
        </is>
      </c>
      <c r="G93" t="inlineStr">
        <is>
          <t>Power Up - EA SPORTS FC 26</t>
        </is>
      </c>
      <c r="H93" t="inlineStr">
        <is>
          <t>Current</t>
        </is>
      </c>
      <c r="I93" t="inlineStr">
        <is>
          <t>Current Evolutions</t>
        </is>
      </c>
      <c r="J93" t="inlineStr">
        <is>
          <t>https://www.fut.gg/evolutions/1938-power-up/</t>
        </is>
      </c>
    </row>
    <row r="94">
      <c r="B94" t="inlineStr">
        <is>
          <t>Sub Stat</t>
        </is>
      </c>
      <c r="C94" t="inlineStr">
        <is>
          <t>Heading Accuracy</t>
        </is>
      </c>
      <c r="D94" t="n">
        <v>4</v>
      </c>
      <c r="E94" t="n">
        <v>93</v>
      </c>
      <c r="F94" t="inlineStr">
        <is>
          <t>+4 Heading Acc. 93</t>
        </is>
      </c>
      <c r="G94" t="inlineStr">
        <is>
          <t>Power Up - EA SPORTS FC 26</t>
        </is>
      </c>
      <c r="H94" t="inlineStr">
        <is>
          <t>Current</t>
        </is>
      </c>
      <c r="I94" t="inlineStr">
        <is>
          <t>Current Evolutions</t>
        </is>
      </c>
      <c r="J94" t="inlineStr">
        <is>
          <t>https://www.fut.gg/evolutions/1938-power-up/</t>
        </is>
      </c>
    </row>
    <row r="95">
      <c r="B95" t="inlineStr">
        <is>
          <t>Sub Stat</t>
        </is>
      </c>
      <c r="C95" t="inlineStr">
        <is>
          <t>Stamina</t>
        </is>
      </c>
      <c r="D95" t="n">
        <v>3</v>
      </c>
      <c r="E95" t="n">
        <v>91</v>
      </c>
      <c r="F95" t="inlineStr">
        <is>
          <t>+3 Stamina 91</t>
        </is>
      </c>
      <c r="G95" t="inlineStr">
        <is>
          <t>Power Up - EA SPORTS FC 26</t>
        </is>
      </c>
      <c r="H95" t="inlineStr">
        <is>
          <t>Current</t>
        </is>
      </c>
      <c r="I95" t="inlineStr">
        <is>
          <t>Current Evolutions</t>
        </is>
      </c>
      <c r="J95" t="inlineStr">
        <is>
          <t>https://www.fut.gg/evolutions/1938-power-up/</t>
        </is>
      </c>
    </row>
    <row r="96">
      <c r="B96" t="inlineStr">
        <is>
          <t>Sub Stat</t>
        </is>
      </c>
      <c r="C96" t="inlineStr">
        <is>
          <t>Strength</t>
        </is>
      </c>
      <c r="D96" t="n">
        <v>4</v>
      </c>
      <c r="E96" t="n">
        <v>91</v>
      </c>
      <c r="F96" t="inlineStr">
        <is>
          <t>+4 Strength 91</t>
        </is>
      </c>
      <c r="G96" t="inlineStr">
        <is>
          <t>Power Up - EA SPORTS FC 26</t>
        </is>
      </c>
      <c r="H96" t="inlineStr">
        <is>
          <t>Current</t>
        </is>
      </c>
      <c r="I96" t="inlineStr">
        <is>
          <t>Current Evolutions</t>
        </is>
      </c>
      <c r="J96" t="inlineStr">
        <is>
          <t>https://www.fut.gg/evolutions/1938-power-up/</t>
        </is>
      </c>
    </row>
    <row r="97">
      <c r="B97" t="inlineStr">
        <is>
          <t>Sub Stat</t>
        </is>
      </c>
      <c r="C97" t="inlineStr">
        <is>
          <t>Shot Power</t>
        </is>
      </c>
      <c r="D97" t="n">
        <v>4</v>
      </c>
      <c r="E97" t="n">
        <v>93</v>
      </c>
      <c r="F97" t="inlineStr">
        <is>
          <t>+4 Shot Power 93</t>
        </is>
      </c>
      <c r="G97" t="inlineStr">
        <is>
          <t>Power Up - EA SPORTS FC 26</t>
        </is>
      </c>
      <c r="H97" t="inlineStr">
        <is>
          <t>Current</t>
        </is>
      </c>
      <c r="I97" t="inlineStr">
        <is>
          <t>Current Evolutions</t>
        </is>
      </c>
      <c r="J97" t="inlineStr">
        <is>
          <t>https://www.fut.gg/evolutions/1938-power-up/</t>
        </is>
      </c>
    </row>
    <row r="98">
      <c r="B98" t="inlineStr">
        <is>
          <t>Sub Stat</t>
        </is>
      </c>
      <c r="C98" t="inlineStr">
        <is>
          <t>Jumping</t>
        </is>
      </c>
      <c r="D98" t="n">
        <v>4</v>
      </c>
      <c r="E98" t="n">
        <v>93</v>
      </c>
      <c r="F98" t="inlineStr">
        <is>
          <t>+4 Jumping 93</t>
        </is>
      </c>
      <c r="G98" t="inlineStr">
        <is>
          <t>Power Up - EA SPORTS FC 26</t>
        </is>
      </c>
      <c r="H98" t="inlineStr">
        <is>
          <t>Current</t>
        </is>
      </c>
      <c r="I98" t="inlineStr">
        <is>
          <t>Current Evolutions</t>
        </is>
      </c>
      <c r="J98" t="inlineStr">
        <is>
          <t>https://www.fut.gg/evolutions/1938-power-up/</t>
        </is>
      </c>
    </row>
    <row r="99">
      <c r="B99" t="inlineStr">
        <is>
          <t>Sub Stat</t>
        </is>
      </c>
      <c r="C99" t="inlineStr">
        <is>
          <t>Aggression</t>
        </is>
      </c>
      <c r="D99" t="n">
        <v>3</v>
      </c>
      <c r="E99" t="n">
        <v>91</v>
      </c>
      <c r="F99" t="inlineStr">
        <is>
          <t>+3 Aggression 91</t>
        </is>
      </c>
      <c r="G99" t="inlineStr">
        <is>
          <t>Power Up - EA SPORTS FC 26</t>
        </is>
      </c>
      <c r="H99" t="inlineStr">
        <is>
          <t>Current</t>
        </is>
      </c>
      <c r="I99" t="inlineStr">
        <is>
          <t>Current Evolutions</t>
        </is>
      </c>
      <c r="J99" t="inlineStr">
        <is>
          <t>https://www.fut.gg/evolutions/1938-power-up/</t>
        </is>
      </c>
    </row>
    <row r="100">
      <c r="B100" t="inlineStr">
        <is>
          <t>Sub Stat</t>
        </is>
      </c>
      <c r="C100" t="inlineStr">
        <is>
          <t>Positioning</t>
        </is>
      </c>
      <c r="D100" t="n">
        <v>3</v>
      </c>
      <c r="E100" t="n">
        <v>90</v>
      </c>
      <c r="F100" t="inlineStr">
        <is>
          <t>+3 Positioning 90</t>
        </is>
      </c>
      <c r="G100" t="inlineStr">
        <is>
          <t>Back on Track - EA SPORTS FC 26</t>
        </is>
      </c>
      <c r="H100" t="inlineStr">
        <is>
          <t>Current</t>
        </is>
      </c>
      <c r="I100" t="inlineStr">
        <is>
          <t>Current Evolutions</t>
        </is>
      </c>
      <c r="J100" t="inlineStr">
        <is>
          <t>https://www.fut.gg/evolutions/1937-back-on-track/</t>
        </is>
      </c>
    </row>
    <row r="101">
      <c r="B101" t="inlineStr">
        <is>
          <t>Sub Stat</t>
        </is>
      </c>
      <c r="C101" t="inlineStr">
        <is>
          <t>Curve</t>
        </is>
      </c>
      <c r="D101" t="n">
        <v>4</v>
      </c>
      <c r="E101" t="n">
        <v>90</v>
      </c>
      <c r="F101" t="inlineStr">
        <is>
          <t>+4 Curve 90</t>
        </is>
      </c>
      <c r="G101" t="inlineStr">
        <is>
          <t>Back on Track - EA SPORTS FC 26</t>
        </is>
      </c>
      <c r="H101" t="inlineStr">
        <is>
          <t>Current</t>
        </is>
      </c>
      <c r="I101" t="inlineStr">
        <is>
          <t>Current Evolutions</t>
        </is>
      </c>
      <c r="J101" t="inlineStr">
        <is>
          <t>https://www.fut.gg/evolutions/1937-back-on-track/</t>
        </is>
      </c>
    </row>
    <row r="102">
      <c r="B102" t="inlineStr">
        <is>
          <t>Sub Stat</t>
        </is>
      </c>
      <c r="C102" t="inlineStr">
        <is>
          <t>Composure</t>
        </is>
      </c>
      <c r="D102" t="n">
        <v>4</v>
      </c>
      <c r="E102" t="n">
        <v>90</v>
      </c>
      <c r="F102" t="inlineStr">
        <is>
          <t>+4 Composure 90</t>
        </is>
      </c>
      <c r="G102" t="inlineStr">
        <is>
          <t>Back on Track - EA SPORTS FC 26</t>
        </is>
      </c>
      <c r="H102" t="inlineStr">
        <is>
          <t>Current</t>
        </is>
      </c>
      <c r="I102" t="inlineStr">
        <is>
          <t>Current Evolutions</t>
        </is>
      </c>
      <c r="J102" t="inlineStr">
        <is>
          <t>https://www.fut.gg/evolutions/1937-back-on-track/</t>
        </is>
      </c>
    </row>
    <row r="103">
      <c r="B103" t="inlineStr">
        <is>
          <t>Sub Stat</t>
        </is>
      </c>
      <c r="C103" t="inlineStr">
        <is>
          <t>Stamina</t>
        </is>
      </c>
      <c r="D103" t="n">
        <v>3</v>
      </c>
      <c r="E103" t="n">
        <v>90</v>
      </c>
      <c r="F103" t="inlineStr">
        <is>
          <t>+3 Stamina 90</t>
        </is>
      </c>
      <c r="G103" t="inlineStr">
        <is>
          <t>Back on Track - EA SPORTS FC 26</t>
        </is>
      </c>
      <c r="H103" t="inlineStr">
        <is>
          <t>Current</t>
        </is>
      </c>
      <c r="I103" t="inlineStr">
        <is>
          <t>Current Evolutions</t>
        </is>
      </c>
      <c r="J103" t="inlineStr">
        <is>
          <t>https://www.fut.gg/evolutions/1937-back-on-track/</t>
        </is>
      </c>
    </row>
    <row r="104">
      <c r="B104" t="inlineStr">
        <is>
          <t>Sub Stat</t>
        </is>
      </c>
      <c r="C104" t="inlineStr">
        <is>
          <t>Vision</t>
        </is>
      </c>
      <c r="D104" t="n">
        <v>4</v>
      </c>
      <c r="E104" t="n">
        <v>90</v>
      </c>
      <c r="F104" t="inlineStr">
        <is>
          <t>+4 Vision 90</t>
        </is>
      </c>
      <c r="G104" t="inlineStr">
        <is>
          <t>Back on Track - EA SPORTS FC 26</t>
        </is>
      </c>
      <c r="H104" t="inlineStr">
        <is>
          <t>Current</t>
        </is>
      </c>
      <c r="I104" t="inlineStr">
        <is>
          <t>Current Evolutions</t>
        </is>
      </c>
      <c r="J104" t="inlineStr">
        <is>
          <t>https://www.fut.gg/evolutions/1937-back-on-track/</t>
        </is>
      </c>
    </row>
    <row r="105">
      <c r="B105" t="inlineStr">
        <is>
          <t>Sub Stat</t>
        </is>
      </c>
      <c r="C105" t="inlineStr">
        <is>
          <t>Reactions</t>
        </is>
      </c>
      <c r="D105" t="n">
        <v>4</v>
      </c>
      <c r="E105" t="n">
        <v>90</v>
      </c>
      <c r="F105" t="inlineStr">
        <is>
          <t>+4 Reactions 90</t>
        </is>
      </c>
      <c r="G105" t="inlineStr">
        <is>
          <t>Back on Track - EA SPORTS FC 26</t>
        </is>
      </c>
      <c r="H105" t="inlineStr">
        <is>
          <t>Current</t>
        </is>
      </c>
      <c r="I105" t="inlineStr">
        <is>
          <t>Current Evolutions</t>
        </is>
      </c>
      <c r="J105" t="inlineStr">
        <is>
          <t>https://www.fut.gg/evolutions/1937-back-on-track/</t>
        </is>
      </c>
    </row>
    <row r="106">
      <c r="B106" t="inlineStr">
        <is>
          <t>Sub Stat</t>
        </is>
      </c>
      <c r="C106" t="inlineStr">
        <is>
          <t>Defensive Awareness</t>
        </is>
      </c>
      <c r="D106" t="n">
        <v>3</v>
      </c>
      <c r="E106" t="n">
        <v>90</v>
      </c>
      <c r="F106" t="inlineStr">
        <is>
          <t>+3 Defensive Awareness 90</t>
        </is>
      </c>
      <c r="G106" t="inlineStr">
        <is>
          <t>Back on Track - EA SPORTS FC 26</t>
        </is>
      </c>
      <c r="H106" t="inlineStr">
        <is>
          <t>Current</t>
        </is>
      </c>
      <c r="I106" t="inlineStr">
        <is>
          <t>Current Evolutions</t>
        </is>
      </c>
      <c r="J106" t="inlineStr">
        <is>
          <t>https://www.fut.gg/evolutions/1937-back-on-track/</t>
        </is>
      </c>
    </row>
    <row r="107">
      <c r="B107" t="inlineStr">
        <is>
          <t>Sub Stat</t>
        </is>
      </c>
      <c r="C107" t="inlineStr">
        <is>
          <t>Aggression</t>
        </is>
      </c>
      <c r="D107" t="n">
        <v>3</v>
      </c>
      <c r="E107" t="n">
        <v>90</v>
      </c>
      <c r="F107" t="inlineStr">
        <is>
          <t>+3 Aggression 90</t>
        </is>
      </c>
      <c r="G107" t="inlineStr">
        <is>
          <t>Back on Track - EA SPORTS FC 26</t>
        </is>
      </c>
      <c r="H107" t="inlineStr">
        <is>
          <t>Current</t>
        </is>
      </c>
      <c r="I107" t="inlineStr">
        <is>
          <t>Current Evolutions</t>
        </is>
      </c>
      <c r="J107" t="inlineStr">
        <is>
          <t>https://www.fut.gg/evolutions/1937-back-on-track/</t>
        </is>
      </c>
    </row>
    <row r="108">
      <c r="B108" t="inlineStr">
        <is>
          <t>Sub Stat</t>
        </is>
      </c>
      <c r="C108" t="inlineStr">
        <is>
          <t>Positioning</t>
        </is>
      </c>
      <c r="D108" t="n">
        <v>3</v>
      </c>
      <c r="E108" t="n">
        <v>90</v>
      </c>
      <c r="F108" t="inlineStr">
        <is>
          <t>+3 Positioning 90</t>
        </is>
      </c>
      <c r="G108" t="inlineStr">
        <is>
          <t>Back on Track - EA SPORTS FC 26</t>
        </is>
      </c>
      <c r="H108" t="inlineStr">
        <is>
          <t>Current</t>
        </is>
      </c>
      <c r="I108" t="inlineStr">
        <is>
          <t>Current Evolutions</t>
        </is>
      </c>
      <c r="J108" t="inlineStr">
        <is>
          <t>https://www.fut.gg/evolutions/1937-back-on-track/</t>
        </is>
      </c>
    </row>
    <row r="109">
      <c r="B109" t="inlineStr">
        <is>
          <t>Sub Stat</t>
        </is>
      </c>
      <c r="C109" t="inlineStr">
        <is>
          <t>Curve</t>
        </is>
      </c>
      <c r="D109" t="n">
        <v>4</v>
      </c>
      <c r="E109" t="n">
        <v>90</v>
      </c>
      <c r="F109" t="inlineStr">
        <is>
          <t>+4 Curve 90</t>
        </is>
      </c>
      <c r="G109" t="inlineStr">
        <is>
          <t>Back on Track - EA SPORTS FC 26</t>
        </is>
      </c>
      <c r="H109" t="inlineStr">
        <is>
          <t>Current</t>
        </is>
      </c>
      <c r="I109" t="inlineStr">
        <is>
          <t>Current Evolutions</t>
        </is>
      </c>
      <c r="J109" t="inlineStr">
        <is>
          <t>https://www.fut.gg/evolutions/1937-back-on-track/</t>
        </is>
      </c>
    </row>
    <row r="110">
      <c r="B110" t="inlineStr">
        <is>
          <t>Sub Stat</t>
        </is>
      </c>
      <c r="C110" t="inlineStr">
        <is>
          <t>Composure</t>
        </is>
      </c>
      <c r="D110" t="n">
        <v>4</v>
      </c>
      <c r="E110" t="n">
        <v>90</v>
      </c>
      <c r="F110" t="inlineStr">
        <is>
          <t>+4 Composure 90</t>
        </is>
      </c>
      <c r="G110" t="inlineStr">
        <is>
          <t>Back on Track - EA SPORTS FC 26</t>
        </is>
      </c>
      <c r="H110" t="inlineStr">
        <is>
          <t>Current</t>
        </is>
      </c>
      <c r="I110" t="inlineStr">
        <is>
          <t>Current Evolutions</t>
        </is>
      </c>
      <c r="J110" t="inlineStr">
        <is>
          <t>https://www.fut.gg/evolutions/1937-back-on-track/</t>
        </is>
      </c>
    </row>
    <row r="111">
      <c r="B111" t="inlineStr">
        <is>
          <t>Sub Stat</t>
        </is>
      </c>
      <c r="C111" t="inlineStr">
        <is>
          <t>Stamina</t>
        </is>
      </c>
      <c r="D111" t="n">
        <v>3</v>
      </c>
      <c r="E111" t="n">
        <v>90</v>
      </c>
      <c r="F111" t="inlineStr">
        <is>
          <t>+3 Stamina 90</t>
        </is>
      </c>
      <c r="G111" t="inlineStr">
        <is>
          <t>Back on Track - EA SPORTS FC 26</t>
        </is>
      </c>
      <c r="H111" t="inlineStr">
        <is>
          <t>Current</t>
        </is>
      </c>
      <c r="I111" t="inlineStr">
        <is>
          <t>Current Evolutions</t>
        </is>
      </c>
      <c r="J111" t="inlineStr">
        <is>
          <t>https://www.fut.gg/evolutions/1937-back-on-track/</t>
        </is>
      </c>
    </row>
    <row r="112">
      <c r="B112" t="inlineStr">
        <is>
          <t>Face Stat</t>
        </is>
      </c>
      <c r="C112" t="inlineStr">
        <is>
          <t>OVR</t>
        </is>
      </c>
      <c r="D112" t="n">
        <v>25</v>
      </c>
      <c r="E112" t="n">
        <v>90</v>
      </c>
      <c r="F112" t="inlineStr">
        <is>
          <t>+25 OVR 90</t>
        </is>
      </c>
      <c r="G112" t="inlineStr">
        <is>
          <t>Columbus Conductor - EA SPORTS FC 26</t>
        </is>
      </c>
      <c r="H112" t="inlineStr">
        <is>
          <t>Current</t>
        </is>
      </c>
      <c r="I112" t="inlineStr">
        <is>
          <t>Current Evolutions</t>
        </is>
      </c>
      <c r="J112" t="inlineStr">
        <is>
          <t>https://www.fut.gg/evolutions/1922-columbus-conductor/</t>
        </is>
      </c>
    </row>
    <row r="113">
      <c r="B113" t="inlineStr">
        <is>
          <t>Sub Stat</t>
        </is>
      </c>
      <c r="C113" t="inlineStr">
        <is>
          <t>Jumping</t>
        </is>
      </c>
      <c r="D113" t="n">
        <v>25</v>
      </c>
      <c r="E113" t="n">
        <v>87</v>
      </c>
      <c r="F113" t="inlineStr">
        <is>
          <t>+25 Jumping 87</t>
        </is>
      </c>
      <c r="G113" t="inlineStr">
        <is>
          <t>Columbus Conductor - EA SPORTS FC 26</t>
        </is>
      </c>
      <c r="H113" t="inlineStr">
        <is>
          <t>Current</t>
        </is>
      </c>
      <c r="I113" t="inlineStr">
        <is>
          <t>Current Evolutions</t>
        </is>
      </c>
      <c r="J113" t="inlineStr">
        <is>
          <t>https://www.fut.gg/evolutions/1922-columbus-conductor/</t>
        </is>
      </c>
    </row>
    <row r="114">
      <c r="B114" t="inlineStr">
        <is>
          <t>Sub Stat</t>
        </is>
      </c>
      <c r="C114" t="inlineStr">
        <is>
          <t>Long Shots</t>
        </is>
      </c>
      <c r="D114" t="n">
        <v>15</v>
      </c>
      <c r="E114" t="n">
        <v>90</v>
      </c>
      <c r="F114" t="inlineStr">
        <is>
          <t>+15 Long Shots 90</t>
        </is>
      </c>
      <c r="G114" t="inlineStr">
        <is>
          <t>Columbus Conductor - EA SPORTS FC 26</t>
        </is>
      </c>
      <c r="H114" t="inlineStr">
        <is>
          <t>Current</t>
        </is>
      </c>
      <c r="I114" t="inlineStr">
        <is>
          <t>Current Evolutions</t>
        </is>
      </c>
      <c r="J114" t="inlineStr">
        <is>
          <t>https://www.fut.gg/evolutions/1922-columbus-conductor/</t>
        </is>
      </c>
    </row>
    <row r="115">
      <c r="B115" t="inlineStr">
        <is>
          <t>Sub Stat</t>
        </is>
      </c>
      <c r="C115" t="inlineStr">
        <is>
          <t>Curve</t>
        </is>
      </c>
      <c r="D115" t="n">
        <v>25</v>
      </c>
      <c r="E115" t="n">
        <v>92</v>
      </c>
      <c r="F115" t="inlineStr">
        <is>
          <t>+25 Curve 92</t>
        </is>
      </c>
      <c r="G115" t="inlineStr">
        <is>
          <t>Columbus Conductor - EA SPORTS FC 26</t>
        </is>
      </c>
      <c r="H115" t="inlineStr">
        <is>
          <t>Current</t>
        </is>
      </c>
      <c r="I115" t="inlineStr">
        <is>
          <t>Current Evolutions</t>
        </is>
      </c>
      <c r="J115" t="inlineStr">
        <is>
          <t>https://www.fut.gg/evolutions/1922-columbus-conductor/</t>
        </is>
      </c>
    </row>
    <row r="116">
      <c r="B116" t="inlineStr">
        <is>
          <t>Sub Stat</t>
        </is>
      </c>
      <c r="C116" t="inlineStr">
        <is>
          <t>Agility</t>
        </is>
      </c>
      <c r="D116" t="n">
        <v>25</v>
      </c>
      <c r="E116" t="n">
        <v>92</v>
      </c>
      <c r="F116" t="inlineStr">
        <is>
          <t>+25 Agility 92</t>
        </is>
      </c>
      <c r="G116" t="inlineStr">
        <is>
          <t>Columbus Conductor - EA SPORTS FC 26</t>
        </is>
      </c>
      <c r="H116" t="inlineStr">
        <is>
          <t>Current</t>
        </is>
      </c>
      <c r="I116" t="inlineStr">
        <is>
          <t>Current Evolutions</t>
        </is>
      </c>
      <c r="J116" t="inlineStr">
        <is>
          <t>https://www.fut.gg/evolutions/1922-columbus-conductor/</t>
        </is>
      </c>
    </row>
    <row r="117">
      <c r="B117" t="inlineStr">
        <is>
          <t>Sub Stat</t>
        </is>
      </c>
      <c r="C117" t="inlineStr">
        <is>
          <t>Dribbling</t>
        </is>
      </c>
      <c r="D117" t="n">
        <v>25</v>
      </c>
      <c r="E117" t="n">
        <v>89</v>
      </c>
      <c r="F117" t="inlineStr">
        <is>
          <t>+25 Dribbling 89</t>
        </is>
      </c>
      <c r="G117" t="inlineStr">
        <is>
          <t>Columbus Conductor - EA SPORTS FC 26</t>
        </is>
      </c>
      <c r="H117" t="inlineStr">
        <is>
          <t>Current</t>
        </is>
      </c>
      <c r="I117" t="inlineStr">
        <is>
          <t>Current Evolutions</t>
        </is>
      </c>
      <c r="J117" t="inlineStr">
        <is>
          <t>https://www.fut.gg/evolutions/1922-columbus-conductor/</t>
        </is>
      </c>
    </row>
    <row r="118">
      <c r="B118" t="inlineStr">
        <is>
          <t>Sub Stat</t>
        </is>
      </c>
      <c r="C118" t="inlineStr">
        <is>
          <t>Acceleration</t>
        </is>
      </c>
      <c r="D118" t="n">
        <v>15</v>
      </c>
      <c r="E118" t="n">
        <v>87</v>
      </c>
      <c r="F118" t="inlineStr">
        <is>
          <t>+15 Acceleration 87</t>
        </is>
      </c>
      <c r="G118" t="inlineStr">
        <is>
          <t>Columbus Conductor - EA SPORTS FC 26</t>
        </is>
      </c>
      <c r="H118" t="inlineStr">
        <is>
          <t>Current</t>
        </is>
      </c>
      <c r="I118" t="inlineStr">
        <is>
          <t>Current Evolutions</t>
        </is>
      </c>
      <c r="J118" t="inlineStr">
        <is>
          <t>https://www.fut.gg/evolutions/1922-columbus-conductor/</t>
        </is>
      </c>
    </row>
    <row r="119">
      <c r="B119" t="inlineStr">
        <is>
          <t>Sub Stat</t>
        </is>
      </c>
      <c r="C119" t="inlineStr">
        <is>
          <t>Volleys</t>
        </is>
      </c>
      <c r="D119" t="n">
        <v>15</v>
      </c>
      <c r="E119" t="n">
        <v>94</v>
      </c>
      <c r="F119" t="inlineStr">
        <is>
          <t>+15 Volleys 94</t>
        </is>
      </c>
      <c r="G119" t="inlineStr">
        <is>
          <t>Columbus Conductor - EA SPORTS FC 26</t>
        </is>
      </c>
      <c r="H119" t="inlineStr">
        <is>
          <t>Current</t>
        </is>
      </c>
      <c r="I119" t="inlineStr">
        <is>
          <t>Current Evolutions</t>
        </is>
      </c>
      <c r="J119" t="inlineStr">
        <is>
          <t>https://www.fut.gg/evolutions/1922-columbus-conductor/</t>
        </is>
      </c>
    </row>
    <row r="120">
      <c r="B120" t="inlineStr">
        <is>
          <t>Sub Stat</t>
        </is>
      </c>
      <c r="C120" t="inlineStr">
        <is>
          <t>Short Passing</t>
        </is>
      </c>
      <c r="D120" t="n">
        <v>25</v>
      </c>
      <c r="E120" t="n">
        <v>92</v>
      </c>
      <c r="F120" t="inlineStr">
        <is>
          <t>+25 Short Pass 92</t>
        </is>
      </c>
      <c r="G120" t="inlineStr">
        <is>
          <t>Columbus Conductor - EA SPORTS FC 26</t>
        </is>
      </c>
      <c r="H120" t="inlineStr">
        <is>
          <t>Current</t>
        </is>
      </c>
      <c r="I120" t="inlineStr">
        <is>
          <t>Current Evolutions</t>
        </is>
      </c>
      <c r="J120" t="inlineStr">
        <is>
          <t>https://www.fut.gg/evolutions/1922-columbus-conductor/</t>
        </is>
      </c>
    </row>
    <row r="121">
      <c r="B121" t="inlineStr">
        <is>
          <t>Sub Stat</t>
        </is>
      </c>
      <c r="C121" t="inlineStr">
        <is>
          <t>Balance</t>
        </is>
      </c>
      <c r="D121" t="n">
        <v>25</v>
      </c>
      <c r="E121" t="n">
        <v>89</v>
      </c>
      <c r="F121" t="inlineStr">
        <is>
          <t>+25 Balance 89</t>
        </is>
      </c>
      <c r="G121" t="inlineStr">
        <is>
          <t>Columbus Conductor - EA SPORTS FC 26</t>
        </is>
      </c>
      <c r="H121" t="inlineStr">
        <is>
          <t>Current</t>
        </is>
      </c>
      <c r="I121" t="inlineStr">
        <is>
          <t>Current Evolutions</t>
        </is>
      </c>
      <c r="J121" t="inlineStr">
        <is>
          <t>https://www.fut.gg/evolutions/1922-columbus-conductor/</t>
        </is>
      </c>
    </row>
    <row r="122">
      <c r="B122" t="inlineStr">
        <is>
          <t>Sub Stat</t>
        </is>
      </c>
      <c r="C122" t="inlineStr">
        <is>
          <t>Defensive Awareness</t>
        </is>
      </c>
      <c r="D122" t="n">
        <v>25</v>
      </c>
      <c r="E122" t="n">
        <v>90</v>
      </c>
      <c r="F122" t="inlineStr">
        <is>
          <t>+25 Defensive Awareness 90</t>
        </is>
      </c>
      <c r="G122" t="inlineStr">
        <is>
          <t>Columbus Conductor - EA SPORTS FC 26</t>
        </is>
      </c>
      <c r="H122" t="inlineStr">
        <is>
          <t>Current</t>
        </is>
      </c>
      <c r="I122" t="inlineStr">
        <is>
          <t>Current Evolutions</t>
        </is>
      </c>
      <c r="J122" t="inlineStr">
        <is>
          <t>https://www.fut.gg/evolutions/1922-columbus-conductor/</t>
        </is>
      </c>
    </row>
    <row r="123">
      <c r="B123" t="inlineStr">
        <is>
          <t>Sub Stat</t>
        </is>
      </c>
      <c r="C123" t="inlineStr">
        <is>
          <t>Sprint Speed</t>
        </is>
      </c>
      <c r="D123" t="n">
        <v>15</v>
      </c>
      <c r="E123" t="n">
        <v>89</v>
      </c>
      <c r="F123" t="inlineStr">
        <is>
          <t>+15 Sprint Speed 89</t>
        </is>
      </c>
      <c r="G123" t="inlineStr">
        <is>
          <t>Columbus Conductor - EA SPORTS FC 26</t>
        </is>
      </c>
      <c r="H123" t="inlineStr">
        <is>
          <t>Current</t>
        </is>
      </c>
      <c r="I123" t="inlineStr">
        <is>
          <t>Current Evolutions</t>
        </is>
      </c>
      <c r="J123" t="inlineStr">
        <is>
          <t>https://www.fut.gg/evolutions/1922-columbus-conductor/</t>
        </is>
      </c>
    </row>
    <row r="124">
      <c r="B124" t="inlineStr">
        <is>
          <t>Sub Stat</t>
        </is>
      </c>
      <c r="C124" t="inlineStr">
        <is>
          <t>Vision</t>
        </is>
      </c>
      <c r="D124" t="n">
        <v>25</v>
      </c>
      <c r="E124" t="n">
        <v>92</v>
      </c>
      <c r="F124" t="inlineStr">
        <is>
          <t>+25 Vision 92</t>
        </is>
      </c>
      <c r="G124" t="inlineStr">
        <is>
          <t>Columbus Conductor - EA SPORTS FC 26</t>
        </is>
      </c>
      <c r="H124" t="inlineStr">
        <is>
          <t>Current</t>
        </is>
      </c>
      <c r="I124" t="inlineStr">
        <is>
          <t>Current Evolutions</t>
        </is>
      </c>
      <c r="J124" t="inlineStr">
        <is>
          <t>https://www.fut.gg/evolutions/1922-columbus-conductor/</t>
        </is>
      </c>
    </row>
    <row r="125">
      <c r="B125" t="inlineStr">
        <is>
          <t>Sub Stat</t>
        </is>
      </c>
      <c r="C125" t="inlineStr">
        <is>
          <t>Long Passing</t>
        </is>
      </c>
      <c r="D125" t="n">
        <v>25</v>
      </c>
      <c r="E125" t="n">
        <v>92</v>
      </c>
      <c r="F125" t="inlineStr">
        <is>
          <t>+25 Long Pass 92</t>
        </is>
      </c>
      <c r="G125" t="inlineStr">
        <is>
          <t>Columbus Conductor - EA SPORTS FC 26</t>
        </is>
      </c>
      <c r="H125" t="inlineStr">
        <is>
          <t>Current</t>
        </is>
      </c>
      <c r="I125" t="inlineStr">
        <is>
          <t>Current Evolutions</t>
        </is>
      </c>
      <c r="J125" t="inlineStr">
        <is>
          <t>https://www.fut.gg/evolutions/1922-columbus-conductor/</t>
        </is>
      </c>
    </row>
    <row r="126">
      <c r="B126" t="inlineStr">
        <is>
          <t>Sub Stat</t>
        </is>
      </c>
      <c r="C126" t="inlineStr">
        <is>
          <t>Reactions</t>
        </is>
      </c>
      <c r="D126" t="n">
        <v>25</v>
      </c>
      <c r="E126" t="n">
        <v>91</v>
      </c>
      <c r="F126" t="inlineStr">
        <is>
          <t>+25 Reactions 91</t>
        </is>
      </c>
      <c r="G126" t="inlineStr">
        <is>
          <t>Columbus Conductor - EA SPORTS FC 26</t>
        </is>
      </c>
      <c r="H126" t="inlineStr">
        <is>
          <t>Current</t>
        </is>
      </c>
      <c r="I126" t="inlineStr">
        <is>
          <t>Current Evolutions</t>
        </is>
      </c>
      <c r="J126" t="inlineStr">
        <is>
          <t>https://www.fut.gg/evolutions/1922-columbus-conductor/</t>
        </is>
      </c>
    </row>
    <row r="127">
      <c r="B127" t="inlineStr">
        <is>
          <t>Sub Stat</t>
        </is>
      </c>
      <c r="C127" t="inlineStr">
        <is>
          <t>Standing Tackle</t>
        </is>
      </c>
      <c r="D127" t="n">
        <v>25</v>
      </c>
      <c r="E127" t="n">
        <v>90</v>
      </c>
      <c r="F127" t="inlineStr">
        <is>
          <t>+25 Standing Tackle 90</t>
        </is>
      </c>
      <c r="G127" t="inlineStr">
        <is>
          <t>Columbus Conductor - EA SPORTS FC 26</t>
        </is>
      </c>
      <c r="H127" t="inlineStr">
        <is>
          <t>Current</t>
        </is>
      </c>
      <c r="I127" t="inlineStr">
        <is>
          <t>Current Evolutions</t>
        </is>
      </c>
      <c r="J127" t="inlineStr">
        <is>
          <t>https://www.fut.gg/evolutions/1922-columbus-conductor/</t>
        </is>
      </c>
    </row>
    <row r="128">
      <c r="B128" t="inlineStr">
        <is>
          <t>Sub Stat</t>
        </is>
      </c>
      <c r="C128" t="inlineStr">
        <is>
          <t>Shot Power</t>
        </is>
      </c>
      <c r="D128" t="n">
        <v>15</v>
      </c>
      <c r="E128" t="n">
        <v>90</v>
      </c>
      <c r="F128" t="inlineStr">
        <is>
          <t>+15 Shot Power 90</t>
        </is>
      </c>
      <c r="G128" t="inlineStr">
        <is>
          <t>Columbus Conductor - EA SPORTS FC 26</t>
        </is>
      </c>
      <c r="H128" t="inlineStr">
        <is>
          <t>Current</t>
        </is>
      </c>
      <c r="I128" t="inlineStr">
        <is>
          <t>Current Evolutions</t>
        </is>
      </c>
      <c r="J128" t="inlineStr">
        <is>
          <t>https://www.fut.gg/evolutions/1922-columbus-conductor/</t>
        </is>
      </c>
    </row>
    <row r="129">
      <c r="B129" t="inlineStr">
        <is>
          <t>Sub Stat</t>
        </is>
      </c>
      <c r="C129" t="inlineStr">
        <is>
          <t>Crossing</t>
        </is>
      </c>
      <c r="D129" t="n">
        <v>25</v>
      </c>
      <c r="E129" t="n">
        <v>84</v>
      </c>
      <c r="F129" t="inlineStr">
        <is>
          <t>+25 Crossing 84</t>
        </is>
      </c>
      <c r="G129" t="inlineStr">
        <is>
          <t>Columbus Conductor - EA SPORTS FC 26</t>
        </is>
      </c>
      <c r="H129" t="inlineStr">
        <is>
          <t>Current</t>
        </is>
      </c>
      <c r="I129" t="inlineStr">
        <is>
          <t>Current Evolutions</t>
        </is>
      </c>
      <c r="J129" t="inlineStr">
        <is>
          <t>https://www.fut.gg/evolutions/1922-columbus-conductor/</t>
        </is>
      </c>
    </row>
    <row r="130">
      <c r="B130" t="inlineStr">
        <is>
          <t>Sub Stat</t>
        </is>
      </c>
      <c r="C130" t="inlineStr">
        <is>
          <t>Ball Control</t>
        </is>
      </c>
      <c r="D130" t="n">
        <v>25</v>
      </c>
      <c r="E130" t="n">
        <v>89</v>
      </c>
      <c r="F130" t="inlineStr">
        <is>
          <t>+25 Ball Control 89</t>
        </is>
      </c>
      <c r="G130" t="inlineStr">
        <is>
          <t>Columbus Conductor - EA SPORTS FC 26</t>
        </is>
      </c>
      <c r="H130" t="inlineStr">
        <is>
          <t>Current</t>
        </is>
      </c>
      <c r="I130" t="inlineStr">
        <is>
          <t>Current Evolutions</t>
        </is>
      </c>
      <c r="J130" t="inlineStr">
        <is>
          <t>https://www.fut.gg/evolutions/1922-columbus-conductor/</t>
        </is>
      </c>
    </row>
    <row r="131">
      <c r="B131" t="inlineStr">
        <is>
          <t>Sub Stat</t>
        </is>
      </c>
      <c r="C131" t="inlineStr">
        <is>
          <t>Interceptions</t>
        </is>
      </c>
      <c r="D131" t="n">
        <v>25</v>
      </c>
      <c r="E131" t="n">
        <v>91</v>
      </c>
      <c r="F131" t="inlineStr">
        <is>
          <t>+25 Interceptions 91</t>
        </is>
      </c>
      <c r="G131" t="inlineStr">
        <is>
          <t>Columbus Conductor - EA SPORTS FC 26</t>
        </is>
      </c>
      <c r="H131" t="inlineStr">
        <is>
          <t>Current</t>
        </is>
      </c>
      <c r="I131" t="inlineStr">
        <is>
          <t>Current Evolutions</t>
        </is>
      </c>
      <c r="J131" t="inlineStr">
        <is>
          <t>https://www.fut.gg/evolutions/1922-columbus-conductor/</t>
        </is>
      </c>
    </row>
    <row r="132">
      <c r="B132" t="inlineStr">
        <is>
          <t>Sub Stat</t>
        </is>
      </c>
      <c r="C132" t="inlineStr">
        <is>
          <t>Sliding Tackle</t>
        </is>
      </c>
      <c r="D132" t="n">
        <v>25</v>
      </c>
      <c r="E132" t="n">
        <v>88</v>
      </c>
      <c r="F132" t="inlineStr">
        <is>
          <t>+25 Sliding Tackle 88</t>
        </is>
      </c>
      <c r="G132" t="inlineStr">
        <is>
          <t>Columbus Conductor - EA SPORTS FC 26</t>
        </is>
      </c>
      <c r="H132" t="inlineStr">
        <is>
          <t>Current</t>
        </is>
      </c>
      <c r="I132" t="inlineStr">
        <is>
          <t>Current Evolutions</t>
        </is>
      </c>
      <c r="J132" t="inlineStr">
        <is>
          <t>https://www.fut.gg/evolutions/1922-columbus-conductor/</t>
        </is>
      </c>
    </row>
    <row r="133">
      <c r="B133" t="inlineStr">
        <is>
          <t>Sub Stat</t>
        </is>
      </c>
      <c r="C133" t="inlineStr">
        <is>
          <t>Fk Accuracy</t>
        </is>
      </c>
      <c r="D133" t="n">
        <v>25</v>
      </c>
      <c r="E133" t="n">
        <v>89</v>
      </c>
      <c r="F133" t="inlineStr">
        <is>
          <t>+25 Fk Accuracy 89</t>
        </is>
      </c>
      <c r="G133" t="inlineStr">
        <is>
          <t>Columbus Conductor - EA SPORTS FC 26</t>
        </is>
      </c>
      <c r="H133" t="inlineStr">
        <is>
          <t>Current</t>
        </is>
      </c>
      <c r="I133" t="inlineStr">
        <is>
          <t>Current Evolutions</t>
        </is>
      </c>
      <c r="J133" t="inlineStr">
        <is>
          <t>https://www.fut.gg/evolutions/1922-columbus-conductor/</t>
        </is>
      </c>
    </row>
    <row r="134">
      <c r="B134" t="inlineStr">
        <is>
          <t>Sub Stat</t>
        </is>
      </c>
      <c r="C134" t="inlineStr">
        <is>
          <t>Composure</t>
        </is>
      </c>
      <c r="D134" t="n">
        <v>25</v>
      </c>
      <c r="E134" t="n">
        <v>91</v>
      </c>
      <c r="F134" t="inlineStr">
        <is>
          <t>+25 Composure 91</t>
        </is>
      </c>
      <c r="G134" t="inlineStr">
        <is>
          <t>Columbus Conductor - EA SPORTS FC 26</t>
        </is>
      </c>
      <c r="H134" t="inlineStr">
        <is>
          <t>Current</t>
        </is>
      </c>
      <c r="I134" t="inlineStr">
        <is>
          <t>Current Evolutions</t>
        </is>
      </c>
      <c r="J134" t="inlineStr">
        <is>
          <t>https://www.fut.gg/evolutions/1922-columbus-conductor/</t>
        </is>
      </c>
    </row>
    <row r="135">
      <c r="B135" t="inlineStr">
        <is>
          <t>Sub Stat</t>
        </is>
      </c>
      <c r="C135" t="inlineStr">
        <is>
          <t>Stamina</t>
        </is>
      </c>
      <c r="D135" t="n">
        <v>25</v>
      </c>
      <c r="E135" t="n">
        <v>90</v>
      </c>
      <c r="F135" t="inlineStr">
        <is>
          <t>+25 Stamina 90</t>
        </is>
      </c>
      <c r="G135" t="inlineStr">
        <is>
          <t>Columbus Conductor - EA SPORTS FC 26</t>
        </is>
      </c>
      <c r="H135" t="inlineStr">
        <is>
          <t>Current</t>
        </is>
      </c>
      <c r="I135" t="inlineStr">
        <is>
          <t>Current Evolutions</t>
        </is>
      </c>
      <c r="J135" t="inlineStr">
        <is>
          <t>https://www.fut.gg/evolutions/1922-columbus-conductor/</t>
        </is>
      </c>
    </row>
    <row r="136">
      <c r="B136" t="inlineStr">
        <is>
          <t>Sub Stat</t>
        </is>
      </c>
      <c r="C136" t="inlineStr">
        <is>
          <t>Strength</t>
        </is>
      </c>
      <c r="D136" t="n">
        <v>25</v>
      </c>
      <c r="E136" t="n">
        <v>87</v>
      </c>
      <c r="F136" t="inlineStr">
        <is>
          <t>+25 Strength 87</t>
        </is>
      </c>
      <c r="G136" t="inlineStr">
        <is>
          <t>Columbus Conductor - EA SPORTS FC 26</t>
        </is>
      </c>
      <c r="H136" t="inlineStr">
        <is>
          <t>Current</t>
        </is>
      </c>
      <c r="I136" t="inlineStr">
        <is>
          <t>Current Evolutions</t>
        </is>
      </c>
      <c r="J136" t="inlineStr">
        <is>
          <t>https://www.fut.gg/evolutions/1922-columbus-conductor/</t>
        </is>
      </c>
    </row>
    <row r="137">
      <c r="B137" t="inlineStr">
        <is>
          <t>Face Stat</t>
        </is>
      </c>
      <c r="C137" t="inlineStr">
        <is>
          <t>OVR</t>
        </is>
      </c>
      <c r="D137" t="n">
        <v>25</v>
      </c>
      <c r="E137" t="n">
        <v>90</v>
      </c>
      <c r="F137" t="inlineStr">
        <is>
          <t>+25 OVR 90</t>
        </is>
      </c>
      <c r="G137" t="inlineStr">
        <is>
          <t>Columbus Conductor - EA SPORTS FC 26</t>
        </is>
      </c>
      <c r="H137" t="inlineStr">
        <is>
          <t>Current</t>
        </is>
      </c>
      <c r="I137" t="inlineStr">
        <is>
          <t>Current Evolutions</t>
        </is>
      </c>
      <c r="J137" t="inlineStr">
        <is>
          <t>https://www.fut.gg/evolutions/1922-columbus-conductor/</t>
        </is>
      </c>
    </row>
    <row r="138">
      <c r="B138" t="inlineStr">
        <is>
          <t>Sub Stat</t>
        </is>
      </c>
      <c r="C138" t="inlineStr">
        <is>
          <t>Jumping</t>
        </is>
      </c>
      <c r="D138" t="n">
        <v>25</v>
      </c>
      <c r="E138" t="n">
        <v>87</v>
      </c>
      <c r="F138" t="inlineStr">
        <is>
          <t>+25 Jumping 87</t>
        </is>
      </c>
      <c r="G138" t="inlineStr">
        <is>
          <t>Columbus Conductor - EA SPORTS FC 26</t>
        </is>
      </c>
      <c r="H138" t="inlineStr">
        <is>
          <t>Current</t>
        </is>
      </c>
      <c r="I138" t="inlineStr">
        <is>
          <t>Current Evolutions</t>
        </is>
      </c>
      <c r="J138" t="inlineStr">
        <is>
          <t>https://www.fut.gg/evolutions/1922-columbus-conductor/</t>
        </is>
      </c>
    </row>
    <row r="139">
      <c r="B139" t="inlineStr">
        <is>
          <t>Sub Stat</t>
        </is>
      </c>
      <c r="C139" t="inlineStr">
        <is>
          <t>Long Shots</t>
        </is>
      </c>
      <c r="D139" t="n">
        <v>15</v>
      </c>
      <c r="E139" t="n">
        <v>90</v>
      </c>
      <c r="F139" t="inlineStr">
        <is>
          <t>+15 Long Shots 90</t>
        </is>
      </c>
      <c r="G139" t="inlineStr">
        <is>
          <t>Columbus Conductor - EA SPORTS FC 26</t>
        </is>
      </c>
      <c r="H139" t="inlineStr">
        <is>
          <t>Current</t>
        </is>
      </c>
      <c r="I139" t="inlineStr">
        <is>
          <t>Current Evolutions</t>
        </is>
      </c>
      <c r="J139" t="inlineStr">
        <is>
          <t>https://www.fut.gg/evolutions/1922-columbus-conductor/</t>
        </is>
      </c>
    </row>
    <row r="140">
      <c r="B140" t="inlineStr">
        <is>
          <t>Sub Stat</t>
        </is>
      </c>
      <c r="C140" t="inlineStr">
        <is>
          <t>Curve</t>
        </is>
      </c>
      <c r="D140" t="n">
        <v>25</v>
      </c>
      <c r="E140" t="n">
        <v>92</v>
      </c>
      <c r="F140" t="inlineStr">
        <is>
          <t>+25 Curve 92</t>
        </is>
      </c>
      <c r="G140" t="inlineStr">
        <is>
          <t>Columbus Conductor - EA SPORTS FC 26</t>
        </is>
      </c>
      <c r="H140" t="inlineStr">
        <is>
          <t>Current</t>
        </is>
      </c>
      <c r="I140" t="inlineStr">
        <is>
          <t>Current Evolutions</t>
        </is>
      </c>
      <c r="J140" t="inlineStr">
        <is>
          <t>https://www.fut.gg/evolutions/1922-columbus-conductor/</t>
        </is>
      </c>
    </row>
    <row r="141">
      <c r="B141" t="inlineStr">
        <is>
          <t>Sub Stat</t>
        </is>
      </c>
      <c r="C141" t="inlineStr">
        <is>
          <t>Agility</t>
        </is>
      </c>
      <c r="D141" t="n">
        <v>25</v>
      </c>
      <c r="E141" t="n">
        <v>92</v>
      </c>
      <c r="F141" t="inlineStr">
        <is>
          <t>+25 Agility 92</t>
        </is>
      </c>
      <c r="G141" t="inlineStr">
        <is>
          <t>Columbus Conductor - EA SPORTS FC 26</t>
        </is>
      </c>
      <c r="H141" t="inlineStr">
        <is>
          <t>Current</t>
        </is>
      </c>
      <c r="I141" t="inlineStr">
        <is>
          <t>Current Evolutions</t>
        </is>
      </c>
      <c r="J141" t="inlineStr">
        <is>
          <t>https://www.fut.gg/evolutions/1922-columbus-conductor/</t>
        </is>
      </c>
    </row>
    <row r="142">
      <c r="B142" t="inlineStr">
        <is>
          <t>Sub Stat</t>
        </is>
      </c>
      <c r="C142" t="inlineStr">
        <is>
          <t>Dribbling</t>
        </is>
      </c>
      <c r="D142" t="n">
        <v>25</v>
      </c>
      <c r="E142" t="n">
        <v>89</v>
      </c>
      <c r="F142" t="inlineStr">
        <is>
          <t>+25 Dribbling 89</t>
        </is>
      </c>
      <c r="G142" t="inlineStr">
        <is>
          <t>Columbus Conductor - EA SPORTS FC 26</t>
        </is>
      </c>
      <c r="H142" t="inlineStr">
        <is>
          <t>Current</t>
        </is>
      </c>
      <c r="I142" t="inlineStr">
        <is>
          <t>Current Evolutions</t>
        </is>
      </c>
      <c r="J142" t="inlineStr">
        <is>
          <t>https://www.fut.gg/evolutions/1922-columbus-conductor/</t>
        </is>
      </c>
    </row>
    <row r="143">
      <c r="B143" t="inlineStr">
        <is>
          <t>Skill</t>
        </is>
      </c>
      <c r="C143" t="inlineStr">
        <is>
          <t>SM</t>
        </is>
      </c>
      <c r="D143" t="n">
        <v>4</v>
      </c>
      <c r="E143" t="n">
        <v>5</v>
      </c>
      <c r="F143" t="inlineStr">
        <is>
          <t>+4 SM 5</t>
        </is>
      </c>
      <c r="G143" t="inlineStr">
        <is>
          <t>Tricksy Hobbits - EA SPORTS FC 26</t>
        </is>
      </c>
      <c r="H143" t="inlineStr">
        <is>
          <t>Current</t>
        </is>
      </c>
      <c r="I143" t="inlineStr">
        <is>
          <t>Current Evolutions</t>
        </is>
      </c>
      <c r="J143" t="inlineStr">
        <is>
          <t>https://www.fut.gg/evolutions/1921-tricksy-hobbits/</t>
        </is>
      </c>
    </row>
    <row r="144">
      <c r="B144" t="inlineStr">
        <is>
          <t>Sub Stat</t>
        </is>
      </c>
      <c r="C144" t="inlineStr">
        <is>
          <t>Acceleration</t>
        </is>
      </c>
      <c r="D144" t="n">
        <v>8</v>
      </c>
      <c r="E144" t="n">
        <v>93</v>
      </c>
      <c r="F144" t="inlineStr">
        <is>
          <t>+8 Acceleration 93</t>
        </is>
      </c>
      <c r="G144" t="inlineStr">
        <is>
          <t>Tricksy Hobbits - EA SPORTS FC 26</t>
        </is>
      </c>
      <c r="H144" t="inlineStr">
        <is>
          <t>Current</t>
        </is>
      </c>
      <c r="I144" t="inlineStr">
        <is>
          <t>Current Evolutions</t>
        </is>
      </c>
      <c r="J144" t="inlineStr">
        <is>
          <t>https://www.fut.gg/evolutions/1921-tricksy-hobbits/</t>
        </is>
      </c>
    </row>
    <row r="145">
      <c r="B145" t="inlineStr">
        <is>
          <t>Sub Stat</t>
        </is>
      </c>
      <c r="C145" t="inlineStr">
        <is>
          <t>Agility</t>
        </is>
      </c>
      <c r="D145" t="n">
        <v>8</v>
      </c>
      <c r="E145" t="n">
        <v>93</v>
      </c>
      <c r="F145" t="inlineStr">
        <is>
          <t>+8 Agility 93</t>
        </is>
      </c>
      <c r="G145" t="inlineStr">
        <is>
          <t>Tricksy Hobbits - EA SPORTS FC 26</t>
        </is>
      </c>
      <c r="H145" t="inlineStr">
        <is>
          <t>Current</t>
        </is>
      </c>
      <c r="I145" t="inlineStr">
        <is>
          <t>Current Evolutions</t>
        </is>
      </c>
      <c r="J145" t="inlineStr">
        <is>
          <t>https://www.fut.gg/evolutions/1921-tricksy-hobbits/</t>
        </is>
      </c>
    </row>
    <row r="146">
      <c r="B146" t="inlineStr">
        <is>
          <t>Sub Stat</t>
        </is>
      </c>
      <c r="C146" t="inlineStr">
        <is>
          <t>Sprint Speed</t>
        </is>
      </c>
      <c r="D146" t="n">
        <v>6</v>
      </c>
      <c r="E146" t="n">
        <v>91</v>
      </c>
      <c r="F146" t="inlineStr">
        <is>
          <t>+6 Sprint Speed 91</t>
        </is>
      </c>
      <c r="G146" t="inlineStr">
        <is>
          <t>Tricksy Hobbits - EA SPORTS FC 26</t>
        </is>
      </c>
      <c r="H146" t="inlineStr">
        <is>
          <t>Current</t>
        </is>
      </c>
      <c r="I146" t="inlineStr">
        <is>
          <t>Current Evolutions</t>
        </is>
      </c>
      <c r="J146" t="inlineStr">
        <is>
          <t>https://www.fut.gg/evolutions/1921-tricksy-hobbits/</t>
        </is>
      </c>
    </row>
    <row r="147">
      <c r="B147" t="inlineStr">
        <is>
          <t>Sub Stat</t>
        </is>
      </c>
      <c r="C147" t="inlineStr">
        <is>
          <t>Balance</t>
        </is>
      </c>
      <c r="D147" t="n">
        <v>6</v>
      </c>
      <c r="E147" t="n">
        <v>92</v>
      </c>
      <c r="F147" t="inlineStr">
        <is>
          <t>+6 Balance 92</t>
        </is>
      </c>
      <c r="G147" t="inlineStr">
        <is>
          <t>Tricksy Hobbits - EA SPORTS FC 26</t>
        </is>
      </c>
      <c r="H147" t="inlineStr">
        <is>
          <t>Current</t>
        </is>
      </c>
      <c r="I147" t="inlineStr">
        <is>
          <t>Current Evolutions</t>
        </is>
      </c>
      <c r="J147" t="inlineStr">
        <is>
          <t>https://www.fut.gg/evolutions/1921-tricksy-hobbits/</t>
        </is>
      </c>
    </row>
    <row r="148">
      <c r="B148" t="inlineStr">
        <is>
          <t>Sub Stat</t>
        </is>
      </c>
      <c r="C148" t="inlineStr">
        <is>
          <t>Acceleration</t>
        </is>
      </c>
      <c r="D148" t="n">
        <v>8</v>
      </c>
      <c r="E148" t="n">
        <v>93</v>
      </c>
      <c r="F148" t="inlineStr">
        <is>
          <t>+8 Acceleration 93</t>
        </is>
      </c>
      <c r="G148" t="inlineStr">
        <is>
          <t>Tricksy Hobbits - EA SPORTS FC 26</t>
        </is>
      </c>
      <c r="H148" t="inlineStr">
        <is>
          <t>Current</t>
        </is>
      </c>
      <c r="I148" t="inlineStr">
        <is>
          <t>Current Evolutions</t>
        </is>
      </c>
      <c r="J148" t="inlineStr">
        <is>
          <t>https://www.fut.gg/evolutions/1921-tricksy-hobbits/</t>
        </is>
      </c>
    </row>
    <row r="149">
      <c r="B149" t="inlineStr">
        <is>
          <t>Sub Stat</t>
        </is>
      </c>
      <c r="C149" t="inlineStr">
        <is>
          <t>Agility</t>
        </is>
      </c>
      <c r="D149" t="n">
        <v>8</v>
      </c>
      <c r="E149" t="n">
        <v>93</v>
      </c>
      <c r="F149" t="inlineStr">
        <is>
          <t>+8 Agility 93</t>
        </is>
      </c>
      <c r="G149" t="inlineStr">
        <is>
          <t>Tricksy Hobbits - EA SPORTS FC 26</t>
        </is>
      </c>
      <c r="H149" t="inlineStr">
        <is>
          <t>Current</t>
        </is>
      </c>
      <c r="I149" t="inlineStr">
        <is>
          <t>Current Evolutions</t>
        </is>
      </c>
      <c r="J149" t="inlineStr">
        <is>
          <t>https://www.fut.gg/evolutions/1921-tricksy-hobbits/</t>
        </is>
      </c>
    </row>
    <row r="150">
      <c r="B150" t="inlineStr">
        <is>
          <t>Face Stat</t>
        </is>
      </c>
      <c r="C150" t="inlineStr">
        <is>
          <t>OVR</t>
        </is>
      </c>
      <c r="D150" t="n">
        <v>1</v>
      </c>
      <c r="F150" t="inlineStr">
        <is>
          <t>+1 OVR</t>
        </is>
      </c>
      <c r="G150" t="inlineStr">
        <is>
          <t>Express Delivery - EA SPORTS FC 26</t>
        </is>
      </c>
      <c r="H150" t="inlineStr">
        <is>
          <t>Current</t>
        </is>
      </c>
      <c r="I150" t="inlineStr">
        <is>
          <t>Current Evolutions</t>
        </is>
      </c>
      <c r="J150" t="inlineStr">
        <is>
          <t>https://www.fut.gg/evolutions/1920-express-delivery/</t>
        </is>
      </c>
    </row>
    <row r="151">
      <c r="B151" t="inlineStr">
        <is>
          <t>Sub Stat</t>
        </is>
      </c>
      <c r="C151" t="inlineStr">
        <is>
          <t>Crossing</t>
        </is>
      </c>
      <c r="D151" t="n">
        <v>12</v>
      </c>
      <c r="E151" t="n">
        <v>93</v>
      </c>
      <c r="F151" t="inlineStr">
        <is>
          <t>+12 Crossing 93</t>
        </is>
      </c>
      <c r="G151" t="inlineStr">
        <is>
          <t>Express Delivery - EA SPORTS FC 26</t>
        </is>
      </c>
      <c r="H151" t="inlineStr">
        <is>
          <t>Current</t>
        </is>
      </c>
      <c r="I151" t="inlineStr">
        <is>
          <t>Current Evolutions</t>
        </is>
      </c>
      <c r="J151" t="inlineStr">
        <is>
          <t>https://www.fut.gg/evolutions/1920-express-delivery/</t>
        </is>
      </c>
    </row>
    <row r="152">
      <c r="B152" t="inlineStr">
        <is>
          <t>Sub Stat</t>
        </is>
      </c>
      <c r="C152" t="inlineStr">
        <is>
          <t>Short Passing</t>
        </is>
      </c>
      <c r="D152" t="n">
        <v>6</v>
      </c>
      <c r="E152" t="n">
        <v>90</v>
      </c>
      <c r="F152" t="inlineStr">
        <is>
          <t>+6 Short Pass 90</t>
        </is>
      </c>
      <c r="G152" t="inlineStr">
        <is>
          <t>Express Delivery - EA SPORTS FC 26</t>
        </is>
      </c>
      <c r="H152" t="inlineStr">
        <is>
          <t>Current</t>
        </is>
      </c>
      <c r="I152" t="inlineStr">
        <is>
          <t>Current Evolutions</t>
        </is>
      </c>
      <c r="J152" t="inlineStr">
        <is>
          <t>https://www.fut.gg/evolutions/1920-express-delivery/</t>
        </is>
      </c>
    </row>
    <row r="153">
      <c r="B153" t="inlineStr">
        <is>
          <t>Sub Stat</t>
        </is>
      </c>
      <c r="C153" t="inlineStr">
        <is>
          <t>Sprint Speed</t>
        </is>
      </c>
      <c r="D153" t="n">
        <v>6</v>
      </c>
      <c r="E153" t="n">
        <v>92</v>
      </c>
      <c r="F153" t="inlineStr">
        <is>
          <t>+6 Sprint Speed 92</t>
        </is>
      </c>
      <c r="G153" t="inlineStr">
        <is>
          <t>Express Delivery - EA SPORTS FC 26</t>
        </is>
      </c>
      <c r="H153" t="inlineStr">
        <is>
          <t>Current</t>
        </is>
      </c>
      <c r="I153" t="inlineStr">
        <is>
          <t>Current Evolutions</t>
        </is>
      </c>
      <c r="J153" t="inlineStr">
        <is>
          <t>https://www.fut.gg/evolutions/1920-express-delivery/</t>
        </is>
      </c>
    </row>
    <row r="154">
      <c r="B154" t="inlineStr">
        <is>
          <t>Sub Stat</t>
        </is>
      </c>
      <c r="C154" t="inlineStr">
        <is>
          <t>Long Passing</t>
        </is>
      </c>
      <c r="D154" t="n">
        <v>10</v>
      </c>
      <c r="E154" t="n">
        <v>92</v>
      </c>
      <c r="F154" t="inlineStr">
        <is>
          <t>+10 Long Pass 92</t>
        </is>
      </c>
      <c r="G154" t="inlineStr">
        <is>
          <t>Express Delivery - EA SPORTS FC 26</t>
        </is>
      </c>
      <c r="H154" t="inlineStr">
        <is>
          <t>Current</t>
        </is>
      </c>
      <c r="I154" t="inlineStr">
        <is>
          <t>Current Evolutions</t>
        </is>
      </c>
      <c r="J154" t="inlineStr">
        <is>
          <t>https://www.fut.gg/evolutions/1920-express-delivery/</t>
        </is>
      </c>
    </row>
    <row r="155">
      <c r="B155" t="inlineStr">
        <is>
          <t>Sub Stat</t>
        </is>
      </c>
      <c r="C155" t="inlineStr">
        <is>
          <t>Acceleration</t>
        </is>
      </c>
      <c r="D155" t="n">
        <v>6</v>
      </c>
      <c r="E155" t="n">
        <v>92</v>
      </c>
      <c r="F155" t="inlineStr">
        <is>
          <t>+6 Acceleration 92</t>
        </is>
      </c>
      <c r="G155" t="inlineStr">
        <is>
          <t>Express Delivery - EA SPORTS FC 26</t>
        </is>
      </c>
      <c r="H155" t="inlineStr">
        <is>
          <t>Current</t>
        </is>
      </c>
      <c r="I155" t="inlineStr">
        <is>
          <t>Current Evolutions</t>
        </is>
      </c>
      <c r="J155" t="inlineStr">
        <is>
          <t>https://www.fut.gg/evolutions/1920-express-delivery/</t>
        </is>
      </c>
    </row>
    <row r="156">
      <c r="B156" t="inlineStr">
        <is>
          <t>Sub Stat</t>
        </is>
      </c>
      <c r="C156" t="inlineStr">
        <is>
          <t>Curve</t>
        </is>
      </c>
      <c r="D156" t="n">
        <v>12</v>
      </c>
      <c r="E156" t="n">
        <v>92</v>
      </c>
      <c r="F156" t="inlineStr">
        <is>
          <t>+12 Curve 92</t>
        </is>
      </c>
      <c r="G156" t="inlineStr">
        <is>
          <t>Express Delivery - EA SPORTS FC 26</t>
        </is>
      </c>
      <c r="H156" t="inlineStr">
        <is>
          <t>Current</t>
        </is>
      </c>
      <c r="I156" t="inlineStr">
        <is>
          <t>Current Evolutions</t>
        </is>
      </c>
      <c r="J156" t="inlineStr">
        <is>
          <t>https://www.fut.gg/evolutions/1920-express-delivery/</t>
        </is>
      </c>
    </row>
    <row r="157">
      <c r="B157" t="inlineStr">
        <is>
          <t>Sub Stat</t>
        </is>
      </c>
      <c r="C157" t="inlineStr">
        <is>
          <t>Vision</t>
        </is>
      </c>
      <c r="D157" t="n">
        <v>8</v>
      </c>
      <c r="E157" t="n">
        <v>91</v>
      </c>
      <c r="F157" t="inlineStr">
        <is>
          <t>+8 Vision 91</t>
        </is>
      </c>
      <c r="G157" t="inlineStr">
        <is>
          <t>Express Delivery - EA SPORTS FC 26</t>
        </is>
      </c>
      <c r="H157" t="inlineStr">
        <is>
          <t>Current</t>
        </is>
      </c>
      <c r="I157" t="inlineStr">
        <is>
          <t>Current Evolutions</t>
        </is>
      </c>
      <c r="J157" t="inlineStr">
        <is>
          <t>https://www.fut.gg/evolutions/1920-express-delivery/</t>
        </is>
      </c>
    </row>
    <row r="158">
      <c r="B158" t="inlineStr">
        <is>
          <t>Sub Stat</t>
        </is>
      </c>
      <c r="C158" t="inlineStr">
        <is>
          <t>Stamina</t>
        </is>
      </c>
      <c r="D158" t="n">
        <v>10</v>
      </c>
      <c r="E158" t="n">
        <v>93</v>
      </c>
      <c r="F158" t="inlineStr">
        <is>
          <t>+10 Stamina 93</t>
        </is>
      </c>
      <c r="G158" t="inlineStr">
        <is>
          <t>Express Delivery - EA SPORTS FC 26</t>
        </is>
      </c>
      <c r="H158" t="inlineStr">
        <is>
          <t>Current</t>
        </is>
      </c>
      <c r="I158" t="inlineStr">
        <is>
          <t>Current Evolutions</t>
        </is>
      </c>
      <c r="J158" t="inlineStr">
        <is>
          <t>https://www.fut.gg/evolutions/1920-express-delivery/</t>
        </is>
      </c>
    </row>
    <row r="159">
      <c r="B159" t="inlineStr">
        <is>
          <t>Sub Stat</t>
        </is>
      </c>
      <c r="C159" t="inlineStr">
        <is>
          <t>Dribbling</t>
        </is>
      </c>
      <c r="D159" t="n">
        <v>8</v>
      </c>
      <c r="E159" t="n">
        <v>91</v>
      </c>
      <c r="F159" t="inlineStr">
        <is>
          <t>+8 Dribbling 91</t>
        </is>
      </c>
      <c r="G159" t="inlineStr">
        <is>
          <t>Express Delivery - EA SPORTS FC 26</t>
        </is>
      </c>
      <c r="H159" t="inlineStr">
        <is>
          <t>Current</t>
        </is>
      </c>
      <c r="I159" t="inlineStr">
        <is>
          <t>Current Evolutions</t>
        </is>
      </c>
      <c r="J159" t="inlineStr">
        <is>
          <t>https://www.fut.gg/evolutions/1920-express-delivery/</t>
        </is>
      </c>
    </row>
    <row r="160">
      <c r="B160" t="inlineStr">
        <is>
          <t>Sub Stat</t>
        </is>
      </c>
      <c r="C160" t="inlineStr">
        <is>
          <t>Agility</t>
        </is>
      </c>
      <c r="D160" t="n">
        <v>8</v>
      </c>
      <c r="E160" t="n">
        <v>91</v>
      </c>
      <c r="F160" t="inlineStr">
        <is>
          <t>+8 Agility 91</t>
        </is>
      </c>
      <c r="G160" t="inlineStr">
        <is>
          <t>Express Delivery - EA SPORTS FC 26</t>
        </is>
      </c>
      <c r="H160" t="inlineStr">
        <is>
          <t>Current</t>
        </is>
      </c>
      <c r="I160" t="inlineStr">
        <is>
          <t>Current Evolutions</t>
        </is>
      </c>
      <c r="J160" t="inlineStr">
        <is>
          <t>https://www.fut.gg/evolutions/1920-express-delivery/</t>
        </is>
      </c>
    </row>
    <row r="161">
      <c r="B161" t="inlineStr">
        <is>
          <t>Face Stat</t>
        </is>
      </c>
      <c r="C161" t="inlineStr">
        <is>
          <t>OVR</t>
        </is>
      </c>
      <c r="D161" t="n">
        <v>1</v>
      </c>
      <c r="F161" t="inlineStr">
        <is>
          <t>+1 OVR</t>
        </is>
      </c>
      <c r="G161" t="inlineStr">
        <is>
          <t>Express Delivery - EA SPORTS FC 26</t>
        </is>
      </c>
      <c r="H161" t="inlineStr">
        <is>
          <t>Current</t>
        </is>
      </c>
      <c r="I161" t="inlineStr">
        <is>
          <t>Current Evolutions</t>
        </is>
      </c>
      <c r="J161" t="inlineStr">
        <is>
          <t>https://www.fut.gg/evolutions/1920-express-delivery/</t>
        </is>
      </c>
    </row>
    <row r="162">
      <c r="B162" t="inlineStr">
        <is>
          <t>Sub Stat</t>
        </is>
      </c>
      <c r="C162" t="inlineStr">
        <is>
          <t>Crossing</t>
        </is>
      </c>
      <c r="D162" t="n">
        <v>12</v>
      </c>
      <c r="E162" t="n">
        <v>93</v>
      </c>
      <c r="F162" t="inlineStr">
        <is>
          <t>+12 Crossing 93</t>
        </is>
      </c>
      <c r="G162" t="inlineStr">
        <is>
          <t>Express Delivery - EA SPORTS FC 26</t>
        </is>
      </c>
      <c r="H162" t="inlineStr">
        <is>
          <t>Current</t>
        </is>
      </c>
      <c r="I162" t="inlineStr">
        <is>
          <t>Current Evolutions</t>
        </is>
      </c>
      <c r="J162" t="inlineStr">
        <is>
          <t>https://www.fut.gg/evolutions/1920-express-delivery/</t>
        </is>
      </c>
    </row>
    <row r="163">
      <c r="B163" t="inlineStr">
        <is>
          <t>Sub Stat</t>
        </is>
      </c>
      <c r="C163" t="inlineStr">
        <is>
          <t>Short Passing</t>
        </is>
      </c>
      <c r="D163" t="n">
        <v>6</v>
      </c>
      <c r="E163" t="n">
        <v>90</v>
      </c>
      <c r="F163" t="inlineStr">
        <is>
          <t>+6 Short Pass 90</t>
        </is>
      </c>
      <c r="G163" t="inlineStr">
        <is>
          <t>Express Delivery - EA SPORTS FC 26</t>
        </is>
      </c>
      <c r="H163" t="inlineStr">
        <is>
          <t>Current</t>
        </is>
      </c>
      <c r="I163" t="inlineStr">
        <is>
          <t>Current Evolutions</t>
        </is>
      </c>
      <c r="J163" t="inlineStr">
        <is>
          <t>https://www.fut.gg/evolutions/1920-express-delivery/</t>
        </is>
      </c>
    </row>
    <row r="164">
      <c r="B164" t="inlineStr">
        <is>
          <t>Sub Stat</t>
        </is>
      </c>
      <c r="C164" t="inlineStr">
        <is>
          <t>Sprint Speed</t>
        </is>
      </c>
      <c r="D164" t="n">
        <v>6</v>
      </c>
      <c r="E164" t="n">
        <v>92</v>
      </c>
      <c r="F164" t="inlineStr">
        <is>
          <t>+6 Sprint Speed 92</t>
        </is>
      </c>
      <c r="G164" t="inlineStr">
        <is>
          <t>Express Delivery - EA SPORTS FC 26</t>
        </is>
      </c>
      <c r="H164" t="inlineStr">
        <is>
          <t>Current</t>
        </is>
      </c>
      <c r="I164" t="inlineStr">
        <is>
          <t>Current Evolutions</t>
        </is>
      </c>
      <c r="J164" t="inlineStr">
        <is>
          <t>https://www.fut.gg/evolutions/1920-express-delivery/</t>
        </is>
      </c>
    </row>
    <row r="165">
      <c r="B165" t="inlineStr">
        <is>
          <t>Sub Stat</t>
        </is>
      </c>
      <c r="C165" t="inlineStr">
        <is>
          <t>Long Passing</t>
        </is>
      </c>
      <c r="D165" t="n">
        <v>10</v>
      </c>
      <c r="E165" t="n">
        <v>92</v>
      </c>
      <c r="F165" t="inlineStr">
        <is>
          <t>+10 Long Pass 92</t>
        </is>
      </c>
      <c r="G165" t="inlineStr">
        <is>
          <t>Express Delivery - EA SPORTS FC 26</t>
        </is>
      </c>
      <c r="H165" t="inlineStr">
        <is>
          <t>Current</t>
        </is>
      </c>
      <c r="I165" t="inlineStr">
        <is>
          <t>Current Evolutions</t>
        </is>
      </c>
      <c r="J165" t="inlineStr">
        <is>
          <t>https://www.fut.gg/evolutions/1920-express-delivery/</t>
        </is>
      </c>
    </row>
    <row r="166">
      <c r="B166" t="inlineStr">
        <is>
          <t>Face Stat</t>
        </is>
      </c>
      <c r="C166" t="inlineStr">
        <is>
          <t>OVR</t>
        </is>
      </c>
      <c r="D166" t="n">
        <v>15</v>
      </c>
      <c r="E166" t="n">
        <v>91</v>
      </c>
      <c r="F166" t="inlineStr">
        <is>
          <t>+15 OVR 91</t>
        </is>
      </c>
      <c r="G166" t="inlineStr">
        <is>
          <t>The Swan of Utrecht - EA SPORTS FC 26</t>
        </is>
      </c>
      <c r="H166" t="inlineStr">
        <is>
          <t>Current</t>
        </is>
      </c>
      <c r="I166" t="inlineStr">
        <is>
          <t>Current Evolutions</t>
        </is>
      </c>
      <c r="J166" t="inlineStr">
        <is>
          <t>https://www.fut.gg/evolutions/1919-the-swan-of-utrecht/</t>
        </is>
      </c>
    </row>
    <row r="167">
      <c r="B167" t="inlineStr">
        <is>
          <t>Face Stat</t>
        </is>
      </c>
      <c r="C167" t="inlineStr">
        <is>
          <t>PAS</t>
        </is>
      </c>
      <c r="D167" t="n">
        <v>8</v>
      </c>
      <c r="E167" t="n">
        <v>87</v>
      </c>
      <c r="F167" t="inlineStr">
        <is>
          <t>+8 PAS 87</t>
        </is>
      </c>
      <c r="G167" t="inlineStr">
        <is>
          <t>The Swan of Utrecht - EA SPORTS FC 26</t>
        </is>
      </c>
      <c r="H167" t="inlineStr">
        <is>
          <t>Current</t>
        </is>
      </c>
      <c r="I167" t="inlineStr">
        <is>
          <t>Current Evolutions</t>
        </is>
      </c>
      <c r="J167" t="inlineStr">
        <is>
          <t>https://www.fut.gg/evolutions/1919-the-swan-of-utrecht/</t>
        </is>
      </c>
    </row>
    <row r="168">
      <c r="B168" t="inlineStr">
        <is>
          <t>Skill</t>
        </is>
      </c>
      <c r="C168" t="inlineStr">
        <is>
          <t>WF</t>
        </is>
      </c>
      <c r="D168" t="n">
        <v>4</v>
      </c>
      <c r="E168" t="n">
        <v>5</v>
      </c>
      <c r="F168" t="inlineStr">
        <is>
          <t>+4 WF 5</t>
        </is>
      </c>
      <c r="G168" t="inlineStr">
        <is>
          <t>The Swan of Utrecht - EA SPORTS FC 26</t>
        </is>
      </c>
      <c r="H168" t="inlineStr">
        <is>
          <t>Current</t>
        </is>
      </c>
      <c r="I168" t="inlineStr">
        <is>
          <t>Current Evolutions</t>
        </is>
      </c>
      <c r="J168" t="inlineStr">
        <is>
          <t>https://www.fut.gg/evolutions/1919-the-swan-of-utrecht/</t>
        </is>
      </c>
    </row>
    <row r="169">
      <c r="B169" t="inlineStr">
        <is>
          <t>Sub Stat</t>
        </is>
      </c>
      <c r="C169" t="inlineStr">
        <is>
          <t>Dribbling</t>
        </is>
      </c>
      <c r="D169" t="n">
        <v>20</v>
      </c>
      <c r="E169" t="n">
        <v>91</v>
      </c>
      <c r="F169" t="inlineStr">
        <is>
          <t>+20 Dribbling 91</t>
        </is>
      </c>
      <c r="G169" t="inlineStr">
        <is>
          <t>The Swan of Utrecht - EA SPORTS FC 26</t>
        </is>
      </c>
      <c r="H169" t="inlineStr">
        <is>
          <t>Current</t>
        </is>
      </c>
      <c r="I169" t="inlineStr">
        <is>
          <t>Current Evolutions</t>
        </is>
      </c>
      <c r="J169" t="inlineStr">
        <is>
          <t>https://www.fut.gg/evolutions/1919-the-swan-of-utrecht/</t>
        </is>
      </c>
    </row>
    <row r="170">
      <c r="B170" t="inlineStr">
        <is>
          <t>Sub Stat</t>
        </is>
      </c>
      <c r="C170" t="inlineStr">
        <is>
          <t>Strength</t>
        </is>
      </c>
      <c r="D170" t="n">
        <v>15</v>
      </c>
      <c r="E170" t="n">
        <v>88</v>
      </c>
      <c r="F170" t="inlineStr">
        <is>
          <t>+15 Strength 88</t>
        </is>
      </c>
      <c r="G170" t="inlineStr">
        <is>
          <t>The Swan of Utrecht - EA SPORTS FC 26</t>
        </is>
      </c>
      <c r="H170" t="inlineStr">
        <is>
          <t>Current</t>
        </is>
      </c>
      <c r="I170" t="inlineStr">
        <is>
          <t>Current Evolutions</t>
        </is>
      </c>
      <c r="J170" t="inlineStr">
        <is>
          <t>https://www.fut.gg/evolutions/1919-the-swan-of-utrecht/</t>
        </is>
      </c>
    </row>
    <row r="171">
      <c r="B171" t="inlineStr">
        <is>
          <t>Sub Stat</t>
        </is>
      </c>
      <c r="C171" t="inlineStr">
        <is>
          <t>Positioning</t>
        </is>
      </c>
      <c r="D171" t="n">
        <v>25</v>
      </c>
      <c r="E171" t="n">
        <v>95</v>
      </c>
      <c r="F171" t="inlineStr">
        <is>
          <t>+25 Positioning 95</t>
        </is>
      </c>
      <c r="G171" t="inlineStr">
        <is>
          <t>The Swan of Utrecht - EA SPORTS FC 26</t>
        </is>
      </c>
      <c r="H171" t="inlineStr">
        <is>
          <t>Current</t>
        </is>
      </c>
      <c r="I171" t="inlineStr">
        <is>
          <t>Current Evolutions</t>
        </is>
      </c>
      <c r="J171" t="inlineStr">
        <is>
          <t>https://www.fut.gg/evolutions/1919-the-swan-of-utrecht/</t>
        </is>
      </c>
    </row>
    <row r="172">
      <c r="B172" t="inlineStr">
        <is>
          <t>Sub Stat</t>
        </is>
      </c>
      <c r="C172" t="inlineStr">
        <is>
          <t>Ball Control</t>
        </is>
      </c>
      <c r="D172" t="n">
        <v>25</v>
      </c>
      <c r="E172" t="n">
        <v>92</v>
      </c>
      <c r="F172" t="inlineStr">
        <is>
          <t>+25 Ball Control 92</t>
        </is>
      </c>
      <c r="G172" t="inlineStr">
        <is>
          <t>The Swan of Utrecht - EA SPORTS FC 26</t>
        </is>
      </c>
      <c r="H172" t="inlineStr">
        <is>
          <t>Current</t>
        </is>
      </c>
      <c r="I172" t="inlineStr">
        <is>
          <t>Current Evolutions</t>
        </is>
      </c>
      <c r="J172" t="inlineStr">
        <is>
          <t>https://www.fut.gg/evolutions/1919-the-swan-of-utrecht/</t>
        </is>
      </c>
    </row>
    <row r="173">
      <c r="B173" t="inlineStr">
        <is>
          <t>Sub Stat</t>
        </is>
      </c>
      <c r="C173" t="inlineStr">
        <is>
          <t>Sprint Speed</t>
        </is>
      </c>
      <c r="D173" t="n">
        <v>15</v>
      </c>
      <c r="E173" t="n">
        <v>91</v>
      </c>
      <c r="F173" t="inlineStr">
        <is>
          <t>+15 Sprint Speed 91</t>
        </is>
      </c>
      <c r="G173" t="inlineStr">
        <is>
          <t>The Swan of Utrecht - EA SPORTS FC 26</t>
        </is>
      </c>
      <c r="H173" t="inlineStr">
        <is>
          <t>Current</t>
        </is>
      </c>
      <c r="I173" t="inlineStr">
        <is>
          <t>Current Evolutions</t>
        </is>
      </c>
      <c r="J173" t="inlineStr">
        <is>
          <t>https://www.fut.gg/evolutions/1919-the-swan-of-utrecht/</t>
        </is>
      </c>
    </row>
    <row r="174">
      <c r="B174" t="inlineStr">
        <is>
          <t>Sub Stat</t>
        </is>
      </c>
      <c r="C174" t="inlineStr">
        <is>
          <t>Agility</t>
        </is>
      </c>
      <c r="D174" t="n">
        <v>20</v>
      </c>
      <c r="E174" t="n">
        <v>89</v>
      </c>
      <c r="F174" t="inlineStr">
        <is>
          <t>+20 Agility 89</t>
        </is>
      </c>
      <c r="G174" t="inlineStr">
        <is>
          <t>The Swan of Utrecht - EA SPORTS FC 26</t>
        </is>
      </c>
      <c r="H174" t="inlineStr">
        <is>
          <t>Current</t>
        </is>
      </c>
      <c r="I174" t="inlineStr">
        <is>
          <t>Current Evolutions</t>
        </is>
      </c>
      <c r="J174" t="inlineStr">
        <is>
          <t>https://www.fut.gg/evolutions/1919-the-swan-of-utrecht/</t>
        </is>
      </c>
    </row>
    <row r="175">
      <c r="B175" t="inlineStr">
        <is>
          <t>Sub Stat</t>
        </is>
      </c>
      <c r="C175" t="inlineStr">
        <is>
          <t>Balance</t>
        </is>
      </c>
      <c r="D175" t="n">
        <v>20</v>
      </c>
      <c r="E175" t="n">
        <v>89</v>
      </c>
      <c r="F175" t="inlineStr">
        <is>
          <t>+20 Balance 89</t>
        </is>
      </c>
      <c r="G175" t="inlineStr">
        <is>
          <t>The Swan of Utrecht - EA SPORTS FC 26</t>
        </is>
      </c>
      <c r="H175" t="inlineStr">
        <is>
          <t>Current</t>
        </is>
      </c>
      <c r="I175" t="inlineStr">
        <is>
          <t>Current Evolutions</t>
        </is>
      </c>
      <c r="J175" t="inlineStr">
        <is>
          <t>https://www.fut.gg/evolutions/1919-the-swan-of-utrecht/</t>
        </is>
      </c>
    </row>
    <row r="176">
      <c r="B176" t="inlineStr">
        <is>
          <t>Sub Stat</t>
        </is>
      </c>
      <c r="C176" t="inlineStr">
        <is>
          <t>Acceleration</t>
        </is>
      </c>
      <c r="D176" t="n">
        <v>15</v>
      </c>
      <c r="E176" t="n">
        <v>90</v>
      </c>
      <c r="F176" t="inlineStr">
        <is>
          <t>+15 Acceleration 90</t>
        </is>
      </c>
      <c r="G176" t="inlineStr">
        <is>
          <t>The Swan of Utrecht - EA SPORTS FC 26</t>
        </is>
      </c>
      <c r="H176" t="inlineStr">
        <is>
          <t>Current</t>
        </is>
      </c>
      <c r="I176" t="inlineStr">
        <is>
          <t>Current Evolutions</t>
        </is>
      </c>
      <c r="J176" t="inlineStr">
        <is>
          <t>https://www.fut.gg/evolutions/1919-the-swan-of-utrecht/</t>
        </is>
      </c>
    </row>
    <row r="177">
      <c r="B177" t="inlineStr">
        <is>
          <t>Sub Stat</t>
        </is>
      </c>
      <c r="C177" t="inlineStr">
        <is>
          <t>Finishing</t>
        </is>
      </c>
      <c r="D177" t="n">
        <v>25</v>
      </c>
      <c r="E177" t="n">
        <v>92</v>
      </c>
      <c r="F177" t="inlineStr">
        <is>
          <t>+25 Finishing 92</t>
        </is>
      </c>
      <c r="G177" t="inlineStr">
        <is>
          <t>The Swan of Utrecht - EA SPORTS FC 26</t>
        </is>
      </c>
      <c r="H177" t="inlineStr">
        <is>
          <t>Current</t>
        </is>
      </c>
      <c r="I177" t="inlineStr">
        <is>
          <t>Current Evolutions</t>
        </is>
      </c>
      <c r="J177" t="inlineStr">
        <is>
          <t>https://www.fut.gg/evolutions/1919-the-swan-of-utrecht/</t>
        </is>
      </c>
    </row>
    <row r="178">
      <c r="B178" t="inlineStr">
        <is>
          <t>Sub Stat</t>
        </is>
      </c>
      <c r="C178" t="inlineStr">
        <is>
          <t>Heading Accuracy</t>
        </is>
      </c>
      <c r="D178" t="n">
        <v>20</v>
      </c>
      <c r="E178" t="n">
        <v>90</v>
      </c>
      <c r="F178" t="inlineStr">
        <is>
          <t>+20 Heading Acc. 90</t>
        </is>
      </c>
      <c r="G178" t="inlineStr">
        <is>
          <t>The Swan of Utrecht - EA SPORTS FC 26</t>
        </is>
      </c>
      <c r="H178" t="inlineStr">
        <is>
          <t>Current</t>
        </is>
      </c>
      <c r="I178" t="inlineStr">
        <is>
          <t>Current Evolutions</t>
        </is>
      </c>
      <c r="J178" t="inlineStr">
        <is>
          <t>https://www.fut.gg/evolutions/1919-the-swan-of-utrecht/</t>
        </is>
      </c>
    </row>
    <row r="179">
      <c r="B179" t="inlineStr">
        <is>
          <t>Sub Stat</t>
        </is>
      </c>
      <c r="C179" t="inlineStr">
        <is>
          <t>Shot Power</t>
        </is>
      </c>
      <c r="D179" t="n">
        <v>25</v>
      </c>
      <c r="E179" t="n">
        <v>91</v>
      </c>
      <c r="F179" t="inlineStr">
        <is>
          <t>+25 Shot Power 91</t>
        </is>
      </c>
      <c r="G179" t="inlineStr">
        <is>
          <t>The Swan of Utrecht - EA SPORTS FC 26</t>
        </is>
      </c>
      <c r="H179" t="inlineStr">
        <is>
          <t>Current</t>
        </is>
      </c>
      <c r="I179" t="inlineStr">
        <is>
          <t>Current Evolutions</t>
        </is>
      </c>
      <c r="J179" t="inlineStr">
        <is>
          <t>https://www.fut.gg/evolutions/1919-the-swan-of-utrecht/</t>
        </is>
      </c>
    </row>
    <row r="180">
      <c r="B180" t="inlineStr">
        <is>
          <t>Sub Stat</t>
        </is>
      </c>
      <c r="C180" t="inlineStr">
        <is>
          <t>Long Shots</t>
        </is>
      </c>
      <c r="D180" t="n">
        <v>25</v>
      </c>
      <c r="E180" t="n">
        <v>89</v>
      </c>
      <c r="F180" t="inlineStr">
        <is>
          <t>+25 Long Shots 89</t>
        </is>
      </c>
      <c r="G180" t="inlineStr">
        <is>
          <t>The Swan of Utrecht - EA SPORTS FC 26</t>
        </is>
      </c>
      <c r="H180" t="inlineStr">
        <is>
          <t>Current</t>
        </is>
      </c>
      <c r="I180" t="inlineStr">
        <is>
          <t>Current Evolutions</t>
        </is>
      </c>
      <c r="J180" t="inlineStr">
        <is>
          <t>https://www.fut.gg/evolutions/1919-the-swan-of-utrecht/</t>
        </is>
      </c>
    </row>
    <row r="181">
      <c r="B181" t="inlineStr">
        <is>
          <t>Sub Stat</t>
        </is>
      </c>
      <c r="C181" t="inlineStr">
        <is>
          <t>Jumping</t>
        </is>
      </c>
      <c r="D181" t="n">
        <v>15</v>
      </c>
      <c r="E181" t="n">
        <v>89</v>
      </c>
      <c r="F181" t="inlineStr">
        <is>
          <t>+15 Jumping 89</t>
        </is>
      </c>
      <c r="G181" t="inlineStr">
        <is>
          <t>The Swan of Utrecht - EA SPORTS FC 26</t>
        </is>
      </c>
      <c r="H181" t="inlineStr">
        <is>
          <t>Current</t>
        </is>
      </c>
      <c r="I181" t="inlineStr">
        <is>
          <t>Current Evolutions</t>
        </is>
      </c>
      <c r="J181" t="inlineStr">
        <is>
          <t>https://www.fut.gg/evolutions/1919-the-swan-of-utrecht/</t>
        </is>
      </c>
    </row>
    <row r="182">
      <c r="B182" t="inlineStr">
        <is>
          <t>Sub Stat</t>
        </is>
      </c>
      <c r="C182" t="inlineStr">
        <is>
          <t>Composure</t>
        </is>
      </c>
      <c r="D182" t="n">
        <v>25</v>
      </c>
      <c r="E182" t="n">
        <v>92</v>
      </c>
      <c r="F182" t="inlineStr">
        <is>
          <t>+25 Composure 92</t>
        </is>
      </c>
      <c r="G182" t="inlineStr">
        <is>
          <t>The Swan of Utrecht - EA SPORTS FC 26</t>
        </is>
      </c>
      <c r="H182" t="inlineStr">
        <is>
          <t>Current</t>
        </is>
      </c>
      <c r="I182" t="inlineStr">
        <is>
          <t>Current Evolutions</t>
        </is>
      </c>
      <c r="J182" t="inlineStr">
        <is>
          <t>https://www.fut.gg/evolutions/1919-the-swan-of-utrecht/</t>
        </is>
      </c>
    </row>
    <row r="183">
      <c r="B183" t="inlineStr">
        <is>
          <t>Sub Stat</t>
        </is>
      </c>
      <c r="C183" t="inlineStr">
        <is>
          <t>Volleys</t>
        </is>
      </c>
      <c r="D183" t="n">
        <v>25</v>
      </c>
      <c r="E183" t="n">
        <v>93</v>
      </c>
      <c r="F183" t="inlineStr">
        <is>
          <t>+25 Volleys 93</t>
        </is>
      </c>
      <c r="G183" t="inlineStr">
        <is>
          <t>The Swan of Utrecht - EA SPORTS FC 26</t>
        </is>
      </c>
      <c r="H183" t="inlineStr">
        <is>
          <t>Current</t>
        </is>
      </c>
      <c r="I183" t="inlineStr">
        <is>
          <t>Current Evolutions</t>
        </is>
      </c>
      <c r="J183" t="inlineStr">
        <is>
          <t>https://www.fut.gg/evolutions/1919-the-swan-of-utrecht/</t>
        </is>
      </c>
    </row>
    <row r="184">
      <c r="B184" t="inlineStr">
        <is>
          <t>Sub Stat</t>
        </is>
      </c>
      <c r="C184" t="inlineStr">
        <is>
          <t>Reactions</t>
        </is>
      </c>
      <c r="D184" t="n">
        <v>25</v>
      </c>
      <c r="E184" t="n">
        <v>91</v>
      </c>
      <c r="F184" t="inlineStr">
        <is>
          <t>+25 Reactions 91</t>
        </is>
      </c>
      <c r="G184" t="inlineStr">
        <is>
          <t>The Swan of Utrecht - EA SPORTS FC 26</t>
        </is>
      </c>
      <c r="H184" t="inlineStr">
        <is>
          <t>Current</t>
        </is>
      </c>
      <c r="I184" t="inlineStr">
        <is>
          <t>Current Evolutions</t>
        </is>
      </c>
      <c r="J184" t="inlineStr">
        <is>
          <t>https://www.fut.gg/evolutions/1919-the-swan-of-utrecht/</t>
        </is>
      </c>
    </row>
    <row r="185">
      <c r="B185" t="inlineStr">
        <is>
          <t>Sub Stat</t>
        </is>
      </c>
      <c r="C185" t="inlineStr">
        <is>
          <t>Penalties</t>
        </is>
      </c>
      <c r="D185" t="n">
        <v>25</v>
      </c>
      <c r="E185" t="n">
        <v>89</v>
      </c>
      <c r="F185" t="inlineStr">
        <is>
          <t>+25 Penalties 89</t>
        </is>
      </c>
      <c r="G185" t="inlineStr">
        <is>
          <t>The Swan of Utrecht - EA SPORTS FC 26</t>
        </is>
      </c>
      <c r="H185" t="inlineStr">
        <is>
          <t>Current</t>
        </is>
      </c>
      <c r="I185" t="inlineStr">
        <is>
          <t>Current Evolutions</t>
        </is>
      </c>
      <c r="J185" t="inlineStr">
        <is>
          <t>https://www.fut.gg/evolutions/1919-the-swan-of-utrecht/</t>
        </is>
      </c>
    </row>
    <row r="186">
      <c r="B186" t="inlineStr">
        <is>
          <t>Sub Stat</t>
        </is>
      </c>
      <c r="C186" t="inlineStr">
        <is>
          <t>Stamina</t>
        </is>
      </c>
      <c r="D186" t="n">
        <v>15</v>
      </c>
      <c r="E186" t="n">
        <v>90</v>
      </c>
      <c r="F186" t="inlineStr">
        <is>
          <t>+15 Stamina 90</t>
        </is>
      </c>
      <c r="G186" t="inlineStr">
        <is>
          <t>The Swan of Utrecht - EA SPORTS FC 26</t>
        </is>
      </c>
      <c r="H186" t="inlineStr">
        <is>
          <t>Current</t>
        </is>
      </c>
      <c r="I186" t="inlineStr">
        <is>
          <t>Current Evolutions</t>
        </is>
      </c>
      <c r="J186" t="inlineStr">
        <is>
          <t>https://www.fut.gg/evolutions/1919-the-swan-of-utrecht/</t>
        </is>
      </c>
    </row>
    <row r="187">
      <c r="B187" t="inlineStr">
        <is>
          <t>Face Stat</t>
        </is>
      </c>
      <c r="C187" t="inlineStr">
        <is>
          <t>OVR</t>
        </is>
      </c>
      <c r="D187" t="n">
        <v>15</v>
      </c>
      <c r="E187" t="n">
        <v>91</v>
      </c>
      <c r="F187" t="inlineStr">
        <is>
          <t>+15 OVR 91</t>
        </is>
      </c>
      <c r="G187" t="inlineStr">
        <is>
          <t>The Swan of Utrecht - EA SPORTS FC 26</t>
        </is>
      </c>
      <c r="H187" t="inlineStr">
        <is>
          <t>Current</t>
        </is>
      </c>
      <c r="I187" t="inlineStr">
        <is>
          <t>Current Evolutions</t>
        </is>
      </c>
      <c r="J187" t="inlineStr">
        <is>
          <t>https://www.fut.gg/evolutions/1919-the-swan-of-utrecht/</t>
        </is>
      </c>
    </row>
    <row r="188">
      <c r="B188" t="inlineStr">
        <is>
          <t>Sub Stat</t>
        </is>
      </c>
      <c r="C188" t="inlineStr">
        <is>
          <t>Dribbling</t>
        </is>
      </c>
      <c r="D188" t="n">
        <v>20</v>
      </c>
      <c r="E188" t="n">
        <v>91</v>
      </c>
      <c r="F188" t="inlineStr">
        <is>
          <t>+20 Dribbling 91</t>
        </is>
      </c>
      <c r="G188" t="inlineStr">
        <is>
          <t>The Swan of Utrecht - EA SPORTS FC 26</t>
        </is>
      </c>
      <c r="H188" t="inlineStr">
        <is>
          <t>Current</t>
        </is>
      </c>
      <c r="I188" t="inlineStr">
        <is>
          <t>Current Evolutions</t>
        </is>
      </c>
      <c r="J188" t="inlineStr">
        <is>
          <t>https://www.fut.gg/evolutions/1919-the-swan-of-utrecht/</t>
        </is>
      </c>
    </row>
    <row r="189">
      <c r="B189" t="inlineStr">
        <is>
          <t>Sub Stat</t>
        </is>
      </c>
      <c r="C189" t="inlineStr">
        <is>
          <t>Strength</t>
        </is>
      </c>
      <c r="D189" t="n">
        <v>15</v>
      </c>
      <c r="E189" t="n">
        <v>88</v>
      </c>
      <c r="F189" t="inlineStr">
        <is>
          <t>+15 Strength 88</t>
        </is>
      </c>
      <c r="G189" t="inlineStr">
        <is>
          <t>The Swan of Utrecht - EA SPORTS FC 26</t>
        </is>
      </c>
      <c r="H189" t="inlineStr">
        <is>
          <t>Current</t>
        </is>
      </c>
      <c r="I189" t="inlineStr">
        <is>
          <t>Current Evolutions</t>
        </is>
      </c>
      <c r="J189" t="inlineStr">
        <is>
          <t>https://www.fut.gg/evolutions/1919-the-swan-of-utrecht/</t>
        </is>
      </c>
    </row>
    <row r="190">
      <c r="B190" t="inlineStr">
        <is>
          <t>Sub Stat</t>
        </is>
      </c>
      <c r="C190" t="inlineStr">
        <is>
          <t>Positioning</t>
        </is>
      </c>
      <c r="D190" t="n">
        <v>25</v>
      </c>
      <c r="E190" t="n">
        <v>95</v>
      </c>
      <c r="F190" t="inlineStr">
        <is>
          <t>+25 Positioning 95</t>
        </is>
      </c>
      <c r="G190" t="inlineStr">
        <is>
          <t>The Swan of Utrecht - EA SPORTS FC 26</t>
        </is>
      </c>
      <c r="H190" t="inlineStr">
        <is>
          <t>Current</t>
        </is>
      </c>
      <c r="I190" t="inlineStr">
        <is>
          <t>Current Evolutions</t>
        </is>
      </c>
      <c r="J190" t="inlineStr">
        <is>
          <t>https://www.fut.gg/evolutions/1919-the-swan-of-utrecht/</t>
        </is>
      </c>
    </row>
    <row r="191">
      <c r="B191" t="inlineStr">
        <is>
          <t>Sub Stat</t>
        </is>
      </c>
      <c r="C191" t="inlineStr">
        <is>
          <t>Ball Control</t>
        </is>
      </c>
      <c r="D191" t="n">
        <v>25</v>
      </c>
      <c r="E191" t="n">
        <v>92</v>
      </c>
      <c r="F191" t="inlineStr">
        <is>
          <t>+25 Ball Control 92</t>
        </is>
      </c>
      <c r="G191" t="inlineStr">
        <is>
          <t>The Swan of Utrecht - EA SPORTS FC 26</t>
        </is>
      </c>
      <c r="H191" t="inlineStr">
        <is>
          <t>Current</t>
        </is>
      </c>
      <c r="I191" t="inlineStr">
        <is>
          <t>Current Evolutions</t>
        </is>
      </c>
      <c r="J191" t="inlineStr">
        <is>
          <t>https://www.fut.gg/evolutions/1919-the-swan-of-utrecht/</t>
        </is>
      </c>
    </row>
    <row r="192">
      <c r="B192" t="inlineStr">
        <is>
          <t>Face Stat</t>
        </is>
      </c>
      <c r="C192" t="inlineStr">
        <is>
          <t>OVR</t>
        </is>
      </c>
      <c r="D192" t="n">
        <v>10</v>
      </c>
      <c r="E192" t="n">
        <v>86</v>
      </c>
      <c r="F192" t="inlineStr">
        <is>
          <t>+10 OVR 86</t>
        </is>
      </c>
      <c r="G192" t="inlineStr">
        <is>
          <t>Star in Motion - EA SPORTS FC 26</t>
        </is>
      </c>
      <c r="H192" t="inlineStr">
        <is>
          <t>Current</t>
        </is>
      </c>
      <c r="I192" t="inlineStr">
        <is>
          <t>Current Evolutions</t>
        </is>
      </c>
      <c r="J192" t="inlineStr">
        <is>
          <t>https://www.fut.gg/evolutions/1280-star-in-motion/</t>
        </is>
      </c>
    </row>
    <row r="193">
      <c r="B193" t="inlineStr">
        <is>
          <t>Face Stat</t>
        </is>
      </c>
      <c r="C193" t="inlineStr">
        <is>
          <t>PAC</t>
        </is>
      </c>
      <c r="D193" t="n">
        <v>25</v>
      </c>
      <c r="E193" t="n">
        <v>80</v>
      </c>
      <c r="F193" t="inlineStr">
        <is>
          <t>+25 PAC 80</t>
        </is>
      </c>
      <c r="G193" t="inlineStr">
        <is>
          <t>Star in Motion - EA SPORTS FC 26</t>
        </is>
      </c>
      <c r="H193" t="inlineStr">
        <is>
          <t>Current</t>
        </is>
      </c>
      <c r="I193" t="inlineStr">
        <is>
          <t>Current Evolutions</t>
        </is>
      </c>
      <c r="J193" t="inlineStr">
        <is>
          <t>https://www.fut.gg/evolutions/1280-star-in-motion/</t>
        </is>
      </c>
    </row>
    <row r="194">
      <c r="B194" t="inlineStr">
        <is>
          <t>Face Stat</t>
        </is>
      </c>
      <c r="C194" t="inlineStr">
        <is>
          <t>SHO</t>
        </is>
      </c>
      <c r="D194" t="n">
        <v>10</v>
      </c>
      <c r="E194" t="n">
        <v>82</v>
      </c>
      <c r="F194" t="inlineStr">
        <is>
          <t>+10 SHO 82</t>
        </is>
      </c>
      <c r="G194" t="inlineStr">
        <is>
          <t>Star in Motion - EA SPORTS FC 26</t>
        </is>
      </c>
      <c r="H194" t="inlineStr">
        <is>
          <t>Current</t>
        </is>
      </c>
      <c r="I194" t="inlineStr">
        <is>
          <t>Current Evolutions</t>
        </is>
      </c>
      <c r="J194" t="inlineStr">
        <is>
          <t>https://www.fut.gg/evolutions/1280-star-in-motion/</t>
        </is>
      </c>
    </row>
    <row r="195">
      <c r="B195" t="inlineStr">
        <is>
          <t>Face Stat</t>
        </is>
      </c>
      <c r="C195" t="inlineStr">
        <is>
          <t>DRI</t>
        </is>
      </c>
      <c r="D195" t="n">
        <v>10</v>
      </c>
      <c r="E195" t="n">
        <v>88</v>
      </c>
      <c r="F195" t="inlineStr">
        <is>
          <t>+10 DRI 88</t>
        </is>
      </c>
      <c r="G195" t="inlineStr">
        <is>
          <t>Star in Motion - EA SPORTS FC 26</t>
        </is>
      </c>
      <c r="H195" t="inlineStr">
        <is>
          <t>Current</t>
        </is>
      </c>
      <c r="I195" t="inlineStr">
        <is>
          <t>Current Evolutions</t>
        </is>
      </c>
      <c r="J195" t="inlineStr">
        <is>
          <t>https://www.fut.gg/evolutions/1280-star-in-motion/</t>
        </is>
      </c>
    </row>
    <row r="196">
      <c r="B196" t="inlineStr">
        <is>
          <t>Face Stat</t>
        </is>
      </c>
      <c r="C196" t="inlineStr">
        <is>
          <t>DEF</t>
        </is>
      </c>
      <c r="D196" t="n">
        <v>5</v>
      </c>
      <c r="E196" t="n">
        <v>60</v>
      </c>
      <c r="F196" t="inlineStr">
        <is>
          <t>+5 DEF 60</t>
        </is>
      </c>
      <c r="G196" t="inlineStr">
        <is>
          <t>Star in Motion - EA SPORTS FC 26</t>
        </is>
      </c>
      <c r="H196" t="inlineStr">
        <is>
          <t>Current</t>
        </is>
      </c>
      <c r="I196" t="inlineStr">
        <is>
          <t>Current Evolutions</t>
        </is>
      </c>
      <c r="J196" t="inlineStr">
        <is>
          <t>https://www.fut.gg/evolutions/1280-star-in-motion/</t>
        </is>
      </c>
    </row>
    <row r="197">
      <c r="B197" t="inlineStr">
        <is>
          <t>Face Stat</t>
        </is>
      </c>
      <c r="C197" t="inlineStr">
        <is>
          <t>PAS</t>
        </is>
      </c>
      <c r="D197" t="n">
        <v>10</v>
      </c>
      <c r="E197" t="n">
        <v>82</v>
      </c>
      <c r="F197" t="inlineStr">
        <is>
          <t>+10 PAS 82</t>
        </is>
      </c>
      <c r="G197" t="inlineStr">
        <is>
          <t>Star in Motion - EA SPORTS FC 26</t>
        </is>
      </c>
      <c r="H197" t="inlineStr">
        <is>
          <t>Current</t>
        </is>
      </c>
      <c r="I197" t="inlineStr">
        <is>
          <t>Current Evolutions</t>
        </is>
      </c>
      <c r="J197" t="inlineStr">
        <is>
          <t>https://www.fut.gg/evolutions/1280-star-in-motion/</t>
        </is>
      </c>
    </row>
    <row r="198">
      <c r="B198" t="inlineStr">
        <is>
          <t>Skill</t>
        </is>
      </c>
      <c r="C198" t="inlineStr">
        <is>
          <t>SM</t>
        </is>
      </c>
      <c r="D198" t="n">
        <v>4</v>
      </c>
      <c r="F198" t="inlineStr">
        <is>
          <t>+4 SM</t>
        </is>
      </c>
      <c r="G198" t="inlineStr">
        <is>
          <t>Star in Motion - EA SPORTS FC 26</t>
        </is>
      </c>
      <c r="H198" t="inlineStr">
        <is>
          <t>Current</t>
        </is>
      </c>
      <c r="I198" t="inlineStr">
        <is>
          <t>Current Evolutions</t>
        </is>
      </c>
      <c r="J198" t="inlineStr">
        <is>
          <t>https://www.fut.gg/evolutions/1280-star-in-motion/</t>
        </is>
      </c>
    </row>
    <row r="199">
      <c r="B199" t="inlineStr">
        <is>
          <t>Sub Stat</t>
        </is>
      </c>
      <c r="C199" t="inlineStr">
        <is>
          <t>Jumping</t>
        </is>
      </c>
      <c r="D199" t="n">
        <v>15</v>
      </c>
      <c r="E199" t="n">
        <v>80</v>
      </c>
      <c r="F199" t="inlineStr">
        <is>
          <t>+15 Jumping 80</t>
        </is>
      </c>
      <c r="G199" t="inlineStr">
        <is>
          <t>Star in Motion - EA SPORTS FC 26</t>
        </is>
      </c>
      <c r="H199" t="inlineStr">
        <is>
          <t>Current</t>
        </is>
      </c>
      <c r="I199" t="inlineStr">
        <is>
          <t>Current Evolutions</t>
        </is>
      </c>
      <c r="J199" t="inlineStr">
        <is>
          <t>https://www.fut.gg/evolutions/1280-star-in-motion/</t>
        </is>
      </c>
    </row>
    <row r="200">
      <c r="B200" t="inlineStr">
        <is>
          <t>Sub Stat</t>
        </is>
      </c>
      <c r="C200" t="inlineStr">
        <is>
          <t>Stamina</t>
        </is>
      </c>
      <c r="D200" t="n">
        <v>20</v>
      </c>
      <c r="E200" t="n">
        <v>80</v>
      </c>
      <c r="F200" t="inlineStr">
        <is>
          <t>+20 Stamina 80</t>
        </is>
      </c>
      <c r="G200" t="inlineStr">
        <is>
          <t>Star in Motion - EA SPORTS FC 26</t>
        </is>
      </c>
      <c r="H200" t="inlineStr">
        <is>
          <t>Current</t>
        </is>
      </c>
      <c r="I200" t="inlineStr">
        <is>
          <t>Current Evolutions</t>
        </is>
      </c>
      <c r="J200" t="inlineStr">
        <is>
          <t>https://www.fut.gg/evolutions/1280-star-in-motion/</t>
        </is>
      </c>
    </row>
    <row r="201">
      <c r="B201" t="inlineStr">
        <is>
          <t>Sub Stat</t>
        </is>
      </c>
      <c r="C201" t="inlineStr">
        <is>
          <t>Aggression</t>
        </is>
      </c>
      <c r="D201" t="n">
        <v>15</v>
      </c>
      <c r="E201" t="n">
        <v>65</v>
      </c>
      <c r="F201" t="inlineStr">
        <is>
          <t>+15 Aggression 65</t>
        </is>
      </c>
      <c r="G201" t="inlineStr">
        <is>
          <t>Star in Motion - EA SPORTS FC 26</t>
        </is>
      </c>
      <c r="H201" t="inlineStr">
        <is>
          <t>Current</t>
        </is>
      </c>
      <c r="I201" t="inlineStr">
        <is>
          <t>Current Evolutions</t>
        </is>
      </c>
      <c r="J201" t="inlineStr">
        <is>
          <t>https://www.fut.gg/evolutions/1280-star-in-motion/</t>
        </is>
      </c>
    </row>
    <row r="202">
      <c r="B202" t="inlineStr">
        <is>
          <t>Sub Stat</t>
        </is>
      </c>
      <c r="C202" t="inlineStr">
        <is>
          <t>Strength</t>
        </is>
      </c>
      <c r="D202" t="n">
        <v>15</v>
      </c>
      <c r="E202" t="n">
        <v>70</v>
      </c>
      <c r="F202" t="inlineStr">
        <is>
          <t>+15 Strength 70</t>
        </is>
      </c>
      <c r="G202" t="inlineStr">
        <is>
          <t>Star in Motion - EA SPORTS FC 26</t>
        </is>
      </c>
      <c r="H202" t="inlineStr">
        <is>
          <t>Current</t>
        </is>
      </c>
      <c r="I202" t="inlineStr">
        <is>
          <t>Current Evolutions</t>
        </is>
      </c>
      <c r="J202" t="inlineStr">
        <is>
          <t>https://www.fut.gg/evolutions/1280-star-in-motion/</t>
        </is>
      </c>
    </row>
    <row r="203">
      <c r="B203" t="inlineStr">
        <is>
          <t>Face Stat</t>
        </is>
      </c>
      <c r="C203" t="inlineStr">
        <is>
          <t>OVR</t>
        </is>
      </c>
      <c r="D203" t="n">
        <v>10</v>
      </c>
      <c r="E203" t="n">
        <v>86</v>
      </c>
      <c r="F203" t="inlineStr">
        <is>
          <t>+10 OVR 86</t>
        </is>
      </c>
      <c r="G203" t="inlineStr">
        <is>
          <t>Star in Motion - EA SPORTS FC 26</t>
        </is>
      </c>
      <c r="H203" t="inlineStr">
        <is>
          <t>Current</t>
        </is>
      </c>
      <c r="I203" t="inlineStr">
        <is>
          <t>Current Evolutions</t>
        </is>
      </c>
      <c r="J203" t="inlineStr">
        <is>
          <t>https://www.fut.gg/evolutions/1280-star-in-motion/</t>
        </is>
      </c>
    </row>
    <row r="204">
      <c r="B204" t="inlineStr">
        <is>
          <t>Face Stat</t>
        </is>
      </c>
      <c r="C204" t="inlineStr">
        <is>
          <t>PAC</t>
        </is>
      </c>
      <c r="D204" t="n">
        <v>10</v>
      </c>
      <c r="E204" t="n">
        <v>80</v>
      </c>
      <c r="F204" t="inlineStr">
        <is>
          <t>+10 PAC 80</t>
        </is>
      </c>
      <c r="G204" t="inlineStr">
        <is>
          <t>Star in Motion - EA SPORTS FC 26</t>
        </is>
      </c>
      <c r="H204" t="inlineStr">
        <is>
          <t>Current</t>
        </is>
      </c>
      <c r="I204" t="inlineStr">
        <is>
          <t>Current Evolutions</t>
        </is>
      </c>
      <c r="J204" t="inlineStr">
        <is>
          <t>https://www.fut.gg/evolutions/1280-star-in-motion/</t>
        </is>
      </c>
    </row>
    <row r="205">
      <c r="B205" t="inlineStr">
        <is>
          <t>Face Stat</t>
        </is>
      </c>
      <c r="C205" t="inlineStr">
        <is>
          <t>SHO</t>
        </is>
      </c>
      <c r="D205" t="n">
        <v>5</v>
      </c>
      <c r="E205" t="n">
        <v>82</v>
      </c>
      <c r="F205" t="inlineStr">
        <is>
          <t>+5 SHO 82</t>
        </is>
      </c>
      <c r="G205" t="inlineStr">
        <is>
          <t>Star in Motion - EA SPORTS FC 26</t>
        </is>
      </c>
      <c r="H205" t="inlineStr">
        <is>
          <t>Current</t>
        </is>
      </c>
      <c r="I205" t="inlineStr">
        <is>
          <t>Current Evolutions</t>
        </is>
      </c>
      <c r="J205" t="inlineStr">
        <is>
          <t>https://www.fut.gg/evolutions/1280-star-in-motion/</t>
        </is>
      </c>
    </row>
    <row r="206">
      <c r="B206" t="inlineStr">
        <is>
          <t>Face Stat</t>
        </is>
      </c>
      <c r="C206" t="inlineStr">
        <is>
          <t>DRI</t>
        </is>
      </c>
      <c r="D206" t="n">
        <v>5</v>
      </c>
      <c r="E206" t="n">
        <v>88</v>
      </c>
      <c r="F206" t="inlineStr">
        <is>
          <t>+5 DRI 88</t>
        </is>
      </c>
      <c r="G206" t="inlineStr">
        <is>
          <t>Star in Motion - EA SPORTS FC 26</t>
        </is>
      </c>
      <c r="H206" t="inlineStr">
        <is>
          <t>Current</t>
        </is>
      </c>
      <c r="I206" t="inlineStr">
        <is>
          <t>Current Evolutions</t>
        </is>
      </c>
      <c r="J206" t="inlineStr">
        <is>
          <t>https://www.fut.gg/evolutions/1280-star-in-motion/</t>
        </is>
      </c>
    </row>
    <row r="207">
      <c r="B207" t="inlineStr">
        <is>
          <t>Skill</t>
        </is>
      </c>
      <c r="C207" t="inlineStr">
        <is>
          <t>SM</t>
        </is>
      </c>
      <c r="D207" t="n">
        <v>2</v>
      </c>
      <c r="E207" t="n">
        <v>6</v>
      </c>
      <c r="F207" t="inlineStr">
        <is>
          <t>+2 SM 6</t>
        </is>
      </c>
      <c r="G207" t="inlineStr">
        <is>
          <t>Star in Motion - EA SPORTS FC 26</t>
        </is>
      </c>
      <c r="H207" t="inlineStr">
        <is>
          <t>Current</t>
        </is>
      </c>
      <c r="I207" t="inlineStr">
        <is>
          <t>Current Evolutions</t>
        </is>
      </c>
      <c r="J207" t="inlineStr">
        <is>
          <t>https://www.fut.gg/evolutions/1280-star-in-motion/</t>
        </is>
      </c>
    </row>
    <row r="208">
      <c r="B208" t="inlineStr">
        <is>
          <t>Face Stat</t>
        </is>
      </c>
      <c r="C208" t="inlineStr">
        <is>
          <t>OVR</t>
        </is>
      </c>
      <c r="D208" t="n">
        <v>1</v>
      </c>
      <c r="E208" t="n">
        <v>82</v>
      </c>
      <c r="F208" t="inlineStr">
        <is>
          <t>+1 OVR 82</t>
        </is>
      </c>
      <c r="G208" t="inlineStr">
        <is>
          <t>Intro to Evolutions - EA SPORTS FC 26</t>
        </is>
      </c>
      <c r="H208" t="inlineStr">
        <is>
          <t>Current</t>
        </is>
      </c>
      <c r="I208" t="inlineStr">
        <is>
          <t>Current Evolutions</t>
        </is>
      </c>
      <c r="J208" t="inlineStr">
        <is>
          <t>https://www.fut.gg/evolutions/1211-intro-to-evolutions/</t>
        </is>
      </c>
    </row>
    <row r="209">
      <c r="B209" t="inlineStr">
        <is>
          <t>Face Stat</t>
        </is>
      </c>
      <c r="C209" t="inlineStr">
        <is>
          <t>PAC</t>
        </is>
      </c>
      <c r="D209" t="n">
        <v>1</v>
      </c>
      <c r="E209" t="n">
        <v>83</v>
      </c>
      <c r="F209" t="inlineStr">
        <is>
          <t>+1 PAC 83</t>
        </is>
      </c>
      <c r="G209" t="inlineStr">
        <is>
          <t>Intro to Evolutions - EA SPORTS FC 26</t>
        </is>
      </c>
      <c r="H209" t="inlineStr">
        <is>
          <t>Current</t>
        </is>
      </c>
      <c r="I209" t="inlineStr">
        <is>
          <t>Current Evolutions</t>
        </is>
      </c>
      <c r="J209" t="inlineStr">
        <is>
          <t>https://www.fut.gg/evolutions/1211-intro-to-evolutions/</t>
        </is>
      </c>
    </row>
    <row r="210">
      <c r="B210" t="inlineStr">
        <is>
          <t>Face Stat</t>
        </is>
      </c>
      <c r="C210" t="inlineStr">
        <is>
          <t>SHO</t>
        </is>
      </c>
      <c r="D210" t="n">
        <v>1</v>
      </c>
      <c r="E210" t="n">
        <v>83</v>
      </c>
      <c r="F210" t="inlineStr">
        <is>
          <t>+1 SHO 83</t>
        </is>
      </c>
      <c r="G210" t="inlineStr">
        <is>
          <t>Intro to Evolutions - EA SPORTS FC 26</t>
        </is>
      </c>
      <c r="H210" t="inlineStr">
        <is>
          <t>Current</t>
        </is>
      </c>
      <c r="I210" t="inlineStr">
        <is>
          <t>Current Evolutions</t>
        </is>
      </c>
      <c r="J210" t="inlineStr">
        <is>
          <t>https://www.fut.gg/evolutions/1211-intro-to-evolutions/</t>
        </is>
      </c>
    </row>
    <row r="211">
      <c r="B211" t="inlineStr">
        <is>
          <t>Face Stat</t>
        </is>
      </c>
      <c r="C211" t="inlineStr">
        <is>
          <t>OVR</t>
        </is>
      </c>
      <c r="D211" t="n">
        <v>1</v>
      </c>
      <c r="E211" t="n">
        <v>82</v>
      </c>
      <c r="F211" t="inlineStr">
        <is>
          <t>+1 OVR 82</t>
        </is>
      </c>
      <c r="G211" t="inlineStr">
        <is>
          <t>Intro to Evolutions - EA SPORTS FC 26</t>
        </is>
      </c>
      <c r="H211" t="inlineStr">
        <is>
          <t>Current</t>
        </is>
      </c>
      <c r="I211" t="inlineStr">
        <is>
          <t>Current Evolutions</t>
        </is>
      </c>
      <c r="J211" t="inlineStr">
        <is>
          <t>https://www.fut.gg/evolutions/1211-intro-to-evolutions/</t>
        </is>
      </c>
    </row>
    <row r="212">
      <c r="B212" t="inlineStr">
        <is>
          <t>Face Stat</t>
        </is>
      </c>
      <c r="C212" t="inlineStr">
        <is>
          <t>PAC</t>
        </is>
      </c>
      <c r="D212" t="n">
        <v>1</v>
      </c>
      <c r="E212" t="n">
        <v>83</v>
      </c>
      <c r="F212" t="inlineStr">
        <is>
          <t>+1 PAC 83</t>
        </is>
      </c>
      <c r="G212" t="inlineStr">
        <is>
          <t>Intro to Evolutions - EA SPORTS FC 26</t>
        </is>
      </c>
      <c r="H212" t="inlineStr">
        <is>
          <t>Current</t>
        </is>
      </c>
      <c r="I212" t="inlineStr">
        <is>
          <t>Current Evolutions</t>
        </is>
      </c>
      <c r="J212" t="inlineStr">
        <is>
          <t>https://www.fut.gg/evolutions/1211-intro-to-evolutions/</t>
        </is>
      </c>
    </row>
    <row r="213">
      <c r="B213" t="inlineStr">
        <is>
          <t>Face Stat</t>
        </is>
      </c>
      <c r="C213" t="inlineStr">
        <is>
          <t>SHO</t>
        </is>
      </c>
      <c r="D213" t="n">
        <v>1</v>
      </c>
      <c r="E213" t="n">
        <v>83</v>
      </c>
      <c r="F213" t="inlineStr">
        <is>
          <t>+1 SHO 83</t>
        </is>
      </c>
      <c r="G213" t="inlineStr">
        <is>
          <t>Intro to Evolutions - EA SPORTS FC 26</t>
        </is>
      </c>
      <c r="H213" t="inlineStr">
        <is>
          <t>Current</t>
        </is>
      </c>
      <c r="I213" t="inlineStr">
        <is>
          <t>Current Evolutions</t>
        </is>
      </c>
      <c r="J213" t="inlineStr">
        <is>
          <t>https://www.fut.gg/evolutions/1211-intro-to-evolutions/</t>
        </is>
      </c>
    </row>
    <row r="214">
      <c r="B214" t="inlineStr">
        <is>
          <t>Face Stat</t>
        </is>
      </c>
      <c r="C214" t="inlineStr">
        <is>
          <t>OVR</t>
        </is>
      </c>
      <c r="D214" t="n">
        <v>15</v>
      </c>
      <c r="E214" t="n">
        <v>89</v>
      </c>
      <c r="F214" t="inlineStr">
        <is>
          <t>+15 OVR 89</t>
        </is>
      </c>
      <c r="G214" t="inlineStr">
        <is>
          <t>Welsh Wonder Strike [Store] - EA SPORTS FC 26</t>
        </is>
      </c>
      <c r="H214" t="inlineStr">
        <is>
          <t>Reward</t>
        </is>
      </c>
      <c r="I214" t="inlineStr">
        <is>
          <t>Reward</t>
        </is>
      </c>
      <c r="J214" t="inlineStr">
        <is>
          <t>https://www.fut.gg/evolutions/1960-welsh-wonder-strike-store/</t>
        </is>
      </c>
    </row>
    <row r="215">
      <c r="B215" t="inlineStr">
        <is>
          <t>Sub Stat</t>
        </is>
      </c>
      <c r="C215" t="inlineStr">
        <is>
          <t>Acceleration</t>
        </is>
      </c>
      <c r="D215" t="n">
        <v>25</v>
      </c>
      <c r="E215" t="n">
        <v>90</v>
      </c>
      <c r="F215" t="inlineStr">
        <is>
          <t>+25 Acceleration 90</t>
        </is>
      </c>
      <c r="G215" t="inlineStr">
        <is>
          <t>Welsh Wonder Strike [Store] - EA SPORTS FC 26</t>
        </is>
      </c>
      <c r="H215" t="inlineStr">
        <is>
          <t>Reward</t>
        </is>
      </c>
      <c r="I215" t="inlineStr">
        <is>
          <t>Reward</t>
        </is>
      </c>
      <c r="J215" t="inlineStr">
        <is>
          <t>https://www.fut.gg/evolutions/1960-welsh-wonder-strike-store/</t>
        </is>
      </c>
    </row>
    <row r="216">
      <c r="B216" t="inlineStr">
        <is>
          <t>Sub Stat</t>
        </is>
      </c>
      <c r="C216" t="inlineStr">
        <is>
          <t>Shot Power</t>
        </is>
      </c>
      <c r="D216" t="n">
        <v>20</v>
      </c>
      <c r="E216" t="n">
        <v>90</v>
      </c>
      <c r="F216" t="inlineStr">
        <is>
          <t>+20 Shot Power 90</t>
        </is>
      </c>
      <c r="G216" t="inlineStr">
        <is>
          <t>Welsh Wonder Strike [Store] - EA SPORTS FC 26</t>
        </is>
      </c>
      <c r="H216" t="inlineStr">
        <is>
          <t>Reward</t>
        </is>
      </c>
      <c r="I216" t="inlineStr">
        <is>
          <t>Reward</t>
        </is>
      </c>
      <c r="J216" t="inlineStr">
        <is>
          <t>https://www.fut.gg/evolutions/1960-welsh-wonder-strike-store/</t>
        </is>
      </c>
    </row>
    <row r="217">
      <c r="B217" t="inlineStr">
        <is>
          <t>Sub Stat</t>
        </is>
      </c>
      <c r="C217" t="inlineStr">
        <is>
          <t>Vision</t>
        </is>
      </c>
      <c r="D217" t="n">
        <v>10</v>
      </c>
      <c r="E217" t="n">
        <v>87</v>
      </c>
      <c r="F217" t="inlineStr">
        <is>
          <t>+10 Vision 87</t>
        </is>
      </c>
      <c r="G217" t="inlineStr">
        <is>
          <t>Welsh Wonder Strike [Store] - EA SPORTS FC 26</t>
        </is>
      </c>
      <c r="H217" t="inlineStr">
        <is>
          <t>Reward</t>
        </is>
      </c>
      <c r="I217" t="inlineStr">
        <is>
          <t>Reward</t>
        </is>
      </c>
      <c r="J217" t="inlineStr">
        <is>
          <t>https://www.fut.gg/evolutions/1960-welsh-wonder-strike-store/</t>
        </is>
      </c>
    </row>
    <row r="218">
      <c r="B218" t="inlineStr">
        <is>
          <t>Sub Stat</t>
        </is>
      </c>
      <c r="C218" t="inlineStr">
        <is>
          <t>Composure</t>
        </is>
      </c>
      <c r="D218" t="n">
        <v>25</v>
      </c>
      <c r="E218" t="n">
        <v>88</v>
      </c>
      <c r="F218" t="inlineStr">
        <is>
          <t>+25 Composure 88</t>
        </is>
      </c>
      <c r="G218" t="inlineStr">
        <is>
          <t>Welsh Wonder Strike [Store] - EA SPORTS FC 26</t>
        </is>
      </c>
      <c r="H218" t="inlineStr">
        <is>
          <t>Reward</t>
        </is>
      </c>
      <c r="I218" t="inlineStr">
        <is>
          <t>Reward</t>
        </is>
      </c>
      <c r="J218" t="inlineStr">
        <is>
          <t>https://www.fut.gg/evolutions/1960-welsh-wonder-strike-store/</t>
        </is>
      </c>
    </row>
    <row r="219">
      <c r="B219" t="inlineStr">
        <is>
          <t>Sub Stat</t>
        </is>
      </c>
      <c r="C219" t="inlineStr">
        <is>
          <t>Sprint Speed</t>
        </is>
      </c>
      <c r="D219" t="n">
        <v>25</v>
      </c>
      <c r="E219" t="n">
        <v>93</v>
      </c>
      <c r="F219" t="inlineStr">
        <is>
          <t>+25 Sprint Speed 93</t>
        </is>
      </c>
      <c r="G219" t="inlineStr">
        <is>
          <t>Welsh Wonder Strike [Store] - EA SPORTS FC 26</t>
        </is>
      </c>
      <c r="H219" t="inlineStr">
        <is>
          <t>Reward</t>
        </is>
      </c>
      <c r="I219" t="inlineStr">
        <is>
          <t>Reward</t>
        </is>
      </c>
      <c r="J219" t="inlineStr">
        <is>
          <t>https://www.fut.gg/evolutions/1960-welsh-wonder-strike-store/</t>
        </is>
      </c>
    </row>
    <row r="220">
      <c r="B220" t="inlineStr">
        <is>
          <t>Sub Stat</t>
        </is>
      </c>
      <c r="C220" t="inlineStr">
        <is>
          <t>Long Shots</t>
        </is>
      </c>
      <c r="D220" t="n">
        <v>20</v>
      </c>
      <c r="E220" t="n">
        <v>90</v>
      </c>
      <c r="F220" t="inlineStr">
        <is>
          <t>+20 Long Shots 90</t>
        </is>
      </c>
      <c r="G220" t="inlineStr">
        <is>
          <t>Welsh Wonder Strike [Store] - EA SPORTS FC 26</t>
        </is>
      </c>
      <c r="H220" t="inlineStr">
        <is>
          <t>Reward</t>
        </is>
      </c>
      <c r="I220" t="inlineStr">
        <is>
          <t>Reward</t>
        </is>
      </c>
      <c r="J220" t="inlineStr">
        <is>
          <t>https://www.fut.gg/evolutions/1960-welsh-wonder-strike-store/</t>
        </is>
      </c>
    </row>
    <row r="221">
      <c r="B221" t="inlineStr">
        <is>
          <t>Sub Stat</t>
        </is>
      </c>
      <c r="C221" t="inlineStr">
        <is>
          <t>Long Passing</t>
        </is>
      </c>
      <c r="D221" t="n">
        <v>10</v>
      </c>
      <c r="E221" t="n">
        <v>87</v>
      </c>
      <c r="F221" t="inlineStr">
        <is>
          <t>+10 Long Pass 87</t>
        </is>
      </c>
      <c r="G221" t="inlineStr">
        <is>
          <t>Welsh Wonder Strike [Store] - EA SPORTS FC 26</t>
        </is>
      </c>
      <c r="H221" t="inlineStr">
        <is>
          <t>Reward</t>
        </is>
      </c>
      <c r="I221" t="inlineStr">
        <is>
          <t>Reward</t>
        </is>
      </c>
      <c r="J221" t="inlineStr">
        <is>
          <t>https://www.fut.gg/evolutions/1960-welsh-wonder-strike-store/</t>
        </is>
      </c>
    </row>
    <row r="222">
      <c r="B222" t="inlineStr">
        <is>
          <t>Sub Stat</t>
        </is>
      </c>
      <c r="C222" t="inlineStr">
        <is>
          <t>Dribbling</t>
        </is>
      </c>
      <c r="D222" t="n">
        <v>25</v>
      </c>
      <c r="E222" t="n">
        <v>90</v>
      </c>
      <c r="F222" t="inlineStr">
        <is>
          <t>+25 Dribbling 90</t>
        </is>
      </c>
      <c r="G222" t="inlineStr">
        <is>
          <t>Welsh Wonder Strike [Store] - EA SPORTS FC 26</t>
        </is>
      </c>
      <c r="H222" t="inlineStr">
        <is>
          <t>Reward</t>
        </is>
      </c>
      <c r="I222" t="inlineStr">
        <is>
          <t>Reward</t>
        </is>
      </c>
      <c r="J222" t="inlineStr">
        <is>
          <t>https://www.fut.gg/evolutions/1960-welsh-wonder-strike-store/</t>
        </is>
      </c>
    </row>
    <row r="223">
      <c r="B223" t="inlineStr">
        <is>
          <t>Sub Stat</t>
        </is>
      </c>
      <c r="C223" t="inlineStr">
        <is>
          <t>Positioning</t>
        </is>
      </c>
      <c r="D223" t="n">
        <v>20</v>
      </c>
      <c r="E223" t="n">
        <v>89</v>
      </c>
      <c r="F223" t="inlineStr">
        <is>
          <t>+20 Positioning 89</t>
        </is>
      </c>
      <c r="G223" t="inlineStr">
        <is>
          <t>Welsh Wonder Strike [Store] - EA SPORTS FC 26</t>
        </is>
      </c>
      <c r="H223" t="inlineStr">
        <is>
          <t>Reward</t>
        </is>
      </c>
      <c r="I223" t="inlineStr">
        <is>
          <t>Reward</t>
        </is>
      </c>
      <c r="J223" t="inlineStr">
        <is>
          <t>https://www.fut.gg/evolutions/1960-welsh-wonder-strike-store/</t>
        </is>
      </c>
    </row>
    <row r="224">
      <c r="B224" t="inlineStr">
        <is>
          <t>Sub Stat</t>
        </is>
      </c>
      <c r="C224" t="inlineStr">
        <is>
          <t>Volleys</t>
        </is>
      </c>
      <c r="D224" t="n">
        <v>20</v>
      </c>
      <c r="E224" t="n">
        <v>93</v>
      </c>
      <c r="F224" t="inlineStr">
        <is>
          <t>+20 Volleys 93</t>
        </is>
      </c>
      <c r="G224" t="inlineStr">
        <is>
          <t>Welsh Wonder Strike [Store] - EA SPORTS FC 26</t>
        </is>
      </c>
      <c r="H224" t="inlineStr">
        <is>
          <t>Reward</t>
        </is>
      </c>
      <c r="I224" t="inlineStr">
        <is>
          <t>Reward</t>
        </is>
      </c>
      <c r="J224" t="inlineStr">
        <is>
          <t>https://www.fut.gg/evolutions/1960-welsh-wonder-strike-store/</t>
        </is>
      </c>
    </row>
    <row r="225">
      <c r="B225" t="inlineStr">
        <is>
          <t>Sub Stat</t>
        </is>
      </c>
      <c r="C225" t="inlineStr">
        <is>
          <t>Short Passing</t>
        </is>
      </c>
      <c r="D225" t="n">
        <v>15</v>
      </c>
      <c r="E225" t="n">
        <v>88</v>
      </c>
      <c r="F225" t="inlineStr">
        <is>
          <t>+15 Short Pass 88</t>
        </is>
      </c>
      <c r="G225" t="inlineStr">
        <is>
          <t>Welsh Wonder Strike [Store] - EA SPORTS FC 26</t>
        </is>
      </c>
      <c r="H225" t="inlineStr">
        <is>
          <t>Reward</t>
        </is>
      </c>
      <c r="I225" t="inlineStr">
        <is>
          <t>Reward</t>
        </is>
      </c>
      <c r="J225" t="inlineStr">
        <is>
          <t>https://www.fut.gg/evolutions/1960-welsh-wonder-strike-store/</t>
        </is>
      </c>
    </row>
    <row r="226">
      <c r="B226" t="inlineStr">
        <is>
          <t>Sub Stat</t>
        </is>
      </c>
      <c r="C226" t="inlineStr">
        <is>
          <t>Ball Control</t>
        </is>
      </c>
      <c r="D226" t="n">
        <v>25</v>
      </c>
      <c r="E226" t="n">
        <v>89</v>
      </c>
      <c r="F226" t="inlineStr">
        <is>
          <t>+25 Ball Control 89</t>
        </is>
      </c>
      <c r="G226" t="inlineStr">
        <is>
          <t>Welsh Wonder Strike [Store] - EA SPORTS FC 26</t>
        </is>
      </c>
      <c r="H226" t="inlineStr">
        <is>
          <t>Reward</t>
        </is>
      </c>
      <c r="I226" t="inlineStr">
        <is>
          <t>Reward</t>
        </is>
      </c>
      <c r="J226" t="inlineStr">
        <is>
          <t>https://www.fut.gg/evolutions/1960-welsh-wonder-strike-store/</t>
        </is>
      </c>
    </row>
    <row r="227">
      <c r="B227" t="inlineStr">
        <is>
          <t>Sub Stat</t>
        </is>
      </c>
      <c r="C227" t="inlineStr">
        <is>
          <t>Jumping</t>
        </is>
      </c>
      <c r="D227" t="n">
        <v>30</v>
      </c>
      <c r="E227" t="n">
        <v>92</v>
      </c>
      <c r="F227" t="inlineStr">
        <is>
          <t>+30 Jumping 92</t>
        </is>
      </c>
      <c r="G227" t="inlineStr">
        <is>
          <t>Welsh Wonder Strike [Store] - EA SPORTS FC 26</t>
        </is>
      </c>
      <c r="H227" t="inlineStr">
        <is>
          <t>Reward</t>
        </is>
      </c>
      <c r="I227" t="inlineStr">
        <is>
          <t>Reward</t>
        </is>
      </c>
      <c r="J227" t="inlineStr">
        <is>
          <t>https://www.fut.gg/evolutions/1960-welsh-wonder-strike-store/</t>
        </is>
      </c>
    </row>
    <row r="228">
      <c r="B228" t="inlineStr">
        <is>
          <t>Sub Stat</t>
        </is>
      </c>
      <c r="C228" t="inlineStr">
        <is>
          <t>Finishing</t>
        </is>
      </c>
      <c r="D228" t="n">
        <v>20</v>
      </c>
      <c r="E228" t="n">
        <v>90</v>
      </c>
      <c r="F228" t="inlineStr">
        <is>
          <t>+20 Finishing 90</t>
        </is>
      </c>
      <c r="G228" t="inlineStr">
        <is>
          <t>Welsh Wonder Strike [Store] - EA SPORTS FC 26</t>
        </is>
      </c>
      <c r="H228" t="inlineStr">
        <is>
          <t>Reward</t>
        </is>
      </c>
      <c r="I228" t="inlineStr">
        <is>
          <t>Reward</t>
        </is>
      </c>
      <c r="J228" t="inlineStr">
        <is>
          <t>https://www.fut.gg/evolutions/1960-welsh-wonder-strike-store/</t>
        </is>
      </c>
    </row>
    <row r="229">
      <c r="B229" t="inlineStr">
        <is>
          <t>Sub Stat</t>
        </is>
      </c>
      <c r="C229" t="inlineStr">
        <is>
          <t>Crossing</t>
        </is>
      </c>
      <c r="D229" t="n">
        <v>10</v>
      </c>
      <c r="E229" t="n">
        <v>86</v>
      </c>
      <c r="F229" t="inlineStr">
        <is>
          <t>+10 Crossing 86</t>
        </is>
      </c>
      <c r="G229" t="inlineStr">
        <is>
          <t>Welsh Wonder Strike [Store] - EA SPORTS FC 26</t>
        </is>
      </c>
      <c r="H229" t="inlineStr">
        <is>
          <t>Reward</t>
        </is>
      </c>
      <c r="I229" t="inlineStr">
        <is>
          <t>Reward</t>
        </is>
      </c>
      <c r="J229" t="inlineStr">
        <is>
          <t>https://www.fut.gg/evolutions/1960-welsh-wonder-strike-store/</t>
        </is>
      </c>
    </row>
    <row r="230">
      <c r="B230" t="inlineStr">
        <is>
          <t>Sub Stat</t>
        </is>
      </c>
      <c r="C230" t="inlineStr">
        <is>
          <t>Curve</t>
        </is>
      </c>
      <c r="D230" t="n">
        <v>15</v>
      </c>
      <c r="E230" t="n">
        <v>89</v>
      </c>
      <c r="F230" t="inlineStr">
        <is>
          <t>+15 Curve 89</t>
        </is>
      </c>
      <c r="G230" t="inlineStr">
        <is>
          <t>Welsh Wonder Strike [Store] - EA SPORTS FC 26</t>
        </is>
      </c>
      <c r="H230" t="inlineStr">
        <is>
          <t>Reward</t>
        </is>
      </c>
      <c r="I230" t="inlineStr">
        <is>
          <t>Reward</t>
        </is>
      </c>
      <c r="J230" t="inlineStr">
        <is>
          <t>https://www.fut.gg/evolutions/1960-welsh-wonder-strike-store/</t>
        </is>
      </c>
    </row>
    <row r="231">
      <c r="B231" t="inlineStr">
        <is>
          <t>Sub Stat</t>
        </is>
      </c>
      <c r="C231" t="inlineStr">
        <is>
          <t>Reactions</t>
        </is>
      </c>
      <c r="D231" t="n">
        <v>25</v>
      </c>
      <c r="E231" t="n">
        <v>90</v>
      </c>
      <c r="F231" t="inlineStr">
        <is>
          <t>+25 Reactions 90</t>
        </is>
      </c>
      <c r="G231" t="inlineStr">
        <is>
          <t>Welsh Wonder Strike [Store] - EA SPORTS FC 26</t>
        </is>
      </c>
      <c r="H231" t="inlineStr">
        <is>
          <t>Reward</t>
        </is>
      </c>
      <c r="I231" t="inlineStr">
        <is>
          <t>Reward</t>
        </is>
      </c>
      <c r="J231" t="inlineStr">
        <is>
          <t>https://www.fut.gg/evolutions/1960-welsh-wonder-strike-store/</t>
        </is>
      </c>
    </row>
    <row r="232">
      <c r="B232" t="inlineStr">
        <is>
          <t>Sub Stat</t>
        </is>
      </c>
      <c r="C232" t="inlineStr">
        <is>
          <t>Heading Accuracy</t>
        </is>
      </c>
      <c r="D232" t="n">
        <v>20</v>
      </c>
      <c r="E232" t="n">
        <v>87</v>
      </c>
      <c r="F232" t="inlineStr">
        <is>
          <t>+20 Heading Acc. 87</t>
        </is>
      </c>
      <c r="G232" t="inlineStr">
        <is>
          <t>Welsh Wonder Strike [Store] - EA SPORTS FC 26</t>
        </is>
      </c>
      <c r="H232" t="inlineStr">
        <is>
          <t>Reward</t>
        </is>
      </c>
      <c r="I232" t="inlineStr">
        <is>
          <t>Reward</t>
        </is>
      </c>
      <c r="J232" t="inlineStr">
        <is>
          <t>https://www.fut.gg/evolutions/1960-welsh-wonder-strike-store/</t>
        </is>
      </c>
    </row>
    <row r="233">
      <c r="B233" t="inlineStr">
        <is>
          <t>Sub Stat</t>
        </is>
      </c>
      <c r="C233" t="inlineStr">
        <is>
          <t>Penalties</t>
        </is>
      </c>
      <c r="D233" t="n">
        <v>20</v>
      </c>
      <c r="E233" t="n">
        <v>87</v>
      </c>
      <c r="F233" t="inlineStr">
        <is>
          <t>+20 Penalties 87</t>
        </is>
      </c>
      <c r="G233" t="inlineStr">
        <is>
          <t>Welsh Wonder Strike [Store] - EA SPORTS FC 26</t>
        </is>
      </c>
      <c r="H233" t="inlineStr">
        <is>
          <t>Reward</t>
        </is>
      </c>
      <c r="I233" t="inlineStr">
        <is>
          <t>Reward</t>
        </is>
      </c>
      <c r="J233" t="inlineStr">
        <is>
          <t>https://www.fut.gg/evolutions/1960-welsh-wonder-strike-store/</t>
        </is>
      </c>
    </row>
    <row r="234">
      <c r="B234" t="inlineStr">
        <is>
          <t>Sub Stat</t>
        </is>
      </c>
      <c r="C234" t="inlineStr">
        <is>
          <t>Fk Accuracy</t>
        </is>
      </c>
      <c r="D234" t="n">
        <v>15</v>
      </c>
      <c r="E234" t="n">
        <v>88</v>
      </c>
      <c r="F234" t="inlineStr">
        <is>
          <t>+15 Fk Accuracy 88</t>
        </is>
      </c>
      <c r="G234" t="inlineStr">
        <is>
          <t>Welsh Wonder Strike [Store] - EA SPORTS FC 26</t>
        </is>
      </c>
      <c r="H234" t="inlineStr">
        <is>
          <t>Reward</t>
        </is>
      </c>
      <c r="I234" t="inlineStr">
        <is>
          <t>Reward</t>
        </is>
      </c>
      <c r="J234" t="inlineStr">
        <is>
          <t>https://www.fut.gg/evolutions/1960-welsh-wonder-strike-store/</t>
        </is>
      </c>
    </row>
    <row r="235">
      <c r="B235" t="inlineStr">
        <is>
          <t>Sub Stat</t>
        </is>
      </c>
      <c r="C235" t="inlineStr">
        <is>
          <t>Agility</t>
        </is>
      </c>
      <c r="D235" t="n">
        <v>25</v>
      </c>
      <c r="E235" t="n">
        <v>88</v>
      </c>
      <c r="F235" t="inlineStr">
        <is>
          <t>+25 Agility 88</t>
        </is>
      </c>
      <c r="G235" t="inlineStr">
        <is>
          <t>Welsh Wonder Strike [Store] - EA SPORTS FC 26</t>
        </is>
      </c>
      <c r="H235" t="inlineStr">
        <is>
          <t>Reward</t>
        </is>
      </c>
      <c r="I235" t="inlineStr">
        <is>
          <t>Reward</t>
        </is>
      </c>
      <c r="J235" t="inlineStr">
        <is>
          <t>https://www.fut.gg/evolutions/1960-welsh-wonder-strike-store/</t>
        </is>
      </c>
    </row>
    <row r="236">
      <c r="B236" t="inlineStr">
        <is>
          <t>Sub Stat</t>
        </is>
      </c>
      <c r="C236" t="inlineStr">
        <is>
          <t>Balance</t>
        </is>
      </c>
      <c r="D236" t="n">
        <v>25</v>
      </c>
      <c r="E236" t="n">
        <v>87</v>
      </c>
      <c r="F236" t="inlineStr">
        <is>
          <t>+25 Balance 87</t>
        </is>
      </c>
      <c r="G236" t="inlineStr">
        <is>
          <t>Welsh Wonder Strike [Store] - EA SPORTS FC 26</t>
        </is>
      </c>
      <c r="H236" t="inlineStr">
        <is>
          <t>Reward</t>
        </is>
      </c>
      <c r="I236" t="inlineStr">
        <is>
          <t>Reward</t>
        </is>
      </c>
      <c r="J236" t="inlineStr">
        <is>
          <t>https://www.fut.gg/evolutions/1960-welsh-wonder-strike-store/</t>
        </is>
      </c>
    </row>
    <row r="237">
      <c r="B237" t="inlineStr">
        <is>
          <t>Face Stat</t>
        </is>
      </c>
      <c r="C237" t="inlineStr">
        <is>
          <t>OVR</t>
        </is>
      </c>
      <c r="D237" t="n">
        <v>15</v>
      </c>
      <c r="E237" t="n">
        <v>89</v>
      </c>
      <c r="F237" t="inlineStr">
        <is>
          <t>+15 OVR 89</t>
        </is>
      </c>
      <c r="G237" t="inlineStr">
        <is>
          <t>Welsh Wonder Strike [Store] - EA SPORTS FC 26</t>
        </is>
      </c>
      <c r="H237" t="inlineStr">
        <is>
          <t>Reward</t>
        </is>
      </c>
      <c r="I237" t="inlineStr">
        <is>
          <t>Reward</t>
        </is>
      </c>
      <c r="J237" t="inlineStr">
        <is>
          <t>https://www.fut.gg/evolutions/1960-welsh-wonder-strike-store/</t>
        </is>
      </c>
    </row>
    <row r="238">
      <c r="B238" t="inlineStr">
        <is>
          <t>Sub Stat</t>
        </is>
      </c>
      <c r="C238" t="inlineStr">
        <is>
          <t>Acceleration</t>
        </is>
      </c>
      <c r="D238" t="n">
        <v>25</v>
      </c>
      <c r="E238" t="n">
        <v>90</v>
      </c>
      <c r="F238" t="inlineStr">
        <is>
          <t>+25 Acceleration 90</t>
        </is>
      </c>
      <c r="G238" t="inlineStr">
        <is>
          <t>Welsh Wonder Strike [Store] - EA SPORTS FC 26</t>
        </is>
      </c>
      <c r="H238" t="inlineStr">
        <is>
          <t>Reward</t>
        </is>
      </c>
      <c r="I238" t="inlineStr">
        <is>
          <t>Reward</t>
        </is>
      </c>
      <c r="J238" t="inlineStr">
        <is>
          <t>https://www.fut.gg/evolutions/1960-welsh-wonder-strike-store/</t>
        </is>
      </c>
    </row>
    <row r="239">
      <c r="B239" t="inlineStr">
        <is>
          <t>Sub Stat</t>
        </is>
      </c>
      <c r="C239" t="inlineStr">
        <is>
          <t>Shot Power</t>
        </is>
      </c>
      <c r="D239" t="n">
        <v>20</v>
      </c>
      <c r="E239" t="n">
        <v>90</v>
      </c>
      <c r="F239" t="inlineStr">
        <is>
          <t>+20 Shot Power 90</t>
        </is>
      </c>
      <c r="G239" t="inlineStr">
        <is>
          <t>Welsh Wonder Strike [Store] - EA SPORTS FC 26</t>
        </is>
      </c>
      <c r="H239" t="inlineStr">
        <is>
          <t>Reward</t>
        </is>
      </c>
      <c r="I239" t="inlineStr">
        <is>
          <t>Reward</t>
        </is>
      </c>
      <c r="J239" t="inlineStr">
        <is>
          <t>https://www.fut.gg/evolutions/1960-welsh-wonder-strike-store/</t>
        </is>
      </c>
    </row>
    <row r="240">
      <c r="B240" t="inlineStr">
        <is>
          <t>Sub Stat</t>
        </is>
      </c>
      <c r="C240" t="inlineStr">
        <is>
          <t>Vision</t>
        </is>
      </c>
      <c r="D240" t="n">
        <v>10</v>
      </c>
      <c r="E240" t="n">
        <v>87</v>
      </c>
      <c r="F240" t="inlineStr">
        <is>
          <t>+10 Vision 87</t>
        </is>
      </c>
      <c r="G240" t="inlineStr">
        <is>
          <t>Welsh Wonder Strike [Store] - EA SPORTS FC 26</t>
        </is>
      </c>
      <c r="H240" t="inlineStr">
        <is>
          <t>Reward</t>
        </is>
      </c>
      <c r="I240" t="inlineStr">
        <is>
          <t>Reward</t>
        </is>
      </c>
      <c r="J240" t="inlineStr">
        <is>
          <t>https://www.fut.gg/evolutions/1960-welsh-wonder-strike-store/</t>
        </is>
      </c>
    </row>
    <row r="241">
      <c r="B241" t="inlineStr">
        <is>
          <t>Sub Stat</t>
        </is>
      </c>
      <c r="C241" t="inlineStr">
        <is>
          <t>Composure</t>
        </is>
      </c>
      <c r="D241" t="n">
        <v>25</v>
      </c>
      <c r="E241" t="n">
        <v>88</v>
      </c>
      <c r="F241" t="inlineStr">
        <is>
          <t>+25 Composure 88</t>
        </is>
      </c>
      <c r="G241" t="inlineStr">
        <is>
          <t>Welsh Wonder Strike [Store] - EA SPORTS FC 26</t>
        </is>
      </c>
      <c r="H241" t="inlineStr">
        <is>
          <t>Reward</t>
        </is>
      </c>
      <c r="I241" t="inlineStr">
        <is>
          <t>Reward</t>
        </is>
      </c>
      <c r="J241" t="inlineStr">
        <is>
          <t>https://www.fut.gg/evolutions/1960-welsh-wonder-strike-store/</t>
        </is>
      </c>
    </row>
    <row r="242">
      <c r="B242" t="inlineStr">
        <is>
          <t>Face Stat</t>
        </is>
      </c>
      <c r="C242" t="inlineStr">
        <is>
          <t>OVR</t>
        </is>
      </c>
      <c r="D242" t="n">
        <v>30</v>
      </c>
      <c r="E242" t="n">
        <v>91</v>
      </c>
      <c r="F242" t="inlineStr">
        <is>
          <t>+30 OVR 91</t>
        </is>
      </c>
      <c r="G242" t="inlineStr">
        <is>
          <t>Il Capitano [Store] - EA SPORTS FC 26</t>
        </is>
      </c>
      <c r="H242" t="inlineStr">
        <is>
          <t>Reward</t>
        </is>
      </c>
      <c r="I242" t="inlineStr">
        <is>
          <t>Reward</t>
        </is>
      </c>
      <c r="J242" t="inlineStr">
        <is>
          <t>https://www.fut.gg/evolutions/1961-il-capitano-store/</t>
        </is>
      </c>
    </row>
    <row r="243">
      <c r="B243" t="inlineStr">
        <is>
          <t>Sub Stat</t>
        </is>
      </c>
      <c r="C243" t="inlineStr">
        <is>
          <t>Acceleration</t>
        </is>
      </c>
      <c r="D243" t="n">
        <v>30</v>
      </c>
      <c r="E243" t="n">
        <v>87</v>
      </c>
      <c r="F243" t="inlineStr">
        <is>
          <t>+30 Acceleration 87</t>
        </is>
      </c>
      <c r="G243" t="inlineStr">
        <is>
          <t>Il Capitano [Store] - EA SPORTS FC 26</t>
        </is>
      </c>
      <c r="H243" t="inlineStr">
        <is>
          <t>Reward</t>
        </is>
      </c>
      <c r="I243" t="inlineStr">
        <is>
          <t>Reward</t>
        </is>
      </c>
      <c r="J243" t="inlineStr">
        <is>
          <t>https://www.fut.gg/evolutions/1961-il-capitano-store/</t>
        </is>
      </c>
    </row>
    <row r="244">
      <c r="B244" t="inlineStr">
        <is>
          <t>Sub Stat</t>
        </is>
      </c>
      <c r="C244" t="inlineStr">
        <is>
          <t>Short Passing</t>
        </is>
      </c>
      <c r="D244" t="n">
        <v>30</v>
      </c>
      <c r="E244" t="n">
        <v>90</v>
      </c>
      <c r="F244" t="inlineStr">
        <is>
          <t>+30 Short Pass 90</t>
        </is>
      </c>
      <c r="G244" t="inlineStr">
        <is>
          <t>Il Capitano [Store] - EA SPORTS FC 26</t>
        </is>
      </c>
      <c r="H244" t="inlineStr">
        <is>
          <t>Reward</t>
        </is>
      </c>
      <c r="I244" t="inlineStr">
        <is>
          <t>Reward</t>
        </is>
      </c>
      <c r="J244" t="inlineStr">
        <is>
          <t>https://www.fut.gg/evolutions/1961-il-capitano-store/</t>
        </is>
      </c>
    </row>
    <row r="245">
      <c r="B245" t="inlineStr">
        <is>
          <t>Sub Stat</t>
        </is>
      </c>
      <c r="C245" t="inlineStr">
        <is>
          <t>Heading Accuracy</t>
        </is>
      </c>
      <c r="D245" t="n">
        <v>30</v>
      </c>
      <c r="E245" t="n">
        <v>92</v>
      </c>
      <c r="F245" t="inlineStr">
        <is>
          <t>+30 Heading Acc. 92</t>
        </is>
      </c>
      <c r="G245" t="inlineStr">
        <is>
          <t>Il Capitano [Store] - EA SPORTS FC 26</t>
        </is>
      </c>
      <c r="H245" t="inlineStr">
        <is>
          <t>Reward</t>
        </is>
      </c>
      <c r="I245" t="inlineStr">
        <is>
          <t>Reward</t>
        </is>
      </c>
      <c r="J245" t="inlineStr">
        <is>
          <t>https://www.fut.gg/evolutions/1961-il-capitano-store/</t>
        </is>
      </c>
    </row>
    <row r="246">
      <c r="B246" t="inlineStr">
        <is>
          <t>Sub Stat</t>
        </is>
      </c>
      <c r="C246" t="inlineStr">
        <is>
          <t>Defensive Awareness</t>
        </is>
      </c>
      <c r="D246" t="n">
        <v>30</v>
      </c>
      <c r="E246" t="n">
        <v>95</v>
      </c>
      <c r="F246" t="inlineStr">
        <is>
          <t>+30 Defensive Awareness 95</t>
        </is>
      </c>
      <c r="G246" t="inlineStr">
        <is>
          <t>Il Capitano [Store] - EA SPORTS FC 26</t>
        </is>
      </c>
      <c r="H246" t="inlineStr">
        <is>
          <t>Reward</t>
        </is>
      </c>
      <c r="I246" t="inlineStr">
        <is>
          <t>Reward</t>
        </is>
      </c>
      <c r="J246" t="inlineStr">
        <is>
          <t>https://www.fut.gg/evolutions/1961-il-capitano-store/</t>
        </is>
      </c>
    </row>
    <row r="247">
      <c r="B247" t="inlineStr">
        <is>
          <t>Sub Stat</t>
        </is>
      </c>
      <c r="C247" t="inlineStr">
        <is>
          <t>Sprint Speed</t>
        </is>
      </c>
      <c r="D247" t="n">
        <v>30</v>
      </c>
      <c r="E247" t="n">
        <v>88</v>
      </c>
      <c r="F247" t="inlineStr">
        <is>
          <t>+30 Sprint Speed 88</t>
        </is>
      </c>
      <c r="G247" t="inlineStr">
        <is>
          <t>Il Capitano [Store] - EA SPORTS FC 26</t>
        </is>
      </c>
      <c r="H247" t="inlineStr">
        <is>
          <t>Reward</t>
        </is>
      </c>
      <c r="I247" t="inlineStr">
        <is>
          <t>Reward</t>
        </is>
      </c>
      <c r="J247" t="inlineStr">
        <is>
          <t>https://www.fut.gg/evolutions/1961-il-capitano-store/</t>
        </is>
      </c>
    </row>
    <row r="248">
      <c r="B248" t="inlineStr">
        <is>
          <t>Sub Stat</t>
        </is>
      </c>
      <c r="C248" t="inlineStr">
        <is>
          <t>Vision</t>
        </is>
      </c>
      <c r="D248" t="n">
        <v>30</v>
      </c>
      <c r="E248" t="n">
        <v>70</v>
      </c>
      <c r="F248" t="inlineStr">
        <is>
          <t>+30 Vision 70</t>
        </is>
      </c>
      <c r="G248" t="inlineStr">
        <is>
          <t>Il Capitano [Store] - EA SPORTS FC 26</t>
        </is>
      </c>
      <c r="H248" t="inlineStr">
        <is>
          <t>Reward</t>
        </is>
      </c>
      <c r="I248" t="inlineStr">
        <is>
          <t>Reward</t>
        </is>
      </c>
      <c r="J248" t="inlineStr">
        <is>
          <t>https://www.fut.gg/evolutions/1961-il-capitano-store/</t>
        </is>
      </c>
    </row>
    <row r="249">
      <c r="B249" t="inlineStr">
        <is>
          <t>Sub Stat</t>
        </is>
      </c>
      <c r="C249" t="inlineStr">
        <is>
          <t>Agility</t>
        </is>
      </c>
      <c r="D249" t="n">
        <v>30</v>
      </c>
      <c r="E249" t="n">
        <v>73</v>
      </c>
      <c r="F249" t="inlineStr">
        <is>
          <t>+30 Agility 73</t>
        </is>
      </c>
      <c r="G249" t="inlineStr">
        <is>
          <t>Il Capitano [Store] - EA SPORTS FC 26</t>
        </is>
      </c>
      <c r="H249" t="inlineStr">
        <is>
          <t>Reward</t>
        </is>
      </c>
      <c r="I249" t="inlineStr">
        <is>
          <t>Reward</t>
        </is>
      </c>
      <c r="J249" t="inlineStr">
        <is>
          <t>https://www.fut.gg/evolutions/1961-il-capitano-store/</t>
        </is>
      </c>
    </row>
    <row r="250">
      <c r="B250" t="inlineStr">
        <is>
          <t>Sub Stat</t>
        </is>
      </c>
      <c r="C250" t="inlineStr">
        <is>
          <t>Balance</t>
        </is>
      </c>
      <c r="D250" t="n">
        <v>30</v>
      </c>
      <c r="E250" t="n">
        <v>80</v>
      </c>
      <c r="F250" t="inlineStr">
        <is>
          <t>+30 Balance 80</t>
        </is>
      </c>
      <c r="G250" t="inlineStr">
        <is>
          <t>Il Capitano [Store] - EA SPORTS FC 26</t>
        </is>
      </c>
      <c r="H250" t="inlineStr">
        <is>
          <t>Reward</t>
        </is>
      </c>
      <c r="I250" t="inlineStr">
        <is>
          <t>Reward</t>
        </is>
      </c>
      <c r="J250" t="inlineStr">
        <is>
          <t>https://www.fut.gg/evolutions/1961-il-capitano-store/</t>
        </is>
      </c>
    </row>
    <row r="251">
      <c r="B251" t="inlineStr">
        <is>
          <t>Sub Stat</t>
        </is>
      </c>
      <c r="C251" t="inlineStr">
        <is>
          <t>Long Passing</t>
        </is>
      </c>
      <c r="D251" t="n">
        <v>30</v>
      </c>
      <c r="E251" t="n">
        <v>85</v>
      </c>
      <c r="F251" t="inlineStr">
        <is>
          <t>+30 Long Pass 85</t>
        </is>
      </c>
      <c r="G251" t="inlineStr">
        <is>
          <t>Il Capitano [Store] - EA SPORTS FC 26</t>
        </is>
      </c>
      <c r="H251" t="inlineStr">
        <is>
          <t>Reward</t>
        </is>
      </c>
      <c r="I251" t="inlineStr">
        <is>
          <t>Reward</t>
        </is>
      </c>
      <c r="J251" t="inlineStr">
        <is>
          <t>https://www.fut.gg/evolutions/1961-il-capitano-store/</t>
        </is>
      </c>
    </row>
    <row r="252">
      <c r="B252" t="inlineStr">
        <is>
          <t>Sub Stat</t>
        </is>
      </c>
      <c r="C252" t="inlineStr">
        <is>
          <t>Ball Control</t>
        </is>
      </c>
      <c r="D252" t="n">
        <v>30</v>
      </c>
      <c r="E252" t="n">
        <v>75</v>
      </c>
      <c r="F252" t="inlineStr">
        <is>
          <t>+30 Ball Control 75</t>
        </is>
      </c>
      <c r="G252" t="inlineStr">
        <is>
          <t>Il Capitano [Store] - EA SPORTS FC 26</t>
        </is>
      </c>
      <c r="H252" t="inlineStr">
        <is>
          <t>Reward</t>
        </is>
      </c>
      <c r="I252" t="inlineStr">
        <is>
          <t>Reward</t>
        </is>
      </c>
      <c r="J252" t="inlineStr">
        <is>
          <t>https://www.fut.gg/evolutions/1961-il-capitano-store/</t>
        </is>
      </c>
    </row>
    <row r="253">
      <c r="B253" t="inlineStr">
        <is>
          <t>Sub Stat</t>
        </is>
      </c>
      <c r="C253" t="inlineStr">
        <is>
          <t>Dribbling</t>
        </is>
      </c>
      <c r="D253" t="n">
        <v>30</v>
      </c>
      <c r="E253" t="n">
        <v>75</v>
      </c>
      <c r="F253" t="inlineStr">
        <is>
          <t>+30 Dribbling 75</t>
        </is>
      </c>
      <c r="G253" t="inlineStr">
        <is>
          <t>Il Capitano [Store] - EA SPORTS FC 26</t>
        </is>
      </c>
      <c r="H253" t="inlineStr">
        <is>
          <t>Reward</t>
        </is>
      </c>
      <c r="I253" t="inlineStr">
        <is>
          <t>Reward</t>
        </is>
      </c>
      <c r="J253" t="inlineStr">
        <is>
          <t>https://www.fut.gg/evolutions/1961-il-capitano-store/</t>
        </is>
      </c>
    </row>
    <row r="254">
      <c r="B254" t="inlineStr">
        <is>
          <t>Sub Stat</t>
        </is>
      </c>
      <c r="C254" t="inlineStr">
        <is>
          <t>Reactions</t>
        </is>
      </c>
      <c r="D254" t="n">
        <v>30</v>
      </c>
      <c r="E254" t="n">
        <v>95</v>
      </c>
      <c r="F254" t="inlineStr">
        <is>
          <t>+30 Reactions 95</t>
        </is>
      </c>
      <c r="G254" t="inlineStr">
        <is>
          <t>Il Capitano [Store] - EA SPORTS FC 26</t>
        </is>
      </c>
      <c r="H254" t="inlineStr">
        <is>
          <t>Reward</t>
        </is>
      </c>
      <c r="I254" t="inlineStr">
        <is>
          <t>Reward</t>
        </is>
      </c>
      <c r="J254" t="inlineStr">
        <is>
          <t>https://www.fut.gg/evolutions/1961-il-capitano-store/</t>
        </is>
      </c>
    </row>
    <row r="255">
      <c r="B255" t="inlineStr">
        <is>
          <t>Sub Stat</t>
        </is>
      </c>
      <c r="C255" t="inlineStr">
        <is>
          <t>Composure</t>
        </is>
      </c>
      <c r="D255" t="n">
        <v>30</v>
      </c>
      <c r="E255" t="n">
        <v>91</v>
      </c>
      <c r="F255" t="inlineStr">
        <is>
          <t>+30 Composure 91</t>
        </is>
      </c>
      <c r="G255" t="inlineStr">
        <is>
          <t>Il Capitano [Store] - EA SPORTS FC 26</t>
        </is>
      </c>
      <c r="H255" t="inlineStr">
        <is>
          <t>Reward</t>
        </is>
      </c>
      <c r="I255" t="inlineStr">
        <is>
          <t>Reward</t>
        </is>
      </c>
      <c r="J255" t="inlineStr">
        <is>
          <t>https://www.fut.gg/evolutions/1961-il-capitano-store/</t>
        </is>
      </c>
    </row>
    <row r="256">
      <c r="B256" t="inlineStr">
        <is>
          <t>Sub Stat</t>
        </is>
      </c>
      <c r="C256" t="inlineStr">
        <is>
          <t>Interceptions</t>
        </is>
      </c>
      <c r="D256" t="n">
        <v>30</v>
      </c>
      <c r="E256" t="n">
        <v>93</v>
      </c>
      <c r="F256" t="inlineStr">
        <is>
          <t>+30 Interceptions 93</t>
        </is>
      </c>
      <c r="G256" t="inlineStr">
        <is>
          <t>Il Capitano [Store] - EA SPORTS FC 26</t>
        </is>
      </c>
      <c r="H256" t="inlineStr">
        <is>
          <t>Reward</t>
        </is>
      </c>
      <c r="I256" t="inlineStr">
        <is>
          <t>Reward</t>
        </is>
      </c>
      <c r="J256" t="inlineStr">
        <is>
          <t>https://www.fut.gg/evolutions/1961-il-capitano-store/</t>
        </is>
      </c>
    </row>
    <row r="257">
      <c r="B257" t="inlineStr">
        <is>
          <t>Sub Stat</t>
        </is>
      </c>
      <c r="C257" t="inlineStr">
        <is>
          <t>Standing Tackle</t>
        </is>
      </c>
      <c r="D257" t="n">
        <v>30</v>
      </c>
      <c r="E257" t="n">
        <v>92</v>
      </c>
      <c r="F257" t="inlineStr">
        <is>
          <t>+30 Standing Tackle 92</t>
        </is>
      </c>
      <c r="G257" t="inlineStr">
        <is>
          <t>Il Capitano [Store] - EA SPORTS FC 26</t>
        </is>
      </c>
      <c r="H257" t="inlineStr">
        <is>
          <t>Reward</t>
        </is>
      </c>
      <c r="I257" t="inlineStr">
        <is>
          <t>Reward</t>
        </is>
      </c>
      <c r="J257" t="inlineStr">
        <is>
          <t>https://www.fut.gg/evolutions/1961-il-capitano-store/</t>
        </is>
      </c>
    </row>
    <row r="258">
      <c r="B258" t="inlineStr">
        <is>
          <t>Sub Stat</t>
        </is>
      </c>
      <c r="C258" t="inlineStr">
        <is>
          <t>Sliding Tackle</t>
        </is>
      </c>
      <c r="D258" t="n">
        <v>30</v>
      </c>
      <c r="E258" t="n">
        <v>92</v>
      </c>
      <c r="F258" t="inlineStr">
        <is>
          <t>+30 Sliding Tackle 92</t>
        </is>
      </c>
      <c r="G258" t="inlineStr">
        <is>
          <t>Il Capitano [Store] - EA SPORTS FC 26</t>
        </is>
      </c>
      <c r="H258" t="inlineStr">
        <is>
          <t>Reward</t>
        </is>
      </c>
      <c r="I258" t="inlineStr">
        <is>
          <t>Reward</t>
        </is>
      </c>
      <c r="J258" t="inlineStr">
        <is>
          <t>https://www.fut.gg/evolutions/1961-il-capitano-store/</t>
        </is>
      </c>
    </row>
    <row r="259">
      <c r="B259" t="inlineStr">
        <is>
          <t>Sub Stat</t>
        </is>
      </c>
      <c r="C259" t="inlineStr">
        <is>
          <t>Stamina</t>
        </is>
      </c>
      <c r="D259" t="n">
        <v>30</v>
      </c>
      <c r="E259" t="n">
        <v>90</v>
      </c>
      <c r="F259" t="inlineStr">
        <is>
          <t>+30 Stamina 90</t>
        </is>
      </c>
      <c r="G259" t="inlineStr">
        <is>
          <t>Il Capitano [Store] - EA SPORTS FC 26</t>
        </is>
      </c>
      <c r="H259" t="inlineStr">
        <is>
          <t>Reward</t>
        </is>
      </c>
      <c r="I259" t="inlineStr">
        <is>
          <t>Reward</t>
        </is>
      </c>
      <c r="J259" t="inlineStr">
        <is>
          <t>https://www.fut.gg/evolutions/1961-il-capitano-store/</t>
        </is>
      </c>
    </row>
    <row r="260">
      <c r="B260" t="inlineStr">
        <is>
          <t>Sub Stat</t>
        </is>
      </c>
      <c r="C260" t="inlineStr">
        <is>
          <t>Strength</t>
        </is>
      </c>
      <c r="D260" t="n">
        <v>30</v>
      </c>
      <c r="E260" t="n">
        <v>92</v>
      </c>
      <c r="F260" t="inlineStr">
        <is>
          <t>+30 Strength 92</t>
        </is>
      </c>
      <c r="G260" t="inlineStr">
        <is>
          <t>Il Capitano [Store] - EA SPORTS FC 26</t>
        </is>
      </c>
      <c r="H260" t="inlineStr">
        <is>
          <t>Reward</t>
        </is>
      </c>
      <c r="I260" t="inlineStr">
        <is>
          <t>Reward</t>
        </is>
      </c>
      <c r="J260" t="inlineStr">
        <is>
          <t>https://www.fut.gg/evolutions/1961-il-capitano-store/</t>
        </is>
      </c>
    </row>
    <row r="261">
      <c r="B261" t="inlineStr">
        <is>
          <t>Sub Stat</t>
        </is>
      </c>
      <c r="C261" t="inlineStr">
        <is>
          <t>Jumping</t>
        </is>
      </c>
      <c r="D261" t="n">
        <v>30</v>
      </c>
      <c r="E261" t="n">
        <v>90</v>
      </c>
      <c r="F261" t="inlineStr">
        <is>
          <t>+30 Jumping 90</t>
        </is>
      </c>
      <c r="G261" t="inlineStr">
        <is>
          <t>Il Capitano [Store] - EA SPORTS FC 26</t>
        </is>
      </c>
      <c r="H261" t="inlineStr">
        <is>
          <t>Reward</t>
        </is>
      </c>
      <c r="I261" t="inlineStr">
        <is>
          <t>Reward</t>
        </is>
      </c>
      <c r="J261" t="inlineStr">
        <is>
          <t>https://www.fut.gg/evolutions/1961-il-capitano-store/</t>
        </is>
      </c>
    </row>
    <row r="262">
      <c r="B262" t="inlineStr">
        <is>
          <t>Sub Stat</t>
        </is>
      </c>
      <c r="C262" t="inlineStr">
        <is>
          <t>Aggression</t>
        </is>
      </c>
      <c r="D262" t="n">
        <v>30</v>
      </c>
      <c r="E262" t="n">
        <v>85</v>
      </c>
      <c r="F262" t="inlineStr">
        <is>
          <t>+30 Aggression 85</t>
        </is>
      </c>
      <c r="G262" t="inlineStr">
        <is>
          <t>Il Capitano [Store] - EA SPORTS FC 26</t>
        </is>
      </c>
      <c r="H262" t="inlineStr">
        <is>
          <t>Reward</t>
        </is>
      </c>
      <c r="I262" t="inlineStr">
        <is>
          <t>Reward</t>
        </is>
      </c>
      <c r="J262" t="inlineStr">
        <is>
          <t>https://www.fut.gg/evolutions/1961-il-capitano-store/</t>
        </is>
      </c>
    </row>
    <row r="263">
      <c r="B263" t="inlineStr">
        <is>
          <t>Face Stat</t>
        </is>
      </c>
      <c r="C263" t="inlineStr">
        <is>
          <t>OVR</t>
        </is>
      </c>
      <c r="D263" t="n">
        <v>30</v>
      </c>
      <c r="E263" t="n">
        <v>91</v>
      </c>
      <c r="F263" t="inlineStr">
        <is>
          <t>+30 OVR 91</t>
        </is>
      </c>
      <c r="G263" t="inlineStr">
        <is>
          <t>Il Capitano [Store] - EA SPORTS FC 26</t>
        </is>
      </c>
      <c r="H263" t="inlineStr">
        <is>
          <t>Reward</t>
        </is>
      </c>
      <c r="I263" t="inlineStr">
        <is>
          <t>Reward</t>
        </is>
      </c>
      <c r="J263" t="inlineStr">
        <is>
          <t>https://www.fut.gg/evolutions/1961-il-capitano-store/</t>
        </is>
      </c>
    </row>
    <row r="264">
      <c r="B264" t="inlineStr">
        <is>
          <t>Sub Stat</t>
        </is>
      </c>
      <c r="C264" t="inlineStr">
        <is>
          <t>Acceleration</t>
        </is>
      </c>
      <c r="D264" t="n">
        <v>30</v>
      </c>
      <c r="E264" t="n">
        <v>87</v>
      </c>
      <c r="F264" t="inlineStr">
        <is>
          <t>+30 Acceleration 87</t>
        </is>
      </c>
      <c r="G264" t="inlineStr">
        <is>
          <t>Il Capitano [Store] - EA SPORTS FC 26</t>
        </is>
      </c>
      <c r="H264" t="inlineStr">
        <is>
          <t>Reward</t>
        </is>
      </c>
      <c r="I264" t="inlineStr">
        <is>
          <t>Reward</t>
        </is>
      </c>
      <c r="J264" t="inlineStr">
        <is>
          <t>https://www.fut.gg/evolutions/1961-il-capitano-store/</t>
        </is>
      </c>
    </row>
    <row r="265">
      <c r="B265" t="inlineStr">
        <is>
          <t>Sub Stat</t>
        </is>
      </c>
      <c r="C265" t="inlineStr">
        <is>
          <t>Short Passing</t>
        </is>
      </c>
      <c r="D265" t="n">
        <v>30</v>
      </c>
      <c r="E265" t="n">
        <v>90</v>
      </c>
      <c r="F265" t="inlineStr">
        <is>
          <t>+30 Short Pass 90</t>
        </is>
      </c>
      <c r="G265" t="inlineStr">
        <is>
          <t>Il Capitano [Store] - EA SPORTS FC 26</t>
        </is>
      </c>
      <c r="H265" t="inlineStr">
        <is>
          <t>Reward</t>
        </is>
      </c>
      <c r="I265" t="inlineStr">
        <is>
          <t>Reward</t>
        </is>
      </c>
      <c r="J265" t="inlineStr">
        <is>
          <t>https://www.fut.gg/evolutions/1961-il-capitano-store/</t>
        </is>
      </c>
    </row>
    <row r="266">
      <c r="B266" t="inlineStr">
        <is>
          <t>Sub Stat</t>
        </is>
      </c>
      <c r="C266" t="inlineStr">
        <is>
          <t>Heading Accuracy</t>
        </is>
      </c>
      <c r="D266" t="n">
        <v>30</v>
      </c>
      <c r="E266" t="n">
        <v>92</v>
      </c>
      <c r="F266" t="inlineStr">
        <is>
          <t>+30 Heading Acc. 92</t>
        </is>
      </c>
      <c r="G266" t="inlineStr">
        <is>
          <t>Il Capitano [Store] - EA SPORTS FC 26</t>
        </is>
      </c>
      <c r="H266" t="inlineStr">
        <is>
          <t>Reward</t>
        </is>
      </c>
      <c r="I266" t="inlineStr">
        <is>
          <t>Reward</t>
        </is>
      </c>
      <c r="J266" t="inlineStr">
        <is>
          <t>https://www.fut.gg/evolutions/1961-il-capitano-store/</t>
        </is>
      </c>
    </row>
    <row r="267">
      <c r="B267" t="inlineStr">
        <is>
          <t>Sub Stat</t>
        </is>
      </c>
      <c r="C267" t="inlineStr">
        <is>
          <t>Defensive Awareness</t>
        </is>
      </c>
      <c r="D267" t="n">
        <v>30</v>
      </c>
      <c r="E267" t="n">
        <v>95</v>
      </c>
      <c r="F267" t="inlineStr">
        <is>
          <t>+30 Defensive Awareness 95</t>
        </is>
      </c>
      <c r="G267" t="inlineStr">
        <is>
          <t>Il Capitano [Store] - EA SPORTS FC 26</t>
        </is>
      </c>
      <c r="H267" t="inlineStr">
        <is>
          <t>Reward</t>
        </is>
      </c>
      <c r="I267" t="inlineStr">
        <is>
          <t>Reward</t>
        </is>
      </c>
      <c r="J267" t="inlineStr">
        <is>
          <t>https://www.fut.gg/evolutions/1961-il-capitano-store/</t>
        </is>
      </c>
    </row>
    <row r="268">
      <c r="B268" t="inlineStr">
        <is>
          <t>Face Stat</t>
        </is>
      </c>
      <c r="C268" t="inlineStr">
        <is>
          <t>OVR</t>
        </is>
      </c>
      <c r="D268" t="n">
        <v>2</v>
      </c>
      <c r="F268" t="inlineStr">
        <is>
          <t>+2 OVR</t>
        </is>
      </c>
      <c r="G268" t="inlineStr">
        <is>
          <t>In Form - EA SPORTS FC 26</t>
        </is>
      </c>
      <c r="H268" t="inlineStr">
        <is>
          <t>Reward</t>
        </is>
      </c>
      <c r="I268" t="inlineStr">
        <is>
          <t>Objective</t>
        </is>
      </c>
      <c r="J268" t="inlineStr">
        <is>
          <t>https://www.fut.gg/evolutions/1956-in-form/</t>
        </is>
      </c>
    </row>
    <row r="269">
      <c r="B269" t="inlineStr">
        <is>
          <t>Face Stat</t>
        </is>
      </c>
      <c r="C269" t="inlineStr">
        <is>
          <t>PAC</t>
        </is>
      </c>
      <c r="D269" t="n">
        <v>2</v>
      </c>
      <c r="E269" t="n">
        <v>91</v>
      </c>
      <c r="F269" t="inlineStr">
        <is>
          <t>+2 PAC 91</t>
        </is>
      </c>
      <c r="G269" t="inlineStr">
        <is>
          <t>In Form - EA SPORTS FC 26</t>
        </is>
      </c>
      <c r="H269" t="inlineStr">
        <is>
          <t>Reward</t>
        </is>
      </c>
      <c r="I269" t="inlineStr">
        <is>
          <t>Objective</t>
        </is>
      </c>
      <c r="J269" t="inlineStr">
        <is>
          <t>https://www.fut.gg/evolutions/1956-in-form/</t>
        </is>
      </c>
    </row>
    <row r="270">
      <c r="B270" t="inlineStr">
        <is>
          <t>Face Stat</t>
        </is>
      </c>
      <c r="C270" t="inlineStr">
        <is>
          <t>SHO</t>
        </is>
      </c>
      <c r="D270" t="n">
        <v>2</v>
      </c>
      <c r="E270" t="n">
        <v>90</v>
      </c>
      <c r="F270" t="inlineStr">
        <is>
          <t>+2 SHO 90</t>
        </is>
      </c>
      <c r="G270" t="inlineStr">
        <is>
          <t>In Form - EA SPORTS FC 26</t>
        </is>
      </c>
      <c r="H270" t="inlineStr">
        <is>
          <t>Reward</t>
        </is>
      </c>
      <c r="I270" t="inlineStr">
        <is>
          <t>Objective</t>
        </is>
      </c>
      <c r="J270" t="inlineStr">
        <is>
          <t>https://www.fut.gg/evolutions/1956-in-form/</t>
        </is>
      </c>
    </row>
    <row r="271">
      <c r="B271" t="inlineStr">
        <is>
          <t>Face Stat</t>
        </is>
      </c>
      <c r="C271" t="inlineStr">
        <is>
          <t>PAS</t>
        </is>
      </c>
      <c r="D271" t="n">
        <v>2</v>
      </c>
      <c r="E271" t="n">
        <v>91</v>
      </c>
      <c r="F271" t="inlineStr">
        <is>
          <t>+2 PAS 91</t>
        </is>
      </c>
      <c r="G271" t="inlineStr">
        <is>
          <t>In Form - EA SPORTS FC 26</t>
        </is>
      </c>
      <c r="H271" t="inlineStr">
        <is>
          <t>Reward</t>
        </is>
      </c>
      <c r="I271" t="inlineStr">
        <is>
          <t>Objective</t>
        </is>
      </c>
      <c r="J271" t="inlineStr">
        <is>
          <t>https://www.fut.gg/evolutions/1956-in-form/</t>
        </is>
      </c>
    </row>
    <row r="272">
      <c r="B272" t="inlineStr">
        <is>
          <t>Face Stat</t>
        </is>
      </c>
      <c r="C272" t="inlineStr">
        <is>
          <t>DRI</t>
        </is>
      </c>
      <c r="D272" t="n">
        <v>2</v>
      </c>
      <c r="E272" t="n">
        <v>90</v>
      </c>
      <c r="F272" t="inlineStr">
        <is>
          <t>+2 DRI 90</t>
        </is>
      </c>
      <c r="G272" t="inlineStr">
        <is>
          <t>In Form - EA SPORTS FC 26</t>
        </is>
      </c>
      <c r="H272" t="inlineStr">
        <is>
          <t>Reward</t>
        </is>
      </c>
      <c r="I272" t="inlineStr">
        <is>
          <t>Objective</t>
        </is>
      </c>
      <c r="J272" t="inlineStr">
        <is>
          <t>https://www.fut.gg/evolutions/1956-in-form/</t>
        </is>
      </c>
    </row>
    <row r="273">
      <c r="B273" t="inlineStr">
        <is>
          <t>Face Stat</t>
        </is>
      </c>
      <c r="C273" t="inlineStr">
        <is>
          <t>DEF</t>
        </is>
      </c>
      <c r="D273" t="n">
        <v>2</v>
      </c>
      <c r="E273" t="n">
        <v>90</v>
      </c>
      <c r="F273" t="inlineStr">
        <is>
          <t>+2 DEF 90</t>
        </is>
      </c>
      <c r="G273" t="inlineStr">
        <is>
          <t>In Form - EA SPORTS FC 26</t>
        </is>
      </c>
      <c r="H273" t="inlineStr">
        <is>
          <t>Reward</t>
        </is>
      </c>
      <c r="I273" t="inlineStr">
        <is>
          <t>Objective</t>
        </is>
      </c>
      <c r="J273" t="inlineStr">
        <is>
          <t>https://www.fut.gg/evolutions/1956-in-form/</t>
        </is>
      </c>
    </row>
    <row r="274">
      <c r="B274" t="inlineStr">
        <is>
          <t>Face Stat</t>
        </is>
      </c>
      <c r="C274" t="inlineStr">
        <is>
          <t>PHY</t>
        </is>
      </c>
      <c r="D274" t="n">
        <v>2</v>
      </c>
      <c r="E274" t="n">
        <v>91</v>
      </c>
      <c r="F274" t="inlineStr">
        <is>
          <t>+2 PHY 91</t>
        </is>
      </c>
      <c r="G274" t="inlineStr">
        <is>
          <t>In Form - EA SPORTS FC 26</t>
        </is>
      </c>
      <c r="H274" t="inlineStr">
        <is>
          <t>Reward</t>
        </is>
      </c>
      <c r="I274" t="inlineStr">
        <is>
          <t>Objective</t>
        </is>
      </c>
      <c r="J274" t="inlineStr">
        <is>
          <t>https://www.fut.gg/evolutions/1956-in-form/</t>
        </is>
      </c>
    </row>
    <row r="275">
      <c r="B275" t="inlineStr">
        <is>
          <t>Face Stat</t>
        </is>
      </c>
      <c r="C275" t="inlineStr">
        <is>
          <t>OVR</t>
        </is>
      </c>
      <c r="D275" t="n">
        <v>2</v>
      </c>
      <c r="F275" t="inlineStr">
        <is>
          <t>+2 OVR</t>
        </is>
      </c>
      <c r="G275" t="inlineStr">
        <is>
          <t>In Form - EA SPORTS FC 26</t>
        </is>
      </c>
      <c r="H275" t="inlineStr">
        <is>
          <t>Reward</t>
        </is>
      </c>
      <c r="I275" t="inlineStr">
        <is>
          <t>Objective</t>
        </is>
      </c>
      <c r="J275" t="inlineStr">
        <is>
          <t>https://www.fut.gg/evolutions/1956-in-form/</t>
        </is>
      </c>
    </row>
    <row r="276">
      <c r="B276" t="inlineStr">
        <is>
          <t>Face Stat</t>
        </is>
      </c>
      <c r="C276" t="inlineStr">
        <is>
          <t>PAC</t>
        </is>
      </c>
      <c r="D276" t="n">
        <v>2</v>
      </c>
      <c r="E276" t="n">
        <v>91</v>
      </c>
      <c r="F276" t="inlineStr">
        <is>
          <t>+2 PAC 91</t>
        </is>
      </c>
      <c r="G276" t="inlineStr">
        <is>
          <t>In Form - EA SPORTS FC 26</t>
        </is>
      </c>
      <c r="H276" t="inlineStr">
        <is>
          <t>Reward</t>
        </is>
      </c>
      <c r="I276" t="inlineStr">
        <is>
          <t>Objective</t>
        </is>
      </c>
      <c r="J276" t="inlineStr">
        <is>
          <t>https://www.fut.gg/evolutions/1956-in-form/</t>
        </is>
      </c>
    </row>
    <row r="277">
      <c r="B277" t="inlineStr">
        <is>
          <t>Face Stat</t>
        </is>
      </c>
      <c r="C277" t="inlineStr">
        <is>
          <t>SHO</t>
        </is>
      </c>
      <c r="D277" t="n">
        <v>2</v>
      </c>
      <c r="E277" t="n">
        <v>90</v>
      </c>
      <c r="F277" t="inlineStr">
        <is>
          <t>+2 SHO 90</t>
        </is>
      </c>
      <c r="G277" t="inlineStr">
        <is>
          <t>In Form - EA SPORTS FC 26</t>
        </is>
      </c>
      <c r="H277" t="inlineStr">
        <is>
          <t>Reward</t>
        </is>
      </c>
      <c r="I277" t="inlineStr">
        <is>
          <t>Objective</t>
        </is>
      </c>
      <c r="J277" t="inlineStr">
        <is>
          <t>https://www.fut.gg/evolutions/1956-in-form/</t>
        </is>
      </c>
    </row>
    <row r="278">
      <c r="B278" t="inlineStr">
        <is>
          <t>Face Stat</t>
        </is>
      </c>
      <c r="C278" t="inlineStr">
        <is>
          <t>PAS</t>
        </is>
      </c>
      <c r="D278" t="n">
        <v>2</v>
      </c>
      <c r="E278" t="n">
        <v>91</v>
      </c>
      <c r="F278" t="inlineStr">
        <is>
          <t>+2 PAS 91</t>
        </is>
      </c>
      <c r="G278" t="inlineStr">
        <is>
          <t>In Form - EA SPORTS FC 26</t>
        </is>
      </c>
      <c r="H278" t="inlineStr">
        <is>
          <t>Reward</t>
        </is>
      </c>
      <c r="I278" t="inlineStr">
        <is>
          <t>Objective</t>
        </is>
      </c>
      <c r="J278" t="inlineStr">
        <is>
          <t>https://www.fut.gg/evolutions/1956-in-form/</t>
        </is>
      </c>
    </row>
    <row r="279">
      <c r="B279" t="inlineStr">
        <is>
          <t>Face Stat</t>
        </is>
      </c>
      <c r="C279" t="inlineStr">
        <is>
          <t>DRI</t>
        </is>
      </c>
      <c r="D279" t="n">
        <v>2</v>
      </c>
      <c r="E279" t="n">
        <v>90</v>
      </c>
      <c r="F279" t="inlineStr">
        <is>
          <t>+2 DRI 90</t>
        </is>
      </c>
      <c r="G279" t="inlineStr">
        <is>
          <t>In Form - EA SPORTS FC 26</t>
        </is>
      </c>
      <c r="H279" t="inlineStr">
        <is>
          <t>Reward</t>
        </is>
      </c>
      <c r="I279" t="inlineStr">
        <is>
          <t>Objective</t>
        </is>
      </c>
      <c r="J279" t="inlineStr">
        <is>
          <t>https://www.fut.gg/evolutions/1956-in-form/</t>
        </is>
      </c>
    </row>
    <row r="280">
      <c r="B280" t="inlineStr">
        <is>
          <t>Face Stat</t>
        </is>
      </c>
      <c r="C280" t="inlineStr">
        <is>
          <t>DEF</t>
        </is>
      </c>
      <c r="D280" t="n">
        <v>2</v>
      </c>
      <c r="E280" t="n">
        <v>90</v>
      </c>
      <c r="F280" t="inlineStr">
        <is>
          <t>+2 DEF 90</t>
        </is>
      </c>
      <c r="G280" t="inlineStr">
        <is>
          <t>In Form - EA SPORTS FC 26</t>
        </is>
      </c>
      <c r="H280" t="inlineStr">
        <is>
          <t>Reward</t>
        </is>
      </c>
      <c r="I280" t="inlineStr">
        <is>
          <t>Objective</t>
        </is>
      </c>
      <c r="J280" t="inlineStr">
        <is>
          <t>https://www.fut.gg/evolutions/1956-in-form/</t>
        </is>
      </c>
    </row>
    <row r="281">
      <c r="B281" t="inlineStr">
        <is>
          <t>Face Stat</t>
        </is>
      </c>
      <c r="C281" t="inlineStr">
        <is>
          <t>PHY</t>
        </is>
      </c>
      <c r="D281" t="n">
        <v>2</v>
      </c>
      <c r="E281" t="n">
        <v>91</v>
      </c>
      <c r="F281" t="inlineStr">
        <is>
          <t>+2 PHY 91</t>
        </is>
      </c>
      <c r="G281" t="inlineStr">
        <is>
          <t>In Form - EA SPORTS FC 26</t>
        </is>
      </c>
      <c r="H281" t="inlineStr">
        <is>
          <t>Reward</t>
        </is>
      </c>
      <c r="I281" t="inlineStr">
        <is>
          <t>Objective</t>
        </is>
      </c>
      <c r="J281" t="inlineStr">
        <is>
          <t>https://www.fut.gg/evolutions/1956-in-form/</t>
        </is>
      </c>
    </row>
    <row r="282">
      <c r="B282" t="inlineStr">
        <is>
          <t>Face Stat</t>
        </is>
      </c>
      <c r="C282" t="inlineStr">
        <is>
          <t>OVR</t>
        </is>
      </c>
      <c r="D282" t="n">
        <v>5</v>
      </c>
      <c r="E282" t="n">
        <v>74</v>
      </c>
      <c r="F282" t="inlineStr">
        <is>
          <t>+5 OVR 74</t>
        </is>
      </c>
      <c r="G282" t="inlineStr">
        <is>
          <t>WTSS Defender Boost - EA SPORTS FC 26</t>
        </is>
      </c>
      <c r="H282" t="inlineStr">
        <is>
          <t>Reward</t>
        </is>
      </c>
      <c r="I282" t="inlineStr">
        <is>
          <t>Objective</t>
        </is>
      </c>
      <c r="J282" t="inlineStr">
        <is>
          <t>https://www.fut.gg/evolutions/1950-wtss-defender-boost/</t>
        </is>
      </c>
    </row>
    <row r="283">
      <c r="B283" t="inlineStr">
        <is>
          <t>Sub Stat</t>
        </is>
      </c>
      <c r="C283" t="inlineStr">
        <is>
          <t>Composure</t>
        </is>
      </c>
      <c r="D283" t="n">
        <v>3</v>
      </c>
      <c r="F283" t="inlineStr">
        <is>
          <t>+3 Composure</t>
        </is>
      </c>
      <c r="G283" t="inlineStr">
        <is>
          <t>WTSS Defender Boost - EA SPORTS FC 26</t>
        </is>
      </c>
      <c r="H283" t="inlineStr">
        <is>
          <t>Reward</t>
        </is>
      </c>
      <c r="I283" t="inlineStr">
        <is>
          <t>Objective</t>
        </is>
      </c>
      <c r="J283" t="inlineStr">
        <is>
          <t>https://www.fut.gg/evolutions/1950-wtss-defender-boost/</t>
        </is>
      </c>
    </row>
    <row r="284">
      <c r="B284" t="inlineStr">
        <is>
          <t>Sub Stat</t>
        </is>
      </c>
      <c r="C284" t="inlineStr">
        <is>
          <t>Interceptions</t>
        </is>
      </c>
      <c r="D284" t="n">
        <v>2</v>
      </c>
      <c r="F284" t="inlineStr">
        <is>
          <t>+2 Interceptions</t>
        </is>
      </c>
      <c r="G284" t="inlineStr">
        <is>
          <t>WTSS Defender Boost - EA SPORTS FC 26</t>
        </is>
      </c>
      <c r="H284" t="inlineStr">
        <is>
          <t>Reward</t>
        </is>
      </c>
      <c r="I284" t="inlineStr">
        <is>
          <t>Objective</t>
        </is>
      </c>
      <c r="J284" t="inlineStr">
        <is>
          <t>https://www.fut.gg/evolutions/1950-wtss-defender-boost/</t>
        </is>
      </c>
    </row>
    <row r="285">
      <c r="B285" t="inlineStr">
        <is>
          <t>Sub Stat</t>
        </is>
      </c>
      <c r="C285" t="inlineStr">
        <is>
          <t>Sliding Tackle</t>
        </is>
      </c>
      <c r="D285" t="n">
        <v>2</v>
      </c>
      <c r="F285" t="inlineStr">
        <is>
          <t>+2 Sliding Tackle</t>
        </is>
      </c>
      <c r="G285" t="inlineStr">
        <is>
          <t>WTSS Defender Boost - EA SPORTS FC 26</t>
        </is>
      </c>
      <c r="H285" t="inlineStr">
        <is>
          <t>Reward</t>
        </is>
      </c>
      <c r="I285" t="inlineStr">
        <is>
          <t>Objective</t>
        </is>
      </c>
      <c r="J285" t="inlineStr">
        <is>
          <t>https://www.fut.gg/evolutions/1950-wtss-defender-boost/</t>
        </is>
      </c>
    </row>
    <row r="286">
      <c r="B286" t="inlineStr">
        <is>
          <t>Sub Stat</t>
        </is>
      </c>
      <c r="C286" t="inlineStr">
        <is>
          <t>Jumping</t>
        </is>
      </c>
      <c r="D286" t="n">
        <v>2</v>
      </c>
      <c r="F286" t="inlineStr">
        <is>
          <t>+2 Jumping</t>
        </is>
      </c>
      <c r="G286" t="inlineStr">
        <is>
          <t>WTSS Defender Boost - EA SPORTS FC 26</t>
        </is>
      </c>
      <c r="H286" t="inlineStr">
        <is>
          <t>Reward</t>
        </is>
      </c>
      <c r="I286" t="inlineStr">
        <is>
          <t>Objective</t>
        </is>
      </c>
      <c r="J286" t="inlineStr">
        <is>
          <t>https://www.fut.gg/evolutions/1950-wtss-defender-boost/</t>
        </is>
      </c>
    </row>
    <row r="287">
      <c r="B287" t="inlineStr">
        <is>
          <t>Sub Stat</t>
        </is>
      </c>
      <c r="C287" t="inlineStr">
        <is>
          <t>Balance</t>
        </is>
      </c>
      <c r="D287" t="n">
        <v>2</v>
      </c>
      <c r="F287" t="inlineStr">
        <is>
          <t>+2 Balance</t>
        </is>
      </c>
      <c r="G287" t="inlineStr">
        <is>
          <t>WTSS Defender Boost - EA SPORTS FC 26</t>
        </is>
      </c>
      <c r="H287" t="inlineStr">
        <is>
          <t>Reward</t>
        </is>
      </c>
      <c r="I287" t="inlineStr">
        <is>
          <t>Objective</t>
        </is>
      </c>
      <c r="J287" t="inlineStr">
        <is>
          <t>https://www.fut.gg/evolutions/1950-wtss-defender-boost/</t>
        </is>
      </c>
    </row>
    <row r="288">
      <c r="B288" t="inlineStr">
        <is>
          <t>Sub Stat</t>
        </is>
      </c>
      <c r="C288" t="inlineStr">
        <is>
          <t>Heading Accuracy</t>
        </is>
      </c>
      <c r="D288" t="n">
        <v>2</v>
      </c>
      <c r="F288" t="inlineStr">
        <is>
          <t>+2 Heading Acc.</t>
        </is>
      </c>
      <c r="G288" t="inlineStr">
        <is>
          <t>WTSS Defender Boost - EA SPORTS FC 26</t>
        </is>
      </c>
      <c r="H288" t="inlineStr">
        <is>
          <t>Reward</t>
        </is>
      </c>
      <c r="I288" t="inlineStr">
        <is>
          <t>Objective</t>
        </is>
      </c>
      <c r="J288" t="inlineStr">
        <is>
          <t>https://www.fut.gg/evolutions/1950-wtss-defender-boost/</t>
        </is>
      </c>
    </row>
    <row r="289">
      <c r="B289" t="inlineStr">
        <is>
          <t>Sub Stat</t>
        </is>
      </c>
      <c r="C289" t="inlineStr">
        <is>
          <t>Standing Tackle</t>
        </is>
      </c>
      <c r="D289" t="n">
        <v>2</v>
      </c>
      <c r="F289" t="inlineStr">
        <is>
          <t>+2 Standing Tackle</t>
        </is>
      </c>
      <c r="G289" t="inlineStr">
        <is>
          <t>WTSS Defender Boost - EA SPORTS FC 26</t>
        </is>
      </c>
      <c r="H289" t="inlineStr">
        <is>
          <t>Reward</t>
        </is>
      </c>
      <c r="I289" t="inlineStr">
        <is>
          <t>Objective</t>
        </is>
      </c>
      <c r="J289" t="inlineStr">
        <is>
          <t>https://www.fut.gg/evolutions/1950-wtss-defender-boost/</t>
        </is>
      </c>
    </row>
    <row r="290">
      <c r="B290" t="inlineStr">
        <is>
          <t>Sub Stat</t>
        </is>
      </c>
      <c r="C290" t="inlineStr">
        <is>
          <t>Stamina</t>
        </is>
      </c>
      <c r="D290" t="n">
        <v>3</v>
      </c>
      <c r="F290" t="inlineStr">
        <is>
          <t>+3 Stamina</t>
        </is>
      </c>
      <c r="G290" t="inlineStr">
        <is>
          <t>WTSS Defender Boost - EA SPORTS FC 26</t>
        </is>
      </c>
      <c r="H290" t="inlineStr">
        <is>
          <t>Reward</t>
        </is>
      </c>
      <c r="I290" t="inlineStr">
        <is>
          <t>Objective</t>
        </is>
      </c>
      <c r="J290" t="inlineStr">
        <is>
          <t>https://www.fut.gg/evolutions/1950-wtss-defender-boost/</t>
        </is>
      </c>
    </row>
    <row r="291">
      <c r="B291" t="inlineStr">
        <is>
          <t>Sub Stat</t>
        </is>
      </c>
      <c r="C291" t="inlineStr">
        <is>
          <t>Reactions</t>
        </is>
      </c>
      <c r="D291" t="n">
        <v>2</v>
      </c>
      <c r="F291" t="inlineStr">
        <is>
          <t>+2 Reactions</t>
        </is>
      </c>
      <c r="G291" t="inlineStr">
        <is>
          <t>WTSS Defender Boost - EA SPORTS FC 26</t>
        </is>
      </c>
      <c r="H291" t="inlineStr">
        <is>
          <t>Reward</t>
        </is>
      </c>
      <c r="I291" t="inlineStr">
        <is>
          <t>Objective</t>
        </is>
      </c>
      <c r="J291" t="inlineStr">
        <is>
          <t>https://www.fut.gg/evolutions/1950-wtss-defender-boost/</t>
        </is>
      </c>
    </row>
    <row r="292">
      <c r="B292" t="inlineStr">
        <is>
          <t>Sub Stat</t>
        </is>
      </c>
      <c r="C292" t="inlineStr">
        <is>
          <t>Defensive Awareness</t>
        </is>
      </c>
      <c r="D292" t="n">
        <v>3</v>
      </c>
      <c r="F292" t="inlineStr">
        <is>
          <t>+3 Defensive Awareness</t>
        </is>
      </c>
      <c r="G292" t="inlineStr">
        <is>
          <t>WTSS Defender Boost - EA SPORTS FC 26</t>
        </is>
      </c>
      <c r="H292" t="inlineStr">
        <is>
          <t>Reward</t>
        </is>
      </c>
      <c r="I292" t="inlineStr">
        <is>
          <t>Objective</t>
        </is>
      </c>
      <c r="J292" t="inlineStr">
        <is>
          <t>https://www.fut.gg/evolutions/1950-wtss-defender-boost/</t>
        </is>
      </c>
    </row>
    <row r="293">
      <c r="B293" t="inlineStr">
        <is>
          <t>Sub Stat</t>
        </is>
      </c>
      <c r="C293" t="inlineStr">
        <is>
          <t>Strength</t>
        </is>
      </c>
      <c r="D293" t="n">
        <v>2</v>
      </c>
      <c r="F293" t="inlineStr">
        <is>
          <t>+2 Strength</t>
        </is>
      </c>
      <c r="G293" t="inlineStr">
        <is>
          <t>WTSS Defender Boost - EA SPORTS FC 26</t>
        </is>
      </c>
      <c r="H293" t="inlineStr">
        <is>
          <t>Reward</t>
        </is>
      </c>
      <c r="I293" t="inlineStr">
        <is>
          <t>Objective</t>
        </is>
      </c>
      <c r="J293" t="inlineStr">
        <is>
          <t>https://www.fut.gg/evolutions/1950-wtss-defender-boost/</t>
        </is>
      </c>
    </row>
    <row r="294">
      <c r="B294" t="inlineStr">
        <is>
          <t>Sub Stat</t>
        </is>
      </c>
      <c r="C294" t="inlineStr">
        <is>
          <t>Aggression</t>
        </is>
      </c>
      <c r="D294" t="n">
        <v>2</v>
      </c>
      <c r="E294" t="n">
        <v>3</v>
      </c>
      <c r="F294" t="inlineStr">
        <is>
          <t>+2 Aggression 3</t>
        </is>
      </c>
      <c r="G294" t="inlineStr">
        <is>
          <t>WTSS Defender Boost - EA SPORTS FC 26</t>
        </is>
      </c>
      <c r="H294" t="inlineStr">
        <is>
          <t>Reward</t>
        </is>
      </c>
      <c r="I294" t="inlineStr">
        <is>
          <t>Objective</t>
        </is>
      </c>
      <c r="J294" t="inlineStr">
        <is>
          <t>https://www.fut.gg/evolutions/1950-wtss-defender-boost/</t>
        </is>
      </c>
    </row>
    <row r="295">
      <c r="B295" t="inlineStr">
        <is>
          <t>Face Stat</t>
        </is>
      </c>
      <c r="C295" t="inlineStr">
        <is>
          <t>OVR</t>
        </is>
      </c>
      <c r="D295" t="n">
        <v>5</v>
      </c>
      <c r="E295" t="n">
        <v>74</v>
      </c>
      <c r="F295" t="inlineStr">
        <is>
          <t>+5 OVR 74</t>
        </is>
      </c>
      <c r="G295" t="inlineStr">
        <is>
          <t>WTSS Defender Boost - EA SPORTS FC 26</t>
        </is>
      </c>
      <c r="H295" t="inlineStr">
        <is>
          <t>Reward</t>
        </is>
      </c>
      <c r="I295" t="inlineStr">
        <is>
          <t>Objective</t>
        </is>
      </c>
      <c r="J295" t="inlineStr">
        <is>
          <t>https://www.fut.gg/evolutions/1950-wtss-defender-boost/</t>
        </is>
      </c>
    </row>
    <row r="296">
      <c r="B296" t="inlineStr">
        <is>
          <t>Sub Stat</t>
        </is>
      </c>
      <c r="C296" t="inlineStr">
        <is>
          <t>Composure</t>
        </is>
      </c>
      <c r="D296" t="n">
        <v>3</v>
      </c>
      <c r="F296" t="inlineStr">
        <is>
          <t>+3 Composure</t>
        </is>
      </c>
      <c r="G296" t="inlineStr">
        <is>
          <t>WTSS Defender Boost - EA SPORTS FC 26</t>
        </is>
      </c>
      <c r="H296" t="inlineStr">
        <is>
          <t>Reward</t>
        </is>
      </c>
      <c r="I296" t="inlineStr">
        <is>
          <t>Objective</t>
        </is>
      </c>
      <c r="J296" t="inlineStr">
        <is>
          <t>https://www.fut.gg/evolutions/1950-wtss-defender-boost/</t>
        </is>
      </c>
    </row>
    <row r="297">
      <c r="B297" t="inlineStr">
        <is>
          <t>Sub Stat</t>
        </is>
      </c>
      <c r="C297" t="inlineStr">
        <is>
          <t>Interceptions</t>
        </is>
      </c>
      <c r="D297" t="n">
        <v>2</v>
      </c>
      <c r="F297" t="inlineStr">
        <is>
          <t>+2 Interceptions</t>
        </is>
      </c>
      <c r="G297" t="inlineStr">
        <is>
          <t>WTSS Defender Boost - EA SPORTS FC 26</t>
        </is>
      </c>
      <c r="H297" t="inlineStr">
        <is>
          <t>Reward</t>
        </is>
      </c>
      <c r="I297" t="inlineStr">
        <is>
          <t>Objective</t>
        </is>
      </c>
      <c r="J297" t="inlineStr">
        <is>
          <t>https://www.fut.gg/evolutions/1950-wtss-defender-boost/</t>
        </is>
      </c>
    </row>
    <row r="298">
      <c r="B298" t="inlineStr">
        <is>
          <t>Sub Stat</t>
        </is>
      </c>
      <c r="C298" t="inlineStr">
        <is>
          <t>Sliding Tackle</t>
        </is>
      </c>
      <c r="D298" t="n">
        <v>2</v>
      </c>
      <c r="F298" t="inlineStr">
        <is>
          <t>+2 Sliding Tackle</t>
        </is>
      </c>
      <c r="G298" t="inlineStr">
        <is>
          <t>WTSS Defender Boost - EA SPORTS FC 26</t>
        </is>
      </c>
      <c r="H298" t="inlineStr">
        <is>
          <t>Reward</t>
        </is>
      </c>
      <c r="I298" t="inlineStr">
        <is>
          <t>Objective</t>
        </is>
      </c>
      <c r="J298" t="inlineStr">
        <is>
          <t>https://www.fut.gg/evolutions/1950-wtss-defender-boost/</t>
        </is>
      </c>
    </row>
    <row r="299">
      <c r="B299" t="inlineStr">
        <is>
          <t>Sub Stat</t>
        </is>
      </c>
      <c r="C299" t="inlineStr">
        <is>
          <t>Jumping</t>
        </is>
      </c>
      <c r="D299" t="n">
        <v>2</v>
      </c>
      <c r="F299" t="inlineStr">
        <is>
          <t>+2 Jumping</t>
        </is>
      </c>
      <c r="G299" t="inlineStr">
        <is>
          <t>WTSS Defender Boost - EA SPORTS FC 26</t>
        </is>
      </c>
      <c r="H299" t="inlineStr">
        <is>
          <t>Reward</t>
        </is>
      </c>
      <c r="I299" t="inlineStr">
        <is>
          <t>Objective</t>
        </is>
      </c>
      <c r="J299" t="inlineStr">
        <is>
          <t>https://www.fut.gg/evolutions/1950-wtss-defender-boost/</t>
        </is>
      </c>
    </row>
    <row r="300">
      <c r="B300" t="inlineStr">
        <is>
          <t>Face Stat</t>
        </is>
      </c>
      <c r="C300" t="inlineStr">
        <is>
          <t>OVR</t>
        </is>
      </c>
      <c r="D300" t="n">
        <v>5</v>
      </c>
      <c r="E300" t="n">
        <v>74</v>
      </c>
      <c r="F300" t="inlineStr">
        <is>
          <t>+5 OVR 74</t>
        </is>
      </c>
      <c r="G300" t="inlineStr">
        <is>
          <t>WTSS Attacker Boost - EA SPORTS FC 26</t>
        </is>
      </c>
      <c r="H300" t="inlineStr">
        <is>
          <t>Reward</t>
        </is>
      </c>
      <c r="I300" t="inlineStr">
        <is>
          <t>Objective</t>
        </is>
      </c>
      <c r="J300" t="inlineStr">
        <is>
          <t>https://www.fut.gg/evolutions/1949-wtss-attacker-boost/</t>
        </is>
      </c>
    </row>
    <row r="301">
      <c r="B301" t="inlineStr">
        <is>
          <t>Sub Stat</t>
        </is>
      </c>
      <c r="C301" t="inlineStr">
        <is>
          <t>Positioning</t>
        </is>
      </c>
      <c r="D301" t="n">
        <v>2</v>
      </c>
      <c r="F301" t="inlineStr">
        <is>
          <t>+2 Positioning</t>
        </is>
      </c>
      <c r="G301" t="inlineStr">
        <is>
          <t>WTSS Attacker Boost - EA SPORTS FC 26</t>
        </is>
      </c>
      <c r="H301" t="inlineStr">
        <is>
          <t>Reward</t>
        </is>
      </c>
      <c r="I301" t="inlineStr">
        <is>
          <t>Objective</t>
        </is>
      </c>
      <c r="J301" t="inlineStr">
        <is>
          <t>https://www.fut.gg/evolutions/1949-wtss-attacker-boost/</t>
        </is>
      </c>
    </row>
    <row r="302">
      <c r="B302" t="inlineStr">
        <is>
          <t>Sub Stat</t>
        </is>
      </c>
      <c r="C302" t="inlineStr">
        <is>
          <t>Volleys</t>
        </is>
      </c>
      <c r="D302" t="n">
        <v>2</v>
      </c>
      <c r="F302" t="inlineStr">
        <is>
          <t>+2 Volleys</t>
        </is>
      </c>
      <c r="G302" t="inlineStr">
        <is>
          <t>WTSS Attacker Boost - EA SPORTS FC 26</t>
        </is>
      </c>
      <c r="H302" t="inlineStr">
        <is>
          <t>Reward</t>
        </is>
      </c>
      <c r="I302" t="inlineStr">
        <is>
          <t>Objective</t>
        </is>
      </c>
      <c r="J302" t="inlineStr">
        <is>
          <t>https://www.fut.gg/evolutions/1949-wtss-attacker-boost/</t>
        </is>
      </c>
    </row>
    <row r="303">
      <c r="B303" t="inlineStr">
        <is>
          <t>Sub Stat</t>
        </is>
      </c>
      <c r="C303" t="inlineStr">
        <is>
          <t>Penalties</t>
        </is>
      </c>
      <c r="D303" t="n">
        <v>2</v>
      </c>
      <c r="F303" t="inlineStr">
        <is>
          <t>+2 Penalties</t>
        </is>
      </c>
      <c r="G303" t="inlineStr">
        <is>
          <t>WTSS Attacker Boost - EA SPORTS FC 26</t>
        </is>
      </c>
      <c r="H303" t="inlineStr">
        <is>
          <t>Reward</t>
        </is>
      </c>
      <c r="I303" t="inlineStr">
        <is>
          <t>Objective</t>
        </is>
      </c>
      <c r="J303" t="inlineStr">
        <is>
          <t>https://www.fut.gg/evolutions/1949-wtss-attacker-boost/</t>
        </is>
      </c>
    </row>
    <row r="304">
      <c r="B304" t="inlineStr">
        <is>
          <t>Sub Stat</t>
        </is>
      </c>
      <c r="C304" t="inlineStr">
        <is>
          <t>Balance</t>
        </is>
      </c>
      <c r="D304" t="n">
        <v>2</v>
      </c>
      <c r="F304" t="inlineStr">
        <is>
          <t>+2 Balance</t>
        </is>
      </c>
      <c r="G304" t="inlineStr">
        <is>
          <t>WTSS Attacker Boost - EA SPORTS FC 26</t>
        </is>
      </c>
      <c r="H304" t="inlineStr">
        <is>
          <t>Reward</t>
        </is>
      </c>
      <c r="I304" t="inlineStr">
        <is>
          <t>Objective</t>
        </is>
      </c>
      <c r="J304" t="inlineStr">
        <is>
          <t>https://www.fut.gg/evolutions/1949-wtss-attacker-boost/</t>
        </is>
      </c>
    </row>
    <row r="305">
      <c r="B305" t="inlineStr">
        <is>
          <t>Sub Stat</t>
        </is>
      </c>
      <c r="C305" t="inlineStr">
        <is>
          <t>Acceleration</t>
        </is>
      </c>
      <c r="D305" t="n">
        <v>2</v>
      </c>
      <c r="F305" t="inlineStr">
        <is>
          <t>+2 Acceleration</t>
        </is>
      </c>
      <c r="G305" t="inlineStr">
        <is>
          <t>WTSS Attacker Boost - EA SPORTS FC 26</t>
        </is>
      </c>
      <c r="H305" t="inlineStr">
        <is>
          <t>Reward</t>
        </is>
      </c>
      <c r="I305" t="inlineStr">
        <is>
          <t>Objective</t>
        </is>
      </c>
      <c r="J305" t="inlineStr">
        <is>
          <t>https://www.fut.gg/evolutions/1949-wtss-attacker-boost/</t>
        </is>
      </c>
    </row>
    <row r="306">
      <c r="B306" t="inlineStr">
        <is>
          <t>Sub Stat</t>
        </is>
      </c>
      <c r="C306" t="inlineStr">
        <is>
          <t>Finishing</t>
        </is>
      </c>
      <c r="D306" t="n">
        <v>3</v>
      </c>
      <c r="F306" t="inlineStr">
        <is>
          <t>+3 Finishing</t>
        </is>
      </c>
      <c r="G306" t="inlineStr">
        <is>
          <t>WTSS Attacker Boost - EA SPORTS FC 26</t>
        </is>
      </c>
      <c r="H306" t="inlineStr">
        <is>
          <t>Reward</t>
        </is>
      </c>
      <c r="I306" t="inlineStr">
        <is>
          <t>Objective</t>
        </is>
      </c>
      <c r="J306" t="inlineStr">
        <is>
          <t>https://www.fut.gg/evolutions/1949-wtss-attacker-boost/</t>
        </is>
      </c>
    </row>
    <row r="307">
      <c r="B307" t="inlineStr">
        <is>
          <t>Sub Stat</t>
        </is>
      </c>
      <c r="C307" t="inlineStr">
        <is>
          <t>Long Shots</t>
        </is>
      </c>
      <c r="D307" t="n">
        <v>2</v>
      </c>
      <c r="F307" t="inlineStr">
        <is>
          <t>+2 Long Shots</t>
        </is>
      </c>
      <c r="G307" t="inlineStr">
        <is>
          <t>WTSS Attacker Boost - EA SPORTS FC 26</t>
        </is>
      </c>
      <c r="H307" t="inlineStr">
        <is>
          <t>Reward</t>
        </is>
      </c>
      <c r="I307" t="inlineStr">
        <is>
          <t>Objective</t>
        </is>
      </c>
      <c r="J307" t="inlineStr">
        <is>
          <t>https://www.fut.gg/evolutions/1949-wtss-attacker-boost/</t>
        </is>
      </c>
    </row>
    <row r="308">
      <c r="B308" t="inlineStr">
        <is>
          <t>Sub Stat</t>
        </is>
      </c>
      <c r="C308" t="inlineStr">
        <is>
          <t>Composure</t>
        </is>
      </c>
      <c r="D308" t="n">
        <v>3</v>
      </c>
      <c r="F308" t="inlineStr">
        <is>
          <t>+3 Composure</t>
        </is>
      </c>
      <c r="G308" t="inlineStr">
        <is>
          <t>WTSS Attacker Boost - EA SPORTS FC 26</t>
        </is>
      </c>
      <c r="H308" t="inlineStr">
        <is>
          <t>Reward</t>
        </is>
      </c>
      <c r="I308" t="inlineStr">
        <is>
          <t>Objective</t>
        </is>
      </c>
      <c r="J308" t="inlineStr">
        <is>
          <t>https://www.fut.gg/evolutions/1949-wtss-attacker-boost/</t>
        </is>
      </c>
    </row>
    <row r="309">
      <c r="B309" t="inlineStr">
        <is>
          <t>Sub Stat</t>
        </is>
      </c>
      <c r="C309" t="inlineStr">
        <is>
          <t>Sprint Speed</t>
        </is>
      </c>
      <c r="D309" t="n">
        <v>2</v>
      </c>
      <c r="F309" t="inlineStr">
        <is>
          <t>+2 Sprint Speed</t>
        </is>
      </c>
      <c r="G309" t="inlineStr">
        <is>
          <t>WTSS Attacker Boost - EA SPORTS FC 26</t>
        </is>
      </c>
      <c r="H309" t="inlineStr">
        <is>
          <t>Reward</t>
        </is>
      </c>
      <c r="I309" t="inlineStr">
        <is>
          <t>Objective</t>
        </is>
      </c>
      <c r="J309" t="inlineStr">
        <is>
          <t>https://www.fut.gg/evolutions/1949-wtss-attacker-boost/</t>
        </is>
      </c>
    </row>
    <row r="310">
      <c r="B310" t="inlineStr">
        <is>
          <t>Sub Stat</t>
        </is>
      </c>
      <c r="C310" t="inlineStr">
        <is>
          <t>Shot Power</t>
        </is>
      </c>
      <c r="D310" t="n">
        <v>2</v>
      </c>
      <c r="F310" t="inlineStr">
        <is>
          <t>+2 Shot Power</t>
        </is>
      </c>
      <c r="G310" t="inlineStr">
        <is>
          <t>WTSS Attacker Boost - EA SPORTS FC 26</t>
        </is>
      </c>
      <c r="H310" t="inlineStr">
        <is>
          <t>Reward</t>
        </is>
      </c>
      <c r="I310" t="inlineStr">
        <is>
          <t>Objective</t>
        </is>
      </c>
      <c r="J310" t="inlineStr">
        <is>
          <t>https://www.fut.gg/evolutions/1949-wtss-attacker-boost/</t>
        </is>
      </c>
    </row>
    <row r="311">
      <c r="B311" t="inlineStr">
        <is>
          <t>Sub Stat</t>
        </is>
      </c>
      <c r="C311" t="inlineStr">
        <is>
          <t>Stamina</t>
        </is>
      </c>
      <c r="D311" t="n">
        <v>3</v>
      </c>
      <c r="E311" t="n">
        <v>3</v>
      </c>
      <c r="F311" t="inlineStr">
        <is>
          <t>+3 Stamina 3</t>
        </is>
      </c>
      <c r="G311" t="inlineStr">
        <is>
          <t>WTSS Attacker Boost - EA SPORTS FC 26</t>
        </is>
      </c>
      <c r="H311" t="inlineStr">
        <is>
          <t>Reward</t>
        </is>
      </c>
      <c r="I311" t="inlineStr">
        <is>
          <t>Objective</t>
        </is>
      </c>
      <c r="J311" t="inlineStr">
        <is>
          <t>https://www.fut.gg/evolutions/1949-wtss-attacker-boost/</t>
        </is>
      </c>
    </row>
    <row r="312">
      <c r="B312" t="inlineStr">
        <is>
          <t>Face Stat</t>
        </is>
      </c>
      <c r="C312" t="inlineStr">
        <is>
          <t>OVR</t>
        </is>
      </c>
      <c r="D312" t="n">
        <v>5</v>
      </c>
      <c r="E312" t="n">
        <v>74</v>
      </c>
      <c r="F312" t="inlineStr">
        <is>
          <t>+5 OVR 74</t>
        </is>
      </c>
      <c r="G312" t="inlineStr">
        <is>
          <t>WTSS Attacker Boost - EA SPORTS FC 26</t>
        </is>
      </c>
      <c r="H312" t="inlineStr">
        <is>
          <t>Reward</t>
        </is>
      </c>
      <c r="I312" t="inlineStr">
        <is>
          <t>Objective</t>
        </is>
      </c>
      <c r="J312" t="inlineStr">
        <is>
          <t>https://www.fut.gg/evolutions/1949-wtss-attacker-boost/</t>
        </is>
      </c>
    </row>
    <row r="313">
      <c r="B313" t="inlineStr">
        <is>
          <t>Sub Stat</t>
        </is>
      </c>
      <c r="C313" t="inlineStr">
        <is>
          <t>Positioning</t>
        </is>
      </c>
      <c r="D313" t="n">
        <v>2</v>
      </c>
      <c r="F313" t="inlineStr">
        <is>
          <t>+2 Positioning</t>
        </is>
      </c>
      <c r="G313" t="inlineStr">
        <is>
          <t>WTSS Attacker Boost - EA SPORTS FC 26</t>
        </is>
      </c>
      <c r="H313" t="inlineStr">
        <is>
          <t>Reward</t>
        </is>
      </c>
      <c r="I313" t="inlineStr">
        <is>
          <t>Objective</t>
        </is>
      </c>
      <c r="J313" t="inlineStr">
        <is>
          <t>https://www.fut.gg/evolutions/1949-wtss-attacker-boost/</t>
        </is>
      </c>
    </row>
    <row r="314">
      <c r="B314" t="inlineStr">
        <is>
          <t>Sub Stat</t>
        </is>
      </c>
      <c r="C314" t="inlineStr">
        <is>
          <t>Volleys</t>
        </is>
      </c>
      <c r="D314" t="n">
        <v>2</v>
      </c>
      <c r="F314" t="inlineStr">
        <is>
          <t>+2 Volleys</t>
        </is>
      </c>
      <c r="G314" t="inlineStr">
        <is>
          <t>WTSS Attacker Boost - EA SPORTS FC 26</t>
        </is>
      </c>
      <c r="H314" t="inlineStr">
        <is>
          <t>Reward</t>
        </is>
      </c>
      <c r="I314" t="inlineStr">
        <is>
          <t>Objective</t>
        </is>
      </c>
      <c r="J314" t="inlineStr">
        <is>
          <t>https://www.fut.gg/evolutions/1949-wtss-attacker-boost/</t>
        </is>
      </c>
    </row>
    <row r="315">
      <c r="B315" t="inlineStr">
        <is>
          <t>Sub Stat</t>
        </is>
      </c>
      <c r="C315" t="inlineStr">
        <is>
          <t>Penalties</t>
        </is>
      </c>
      <c r="D315" t="n">
        <v>2</v>
      </c>
      <c r="F315" t="inlineStr">
        <is>
          <t>+2 Penalties</t>
        </is>
      </c>
      <c r="G315" t="inlineStr">
        <is>
          <t>WTSS Attacker Boost - EA SPORTS FC 26</t>
        </is>
      </c>
      <c r="H315" t="inlineStr">
        <is>
          <t>Reward</t>
        </is>
      </c>
      <c r="I315" t="inlineStr">
        <is>
          <t>Objective</t>
        </is>
      </c>
      <c r="J315" t="inlineStr">
        <is>
          <t>https://www.fut.gg/evolutions/1949-wtss-attacker-boost/</t>
        </is>
      </c>
    </row>
    <row r="316">
      <c r="B316" t="inlineStr">
        <is>
          <t>Sub Stat</t>
        </is>
      </c>
      <c r="C316" t="inlineStr">
        <is>
          <t>Balance</t>
        </is>
      </c>
      <c r="D316" t="n">
        <v>2</v>
      </c>
      <c r="F316" t="inlineStr">
        <is>
          <t>+2 Balance</t>
        </is>
      </c>
      <c r="G316" t="inlineStr">
        <is>
          <t>WTSS Attacker Boost - EA SPORTS FC 26</t>
        </is>
      </c>
      <c r="H316" t="inlineStr">
        <is>
          <t>Reward</t>
        </is>
      </c>
      <c r="I316" t="inlineStr">
        <is>
          <t>Objective</t>
        </is>
      </c>
      <c r="J316" t="inlineStr">
        <is>
          <t>https://www.fut.gg/evolutions/1949-wtss-attacker-boost/</t>
        </is>
      </c>
    </row>
    <row r="317">
      <c r="B317" t="inlineStr">
        <is>
          <t>Face Stat</t>
        </is>
      </c>
      <c r="C317" t="inlineStr">
        <is>
          <t>OVR</t>
        </is>
      </c>
      <c r="D317" t="n">
        <v>2</v>
      </c>
      <c r="E317" t="n">
        <v>92</v>
      </c>
      <c r="F317" t="inlineStr">
        <is>
          <t>+2 OVR 92</t>
        </is>
      </c>
      <c r="G317" t="inlineStr">
        <is>
          <t>WTSS Journey 3 - Midfielder [SP 21] - EA SPORTS FC 26</t>
        </is>
      </c>
      <c r="H317" t="inlineStr">
        <is>
          <t>Reward</t>
        </is>
      </c>
      <c r="I317" t="inlineStr">
        <is>
          <t>Standard Season Pass</t>
        </is>
      </c>
      <c r="J317" t="inlineStr">
        <is>
          <t>https://www.fut.gg/evolutions/1936-wtss-journey-3-midfielder-sp-21/</t>
        </is>
      </c>
    </row>
    <row r="318">
      <c r="B318" t="inlineStr">
        <is>
          <t>Face Stat</t>
        </is>
      </c>
      <c r="C318" t="inlineStr">
        <is>
          <t>PAS</t>
        </is>
      </c>
      <c r="D318" t="n">
        <v>2</v>
      </c>
      <c r="E318" t="n">
        <v>93</v>
      </c>
      <c r="F318" t="inlineStr">
        <is>
          <t>+2 PAS 93</t>
        </is>
      </c>
      <c r="G318" t="inlineStr">
        <is>
          <t>WTSS Journey 3 - Midfielder [SP 21] - EA SPORTS FC 26</t>
        </is>
      </c>
      <c r="H318" t="inlineStr">
        <is>
          <t>Reward</t>
        </is>
      </c>
      <c r="I318" t="inlineStr">
        <is>
          <t>Standard Season Pass</t>
        </is>
      </c>
      <c r="J318" t="inlineStr">
        <is>
          <t>https://www.fut.gg/evolutions/1936-wtss-journey-3-midfielder-sp-21/</t>
        </is>
      </c>
    </row>
    <row r="319">
      <c r="B319" t="inlineStr">
        <is>
          <t>Skill</t>
        </is>
      </c>
      <c r="C319" t="inlineStr">
        <is>
          <t>WF</t>
        </is>
      </c>
      <c r="D319" t="n">
        <v>4</v>
      </c>
      <c r="E319" t="n">
        <v>5</v>
      </c>
      <c r="F319" t="inlineStr">
        <is>
          <t>+4 WF 5</t>
        </is>
      </c>
      <c r="G319" t="inlineStr">
        <is>
          <t>WTSS Journey 3 - Midfielder [SP 21] - EA SPORTS FC 26</t>
        </is>
      </c>
      <c r="H319" t="inlineStr">
        <is>
          <t>Reward</t>
        </is>
      </c>
      <c r="I319" t="inlineStr">
        <is>
          <t>Standard Season Pass</t>
        </is>
      </c>
      <c r="J319" t="inlineStr">
        <is>
          <t>https://www.fut.gg/evolutions/1936-wtss-journey-3-midfielder-sp-21/</t>
        </is>
      </c>
    </row>
    <row r="320">
      <c r="B320" t="inlineStr">
        <is>
          <t>Sub Stat</t>
        </is>
      </c>
      <c r="C320" t="inlineStr">
        <is>
          <t>Finishing</t>
        </is>
      </c>
      <c r="D320" t="n">
        <v>5</v>
      </c>
      <c r="E320" t="n">
        <v>90</v>
      </c>
      <c r="F320" t="inlineStr">
        <is>
          <t>+5 Finishing 90</t>
        </is>
      </c>
      <c r="G320" t="inlineStr">
        <is>
          <t>WTSS Journey 3 - Midfielder [SP 21] - EA SPORTS FC 26</t>
        </is>
      </c>
      <c r="H320" t="inlineStr">
        <is>
          <t>Reward</t>
        </is>
      </c>
      <c r="I320" t="inlineStr">
        <is>
          <t>Standard Season Pass</t>
        </is>
      </c>
      <c r="J320" t="inlineStr">
        <is>
          <t>https://www.fut.gg/evolutions/1936-wtss-journey-3-midfielder-sp-21/</t>
        </is>
      </c>
    </row>
    <row r="321">
      <c r="B321" t="inlineStr">
        <is>
          <t>Sub Stat</t>
        </is>
      </c>
      <c r="C321" t="inlineStr">
        <is>
          <t>Reactions</t>
        </is>
      </c>
      <c r="D321" t="n">
        <v>10</v>
      </c>
      <c r="E321" t="n">
        <v>91</v>
      </c>
      <c r="F321" t="inlineStr">
        <is>
          <t>+10 Reactions 91</t>
        </is>
      </c>
      <c r="G321" t="inlineStr">
        <is>
          <t>WTSS Journey 3 - Midfielder [SP 21] - EA SPORTS FC 26</t>
        </is>
      </c>
      <c r="H321" t="inlineStr">
        <is>
          <t>Reward</t>
        </is>
      </c>
      <c r="I321" t="inlineStr">
        <is>
          <t>Standard Season Pass</t>
        </is>
      </c>
      <c r="J321" t="inlineStr">
        <is>
          <t>https://www.fut.gg/evolutions/1936-wtss-journey-3-midfielder-sp-21/</t>
        </is>
      </c>
    </row>
    <row r="322">
      <c r="B322" t="inlineStr">
        <is>
          <t>Sub Stat</t>
        </is>
      </c>
      <c r="C322" t="inlineStr">
        <is>
          <t>Acceleration</t>
        </is>
      </c>
      <c r="D322" t="n">
        <v>5</v>
      </c>
      <c r="E322" t="n">
        <v>90</v>
      </c>
      <c r="F322" t="inlineStr">
        <is>
          <t>+5 Acceleration 90</t>
        </is>
      </c>
      <c r="G322" t="inlineStr">
        <is>
          <t>WTSS Journey 3 - Midfielder [SP 21] - EA SPORTS FC 26</t>
        </is>
      </c>
      <c r="H322" t="inlineStr">
        <is>
          <t>Reward</t>
        </is>
      </c>
      <c r="I322" t="inlineStr">
        <is>
          <t>Standard Season Pass</t>
        </is>
      </c>
      <c r="J322" t="inlineStr">
        <is>
          <t>https://www.fut.gg/evolutions/1936-wtss-journey-3-midfielder-sp-21/</t>
        </is>
      </c>
    </row>
    <row r="323">
      <c r="B323" t="inlineStr">
        <is>
          <t>Sub Stat</t>
        </is>
      </c>
      <c r="C323" t="inlineStr">
        <is>
          <t>Shot Power</t>
        </is>
      </c>
      <c r="D323" t="n">
        <v>5</v>
      </c>
      <c r="E323" t="n">
        <v>91</v>
      </c>
      <c r="F323" t="inlineStr">
        <is>
          <t>+5 Shot Power 91</t>
        </is>
      </c>
      <c r="G323" t="inlineStr">
        <is>
          <t>WTSS Journey 3 - Midfielder [SP 21] - EA SPORTS FC 26</t>
        </is>
      </c>
      <c r="H323" t="inlineStr">
        <is>
          <t>Reward</t>
        </is>
      </c>
      <c r="I323" t="inlineStr">
        <is>
          <t>Standard Season Pass</t>
        </is>
      </c>
      <c r="J323" t="inlineStr">
        <is>
          <t>https://www.fut.gg/evolutions/1936-wtss-journey-3-midfielder-sp-21/</t>
        </is>
      </c>
    </row>
    <row r="324">
      <c r="B324" t="inlineStr">
        <is>
          <t>Sub Stat</t>
        </is>
      </c>
      <c r="C324" t="inlineStr">
        <is>
          <t>Balance</t>
        </is>
      </c>
      <c r="D324" t="n">
        <v>10</v>
      </c>
      <c r="E324" t="n">
        <v>92</v>
      </c>
      <c r="F324" t="inlineStr">
        <is>
          <t>+10 Balance 92</t>
        </is>
      </c>
      <c r="G324" t="inlineStr">
        <is>
          <t>WTSS Journey 3 - Midfielder [SP 21] - EA SPORTS FC 26</t>
        </is>
      </c>
      <c r="H324" t="inlineStr">
        <is>
          <t>Reward</t>
        </is>
      </c>
      <c r="I324" t="inlineStr">
        <is>
          <t>Standard Season Pass</t>
        </is>
      </c>
      <c r="J324" t="inlineStr">
        <is>
          <t>https://www.fut.gg/evolutions/1936-wtss-journey-3-midfielder-sp-21/</t>
        </is>
      </c>
    </row>
    <row r="325">
      <c r="B325" t="inlineStr">
        <is>
          <t>Sub Stat</t>
        </is>
      </c>
      <c r="C325" t="inlineStr">
        <is>
          <t>Ball Control</t>
        </is>
      </c>
      <c r="D325" t="n">
        <v>10</v>
      </c>
      <c r="E325" t="n">
        <v>92</v>
      </c>
      <c r="F325" t="inlineStr">
        <is>
          <t>+10 Ball Control 92</t>
        </is>
      </c>
      <c r="G325" t="inlineStr">
        <is>
          <t>WTSS Journey 3 - Midfielder [SP 21] - EA SPORTS FC 26</t>
        </is>
      </c>
      <c r="H325" t="inlineStr">
        <is>
          <t>Reward</t>
        </is>
      </c>
      <c r="I325" t="inlineStr">
        <is>
          <t>Standard Season Pass</t>
        </is>
      </c>
      <c r="J325" t="inlineStr">
        <is>
          <t>https://www.fut.gg/evolutions/1936-wtss-journey-3-midfielder-sp-21/</t>
        </is>
      </c>
    </row>
    <row r="326">
      <c r="B326" t="inlineStr">
        <is>
          <t>Sub Stat</t>
        </is>
      </c>
      <c r="C326" t="inlineStr">
        <is>
          <t>Sprint Speed</t>
        </is>
      </c>
      <c r="D326" t="n">
        <v>5</v>
      </c>
      <c r="E326" t="n">
        <v>90</v>
      </c>
      <c r="F326" t="inlineStr">
        <is>
          <t>+5 Sprint Speed 90</t>
        </is>
      </c>
      <c r="G326" t="inlineStr">
        <is>
          <t>WTSS Journey 3 - Midfielder [SP 21] - EA SPORTS FC 26</t>
        </is>
      </c>
      <c r="H326" t="inlineStr">
        <is>
          <t>Reward</t>
        </is>
      </c>
      <c r="I326" t="inlineStr">
        <is>
          <t>Standard Season Pass</t>
        </is>
      </c>
      <c r="J326" t="inlineStr">
        <is>
          <t>https://www.fut.gg/evolutions/1936-wtss-journey-3-midfielder-sp-21/</t>
        </is>
      </c>
    </row>
    <row r="327">
      <c r="B327" t="inlineStr">
        <is>
          <t>Sub Stat</t>
        </is>
      </c>
      <c r="C327" t="inlineStr">
        <is>
          <t>Long Shots</t>
        </is>
      </c>
      <c r="D327" t="n">
        <v>5</v>
      </c>
      <c r="E327" t="n">
        <v>91</v>
      </c>
      <c r="F327" t="inlineStr">
        <is>
          <t>+5 Long Shots 91</t>
        </is>
      </c>
      <c r="G327" t="inlineStr">
        <is>
          <t>WTSS Journey 3 - Midfielder [SP 21] - EA SPORTS FC 26</t>
        </is>
      </c>
      <c r="H327" t="inlineStr">
        <is>
          <t>Reward</t>
        </is>
      </c>
      <c r="I327" t="inlineStr">
        <is>
          <t>Standard Season Pass</t>
        </is>
      </c>
      <c r="J327" t="inlineStr">
        <is>
          <t>https://www.fut.gg/evolutions/1936-wtss-journey-3-midfielder-sp-21/</t>
        </is>
      </c>
    </row>
    <row r="328">
      <c r="B328" t="inlineStr">
        <is>
          <t>Sub Stat</t>
        </is>
      </c>
      <c r="C328" t="inlineStr">
        <is>
          <t>Penalties</t>
        </is>
      </c>
      <c r="D328" t="n">
        <v>5</v>
      </c>
      <c r="E328" t="n">
        <v>88</v>
      </c>
      <c r="F328" t="inlineStr">
        <is>
          <t>+5 Penalties 88</t>
        </is>
      </c>
      <c r="G328" t="inlineStr">
        <is>
          <t>WTSS Journey 3 - Midfielder [SP 21] - EA SPORTS FC 26</t>
        </is>
      </c>
      <c r="H328" t="inlineStr">
        <is>
          <t>Reward</t>
        </is>
      </c>
      <c r="I328" t="inlineStr">
        <is>
          <t>Standard Season Pass</t>
        </is>
      </c>
      <c r="J328" t="inlineStr">
        <is>
          <t>https://www.fut.gg/evolutions/1936-wtss-journey-3-midfielder-sp-21/</t>
        </is>
      </c>
    </row>
    <row r="329">
      <c r="B329" t="inlineStr">
        <is>
          <t>Sub Stat</t>
        </is>
      </c>
      <c r="C329" t="inlineStr">
        <is>
          <t>Dribbling</t>
        </is>
      </c>
      <c r="D329" t="n">
        <v>10</v>
      </c>
      <c r="E329" t="n">
        <v>93</v>
      </c>
      <c r="F329" t="inlineStr">
        <is>
          <t>+10 Dribbling 93</t>
        </is>
      </c>
      <c r="G329" t="inlineStr">
        <is>
          <t>WTSS Journey 3 - Midfielder [SP 21] - EA SPORTS FC 26</t>
        </is>
      </c>
      <c r="H329" t="inlineStr">
        <is>
          <t>Reward</t>
        </is>
      </c>
      <c r="I329" t="inlineStr">
        <is>
          <t>Standard Season Pass</t>
        </is>
      </c>
      <c r="J329" t="inlineStr">
        <is>
          <t>https://www.fut.gg/evolutions/1936-wtss-journey-3-midfielder-sp-21/</t>
        </is>
      </c>
    </row>
    <row r="330">
      <c r="B330" t="inlineStr">
        <is>
          <t>Sub Stat</t>
        </is>
      </c>
      <c r="C330" t="inlineStr">
        <is>
          <t>Positioning</t>
        </is>
      </c>
      <c r="D330" t="n">
        <v>5</v>
      </c>
      <c r="E330" t="n">
        <v>90</v>
      </c>
      <c r="F330" t="inlineStr">
        <is>
          <t>+5 Positioning 90</t>
        </is>
      </c>
      <c r="G330" t="inlineStr">
        <is>
          <t>WTSS Journey 3 - Midfielder [SP 21] - EA SPORTS FC 26</t>
        </is>
      </c>
      <c r="H330" t="inlineStr">
        <is>
          <t>Reward</t>
        </is>
      </c>
      <c r="I330" t="inlineStr">
        <is>
          <t>Standard Season Pass</t>
        </is>
      </c>
      <c r="J330" t="inlineStr">
        <is>
          <t>https://www.fut.gg/evolutions/1936-wtss-journey-3-midfielder-sp-21/</t>
        </is>
      </c>
    </row>
    <row r="331">
      <c r="B331" t="inlineStr">
        <is>
          <t>Sub Stat</t>
        </is>
      </c>
      <c r="C331" t="inlineStr">
        <is>
          <t>Volleys</t>
        </is>
      </c>
      <c r="D331" t="n">
        <v>5</v>
      </c>
      <c r="E331" t="n">
        <v>88</v>
      </c>
      <c r="F331" t="inlineStr">
        <is>
          <t>+5 Volleys 88</t>
        </is>
      </c>
      <c r="G331" t="inlineStr">
        <is>
          <t>WTSS Journey 3 - Midfielder [SP 21] - EA SPORTS FC 26</t>
        </is>
      </c>
      <c r="H331" t="inlineStr">
        <is>
          <t>Reward</t>
        </is>
      </c>
      <c r="I331" t="inlineStr">
        <is>
          <t>Standard Season Pass</t>
        </is>
      </c>
      <c r="J331" t="inlineStr">
        <is>
          <t>https://www.fut.gg/evolutions/1936-wtss-journey-3-midfielder-sp-21/</t>
        </is>
      </c>
    </row>
    <row r="332">
      <c r="B332" t="inlineStr">
        <is>
          <t>Sub Stat</t>
        </is>
      </c>
      <c r="C332" t="inlineStr">
        <is>
          <t>Agility</t>
        </is>
      </c>
      <c r="D332" t="n">
        <v>10</v>
      </c>
      <c r="E332" t="n">
        <v>92</v>
      </c>
      <c r="F332" t="inlineStr">
        <is>
          <t>+10 Agility 92</t>
        </is>
      </c>
      <c r="G332" t="inlineStr">
        <is>
          <t>WTSS Journey 3 - Midfielder [SP 21] - EA SPORTS FC 26</t>
        </is>
      </c>
      <c r="H332" t="inlineStr">
        <is>
          <t>Reward</t>
        </is>
      </c>
      <c r="I332" t="inlineStr">
        <is>
          <t>Standard Season Pass</t>
        </is>
      </c>
      <c r="J332" t="inlineStr">
        <is>
          <t>https://www.fut.gg/evolutions/1936-wtss-journey-3-midfielder-sp-21/</t>
        </is>
      </c>
    </row>
    <row r="333">
      <c r="B333" t="inlineStr">
        <is>
          <t>Sub Stat</t>
        </is>
      </c>
      <c r="C333" t="inlineStr">
        <is>
          <t>Composure</t>
        </is>
      </c>
      <c r="D333" t="n">
        <v>10</v>
      </c>
      <c r="E333" t="n">
        <v>90</v>
      </c>
      <c r="F333" t="inlineStr">
        <is>
          <t>+10 Composure 90</t>
        </is>
      </c>
      <c r="G333" t="inlineStr">
        <is>
          <t>WTSS Journey 3 - Midfielder [SP 21] - EA SPORTS FC 26</t>
        </is>
      </c>
      <c r="H333" t="inlineStr">
        <is>
          <t>Reward</t>
        </is>
      </c>
      <c r="I333" t="inlineStr">
        <is>
          <t>Standard Season Pass</t>
        </is>
      </c>
      <c r="J333" t="inlineStr">
        <is>
          <t>https://www.fut.gg/evolutions/1936-wtss-journey-3-midfielder-sp-21/</t>
        </is>
      </c>
    </row>
    <row r="334">
      <c r="B334" t="inlineStr">
        <is>
          <t>Face Stat</t>
        </is>
      </c>
      <c r="C334" t="inlineStr">
        <is>
          <t>OVR</t>
        </is>
      </c>
      <c r="D334" t="n">
        <v>2</v>
      </c>
      <c r="E334" t="n">
        <v>92</v>
      </c>
      <c r="F334" t="inlineStr">
        <is>
          <t>+2 OVR 92</t>
        </is>
      </c>
      <c r="G334" t="inlineStr">
        <is>
          <t>WTSS Journey 3 - Midfielder [SP 21] - EA SPORTS FC 26</t>
        </is>
      </c>
      <c r="H334" t="inlineStr">
        <is>
          <t>Reward</t>
        </is>
      </c>
      <c r="I334" t="inlineStr">
        <is>
          <t>Standard Season Pass</t>
        </is>
      </c>
      <c r="J334" t="inlineStr">
        <is>
          <t>https://www.fut.gg/evolutions/1936-wtss-journey-3-midfielder-sp-21/</t>
        </is>
      </c>
    </row>
    <row r="335">
      <c r="B335" t="inlineStr">
        <is>
          <t>Face Stat</t>
        </is>
      </c>
      <c r="C335" t="inlineStr">
        <is>
          <t>PAS</t>
        </is>
      </c>
      <c r="D335" t="n">
        <v>2</v>
      </c>
      <c r="E335" t="n">
        <v>93</v>
      </c>
      <c r="F335" t="inlineStr">
        <is>
          <t>+2 PAS 93</t>
        </is>
      </c>
      <c r="G335" t="inlineStr">
        <is>
          <t>WTSS Journey 3 - Midfielder [SP 21] - EA SPORTS FC 26</t>
        </is>
      </c>
      <c r="H335" t="inlineStr">
        <is>
          <t>Reward</t>
        </is>
      </c>
      <c r="I335" t="inlineStr">
        <is>
          <t>Standard Season Pass</t>
        </is>
      </c>
      <c r="J335" t="inlineStr">
        <is>
          <t>https://www.fut.gg/evolutions/1936-wtss-journey-3-midfielder-sp-21/</t>
        </is>
      </c>
    </row>
    <row r="336">
      <c r="B336" t="inlineStr">
        <is>
          <t>Sub Stat</t>
        </is>
      </c>
      <c r="C336" t="inlineStr">
        <is>
          <t>Finishing</t>
        </is>
      </c>
      <c r="D336" t="n">
        <v>5</v>
      </c>
      <c r="E336" t="n">
        <v>90</v>
      </c>
      <c r="F336" t="inlineStr">
        <is>
          <t>+5 Finishing 90</t>
        </is>
      </c>
      <c r="G336" t="inlineStr">
        <is>
          <t>WTSS Journey 3 - Midfielder [SP 21] - EA SPORTS FC 26</t>
        </is>
      </c>
      <c r="H336" t="inlineStr">
        <is>
          <t>Reward</t>
        </is>
      </c>
      <c r="I336" t="inlineStr">
        <is>
          <t>Standard Season Pass</t>
        </is>
      </c>
      <c r="J336" t="inlineStr">
        <is>
          <t>https://www.fut.gg/evolutions/1936-wtss-journey-3-midfielder-sp-21/</t>
        </is>
      </c>
    </row>
    <row r="337">
      <c r="B337" t="inlineStr">
        <is>
          <t>Sub Stat</t>
        </is>
      </c>
      <c r="C337" t="inlineStr">
        <is>
          <t>Reactions</t>
        </is>
      </c>
      <c r="D337" t="n">
        <v>10</v>
      </c>
      <c r="E337" t="n">
        <v>91</v>
      </c>
      <c r="F337" t="inlineStr">
        <is>
          <t>+10 Reactions 91</t>
        </is>
      </c>
      <c r="G337" t="inlineStr">
        <is>
          <t>WTSS Journey 3 - Midfielder [SP 21] - EA SPORTS FC 26</t>
        </is>
      </c>
      <c r="H337" t="inlineStr">
        <is>
          <t>Reward</t>
        </is>
      </c>
      <c r="I337" t="inlineStr">
        <is>
          <t>Standard Season Pass</t>
        </is>
      </c>
      <c r="J337" t="inlineStr">
        <is>
          <t>https://www.fut.gg/evolutions/1936-wtss-journey-3-midfielder-sp-21/</t>
        </is>
      </c>
    </row>
    <row r="338">
      <c r="B338" t="inlineStr">
        <is>
          <t>Face Stat</t>
        </is>
      </c>
      <c r="C338" t="inlineStr">
        <is>
          <t>OVR</t>
        </is>
      </c>
      <c r="D338" t="n">
        <v>1</v>
      </c>
      <c r="F338" t="inlineStr">
        <is>
          <t>+1 OVR</t>
        </is>
      </c>
      <c r="G338" t="inlineStr">
        <is>
          <t>Defender Round Out [SP 1] - EA SPORTS FC 26</t>
        </is>
      </c>
      <c r="H338" t="inlineStr">
        <is>
          <t>Reward</t>
        </is>
      </c>
      <c r="I338" t="inlineStr">
        <is>
          <t>Standard Season Pass</t>
        </is>
      </c>
      <c r="J338" t="inlineStr">
        <is>
          <t>https://www.fut.gg/evolutions/1933-defender-round-out-sp-1/</t>
        </is>
      </c>
    </row>
    <row r="339">
      <c r="B339" t="inlineStr">
        <is>
          <t>Sub Stat</t>
        </is>
      </c>
      <c r="C339" t="inlineStr">
        <is>
          <t>Acceleration</t>
        </is>
      </c>
      <c r="D339" t="n">
        <v>5</v>
      </c>
      <c r="E339" t="n">
        <v>91</v>
      </c>
      <c r="F339" t="inlineStr">
        <is>
          <t>+5 Acceleration 91</t>
        </is>
      </c>
      <c r="G339" t="inlineStr">
        <is>
          <t>Defender Round Out [SP 1] - EA SPORTS FC 26</t>
        </is>
      </c>
      <c r="H339" t="inlineStr">
        <is>
          <t>Reward</t>
        </is>
      </c>
      <c r="I339" t="inlineStr">
        <is>
          <t>Standard Season Pass</t>
        </is>
      </c>
      <c r="J339" t="inlineStr">
        <is>
          <t>https://www.fut.gg/evolutions/1933-defender-round-out-sp-1/</t>
        </is>
      </c>
    </row>
    <row r="340">
      <c r="B340" t="inlineStr">
        <is>
          <t>Sub Stat</t>
        </is>
      </c>
      <c r="C340" t="inlineStr">
        <is>
          <t>Sprint Speed</t>
        </is>
      </c>
      <c r="D340" t="n">
        <v>5</v>
      </c>
      <c r="E340" t="n">
        <v>92</v>
      </c>
      <c r="F340" t="inlineStr">
        <is>
          <t>+5 Sprint Speed 92</t>
        </is>
      </c>
      <c r="G340" t="inlineStr">
        <is>
          <t>Defender Round Out [SP 1] - EA SPORTS FC 26</t>
        </is>
      </c>
      <c r="H340" t="inlineStr">
        <is>
          <t>Reward</t>
        </is>
      </c>
      <c r="I340" t="inlineStr">
        <is>
          <t>Standard Season Pass</t>
        </is>
      </c>
      <c r="J340" t="inlineStr">
        <is>
          <t>https://www.fut.gg/evolutions/1933-defender-round-out-sp-1/</t>
        </is>
      </c>
    </row>
    <row r="341">
      <c r="B341" t="inlineStr">
        <is>
          <t>Sub Stat</t>
        </is>
      </c>
      <c r="C341" t="inlineStr">
        <is>
          <t>Interceptions</t>
        </is>
      </c>
      <c r="D341" t="n">
        <v>1</v>
      </c>
      <c r="E341" t="n">
        <v>93</v>
      </c>
      <c r="F341" t="inlineStr">
        <is>
          <t>+1 Interceptions 93</t>
        </is>
      </c>
      <c r="G341" t="inlineStr">
        <is>
          <t>Defender Round Out [SP 1] - EA SPORTS FC 26</t>
        </is>
      </c>
      <c r="H341" t="inlineStr">
        <is>
          <t>Reward</t>
        </is>
      </c>
      <c r="I341" t="inlineStr">
        <is>
          <t>Standard Season Pass</t>
        </is>
      </c>
      <c r="J341" t="inlineStr">
        <is>
          <t>https://www.fut.gg/evolutions/1933-defender-round-out-sp-1/</t>
        </is>
      </c>
    </row>
    <row r="342">
      <c r="B342" t="inlineStr">
        <is>
          <t>Sub Stat</t>
        </is>
      </c>
      <c r="C342" t="inlineStr">
        <is>
          <t>Heading Accuracy</t>
        </is>
      </c>
      <c r="D342" t="n">
        <v>1</v>
      </c>
      <c r="E342" t="n">
        <v>94</v>
      </c>
      <c r="F342" t="inlineStr">
        <is>
          <t>+1 Heading Acc. 94</t>
        </is>
      </c>
      <c r="G342" t="inlineStr">
        <is>
          <t>Defender Round Out [SP 1] - EA SPORTS FC 26</t>
        </is>
      </c>
      <c r="H342" t="inlineStr">
        <is>
          <t>Reward</t>
        </is>
      </c>
      <c r="I342" t="inlineStr">
        <is>
          <t>Standard Season Pass</t>
        </is>
      </c>
      <c r="J342" t="inlineStr">
        <is>
          <t>https://www.fut.gg/evolutions/1933-defender-round-out-sp-1/</t>
        </is>
      </c>
    </row>
    <row r="343">
      <c r="B343" t="inlineStr">
        <is>
          <t>Sub Stat</t>
        </is>
      </c>
      <c r="C343" t="inlineStr">
        <is>
          <t>Defensive Awareness</t>
        </is>
      </c>
      <c r="D343" t="n">
        <v>1</v>
      </c>
      <c r="E343" t="n">
        <v>93</v>
      </c>
      <c r="F343" t="inlineStr">
        <is>
          <t>+1 Defensive Awareness 93</t>
        </is>
      </c>
      <c r="G343" t="inlineStr">
        <is>
          <t>Defender Round Out [SP 1] - EA SPORTS FC 26</t>
        </is>
      </c>
      <c r="H343" t="inlineStr">
        <is>
          <t>Reward</t>
        </is>
      </c>
      <c r="I343" t="inlineStr">
        <is>
          <t>Standard Season Pass</t>
        </is>
      </c>
      <c r="J343" t="inlineStr">
        <is>
          <t>https://www.fut.gg/evolutions/1933-defender-round-out-sp-1/</t>
        </is>
      </c>
    </row>
    <row r="344">
      <c r="B344" t="inlineStr">
        <is>
          <t>Sub Stat</t>
        </is>
      </c>
      <c r="C344" t="inlineStr">
        <is>
          <t>Reactions</t>
        </is>
      </c>
      <c r="D344" t="n">
        <v>5</v>
      </c>
      <c r="E344" t="n">
        <v>93</v>
      </c>
      <c r="F344" t="inlineStr">
        <is>
          <t>+5 Reactions 93</t>
        </is>
      </c>
      <c r="G344" t="inlineStr">
        <is>
          <t>Defender Round Out [SP 1] - EA SPORTS FC 26</t>
        </is>
      </c>
      <c r="H344" t="inlineStr">
        <is>
          <t>Reward</t>
        </is>
      </c>
      <c r="I344" t="inlineStr">
        <is>
          <t>Standard Season Pass</t>
        </is>
      </c>
      <c r="J344" t="inlineStr">
        <is>
          <t>https://www.fut.gg/evolutions/1933-defender-round-out-sp-1/</t>
        </is>
      </c>
    </row>
    <row r="345">
      <c r="B345" t="inlineStr">
        <is>
          <t>Sub Stat</t>
        </is>
      </c>
      <c r="C345" t="inlineStr">
        <is>
          <t>Composure</t>
        </is>
      </c>
      <c r="D345" t="n">
        <v>5</v>
      </c>
      <c r="E345" t="n">
        <v>93</v>
      </c>
      <c r="F345" t="inlineStr">
        <is>
          <t>+5 Composure 93</t>
        </is>
      </c>
      <c r="G345" t="inlineStr">
        <is>
          <t>Defender Round Out [SP 1] - EA SPORTS FC 26</t>
        </is>
      </c>
      <c r="H345" t="inlineStr">
        <is>
          <t>Reward</t>
        </is>
      </c>
      <c r="I345" t="inlineStr">
        <is>
          <t>Standard Season Pass</t>
        </is>
      </c>
      <c r="J345" t="inlineStr">
        <is>
          <t>https://www.fut.gg/evolutions/1933-defender-round-out-sp-1/</t>
        </is>
      </c>
    </row>
    <row r="346">
      <c r="B346" t="inlineStr">
        <is>
          <t>Sub Stat</t>
        </is>
      </c>
      <c r="C346" t="inlineStr">
        <is>
          <t>Standing Tackle</t>
        </is>
      </c>
      <c r="D346" t="n">
        <v>5</v>
      </c>
      <c r="E346" t="n">
        <v>91</v>
      </c>
      <c r="F346" t="inlineStr">
        <is>
          <t>+5 Standing Tackle 91</t>
        </is>
      </c>
      <c r="G346" t="inlineStr">
        <is>
          <t>Defender Round Out [SP 1] - EA SPORTS FC 26</t>
        </is>
      </c>
      <c r="H346" t="inlineStr">
        <is>
          <t>Reward</t>
        </is>
      </c>
      <c r="I346" t="inlineStr">
        <is>
          <t>Standard Season Pass</t>
        </is>
      </c>
      <c r="J346" t="inlineStr">
        <is>
          <t>https://www.fut.gg/evolutions/1933-defender-round-out-sp-1/</t>
        </is>
      </c>
    </row>
    <row r="347">
      <c r="B347" t="inlineStr">
        <is>
          <t>Sub Stat</t>
        </is>
      </c>
      <c r="C347" t="inlineStr">
        <is>
          <t>Sliding Tackle</t>
        </is>
      </c>
      <c r="D347" t="n">
        <v>5</v>
      </c>
      <c r="E347" t="n">
        <v>92</v>
      </c>
      <c r="F347" t="inlineStr">
        <is>
          <t>+5 Sliding Tackle 92</t>
        </is>
      </c>
      <c r="G347" t="inlineStr">
        <is>
          <t>Defender Round Out [SP 1] - EA SPORTS FC 26</t>
        </is>
      </c>
      <c r="H347" t="inlineStr">
        <is>
          <t>Reward</t>
        </is>
      </c>
      <c r="I347" t="inlineStr">
        <is>
          <t>Standard Season Pass</t>
        </is>
      </c>
      <c r="J347" t="inlineStr">
        <is>
          <t>https://www.fut.gg/evolutions/1933-defender-round-out-sp-1/</t>
        </is>
      </c>
    </row>
    <row r="348">
      <c r="B348" t="inlineStr">
        <is>
          <t>Sub Stat</t>
        </is>
      </c>
      <c r="C348" t="inlineStr">
        <is>
          <t>Jumping</t>
        </is>
      </c>
      <c r="D348" t="n">
        <v>2</v>
      </c>
      <c r="E348" t="n">
        <v>93</v>
      </c>
      <c r="F348" t="inlineStr">
        <is>
          <t>+2 Jumping 93</t>
        </is>
      </c>
      <c r="G348" t="inlineStr">
        <is>
          <t>Defender Round Out [SP 1] - EA SPORTS FC 26</t>
        </is>
      </c>
      <c r="H348" t="inlineStr">
        <is>
          <t>Reward</t>
        </is>
      </c>
      <c r="I348" t="inlineStr">
        <is>
          <t>Standard Season Pass</t>
        </is>
      </c>
      <c r="J348" t="inlineStr">
        <is>
          <t>https://www.fut.gg/evolutions/1933-defender-round-out-sp-1/</t>
        </is>
      </c>
    </row>
    <row r="349">
      <c r="B349" t="inlineStr">
        <is>
          <t>Sub Stat</t>
        </is>
      </c>
      <c r="C349" t="inlineStr">
        <is>
          <t>Stamina</t>
        </is>
      </c>
      <c r="D349" t="n">
        <v>2</v>
      </c>
      <c r="E349" t="n">
        <v>92</v>
      </c>
      <c r="F349" t="inlineStr">
        <is>
          <t>+2 Stamina 92</t>
        </is>
      </c>
      <c r="G349" t="inlineStr">
        <is>
          <t>Defender Round Out [SP 1] - EA SPORTS FC 26</t>
        </is>
      </c>
      <c r="H349" t="inlineStr">
        <is>
          <t>Reward</t>
        </is>
      </c>
      <c r="I349" t="inlineStr">
        <is>
          <t>Standard Season Pass</t>
        </is>
      </c>
      <c r="J349" t="inlineStr">
        <is>
          <t>https://www.fut.gg/evolutions/1933-defender-round-out-sp-1/</t>
        </is>
      </c>
    </row>
    <row r="350">
      <c r="B350" t="inlineStr">
        <is>
          <t>Sub Stat</t>
        </is>
      </c>
      <c r="C350" t="inlineStr">
        <is>
          <t>Strength</t>
        </is>
      </c>
      <c r="D350" t="n">
        <v>2</v>
      </c>
      <c r="E350" t="n">
        <v>93</v>
      </c>
      <c r="F350" t="inlineStr">
        <is>
          <t>+2 Strength 93</t>
        </is>
      </c>
      <c r="G350" t="inlineStr">
        <is>
          <t>Defender Round Out [SP 1] - EA SPORTS FC 26</t>
        </is>
      </c>
      <c r="H350" t="inlineStr">
        <is>
          <t>Reward</t>
        </is>
      </c>
      <c r="I350" t="inlineStr">
        <is>
          <t>Standard Season Pass</t>
        </is>
      </c>
      <c r="J350" t="inlineStr">
        <is>
          <t>https://www.fut.gg/evolutions/1933-defender-round-out-sp-1/</t>
        </is>
      </c>
    </row>
    <row r="351">
      <c r="B351" t="inlineStr">
        <is>
          <t>Sub Stat</t>
        </is>
      </c>
      <c r="C351" t="inlineStr">
        <is>
          <t>Aggression</t>
        </is>
      </c>
      <c r="D351" t="n">
        <v>5</v>
      </c>
      <c r="E351" t="n">
        <v>92</v>
      </c>
      <c r="F351" t="inlineStr">
        <is>
          <t>+5 Aggression 92</t>
        </is>
      </c>
      <c r="G351" t="inlineStr">
        <is>
          <t>Defender Round Out [SP 1] - EA SPORTS FC 26</t>
        </is>
      </c>
      <c r="H351" t="inlineStr">
        <is>
          <t>Reward</t>
        </is>
      </c>
      <c r="I351" t="inlineStr">
        <is>
          <t>Standard Season Pass</t>
        </is>
      </c>
      <c r="J351" t="inlineStr">
        <is>
          <t>https://www.fut.gg/evolutions/1933-defender-round-out-sp-1/</t>
        </is>
      </c>
    </row>
    <row r="352">
      <c r="B352" t="inlineStr">
        <is>
          <t>Face Stat</t>
        </is>
      </c>
      <c r="C352" t="inlineStr">
        <is>
          <t>OVR</t>
        </is>
      </c>
      <c r="D352" t="n">
        <v>1</v>
      </c>
      <c r="F352" t="inlineStr">
        <is>
          <t>+1 OVR</t>
        </is>
      </c>
      <c r="G352" t="inlineStr">
        <is>
          <t>Defender Round Out [SP 1] - EA SPORTS FC 26</t>
        </is>
      </c>
      <c r="H352" t="inlineStr">
        <is>
          <t>Reward</t>
        </is>
      </c>
      <c r="I352" t="inlineStr">
        <is>
          <t>Standard Season Pass</t>
        </is>
      </c>
      <c r="J352" t="inlineStr">
        <is>
          <t>https://www.fut.gg/evolutions/1933-defender-round-out-sp-1/</t>
        </is>
      </c>
    </row>
    <row r="353">
      <c r="B353" t="inlineStr">
        <is>
          <t>Sub Stat</t>
        </is>
      </c>
      <c r="C353" t="inlineStr">
        <is>
          <t>Acceleration</t>
        </is>
      </c>
      <c r="D353" t="n">
        <v>5</v>
      </c>
      <c r="E353" t="n">
        <v>91</v>
      </c>
      <c r="F353" t="inlineStr">
        <is>
          <t>+5 Acceleration 91</t>
        </is>
      </c>
      <c r="G353" t="inlineStr">
        <is>
          <t>Defender Round Out [SP 1] - EA SPORTS FC 26</t>
        </is>
      </c>
      <c r="H353" t="inlineStr">
        <is>
          <t>Reward</t>
        </is>
      </c>
      <c r="I353" t="inlineStr">
        <is>
          <t>Standard Season Pass</t>
        </is>
      </c>
      <c r="J353" t="inlineStr">
        <is>
          <t>https://www.fut.gg/evolutions/1933-defender-round-out-sp-1/</t>
        </is>
      </c>
    </row>
    <row r="354">
      <c r="B354" t="inlineStr">
        <is>
          <t>Sub Stat</t>
        </is>
      </c>
      <c r="C354" t="inlineStr">
        <is>
          <t>Sprint Speed</t>
        </is>
      </c>
      <c r="D354" t="n">
        <v>5</v>
      </c>
      <c r="E354" t="n">
        <v>92</v>
      </c>
      <c r="F354" t="inlineStr">
        <is>
          <t>+5 Sprint Speed 92</t>
        </is>
      </c>
      <c r="G354" t="inlineStr">
        <is>
          <t>Defender Round Out [SP 1] - EA SPORTS FC 26</t>
        </is>
      </c>
      <c r="H354" t="inlineStr">
        <is>
          <t>Reward</t>
        </is>
      </c>
      <c r="I354" t="inlineStr">
        <is>
          <t>Standard Season Pass</t>
        </is>
      </c>
      <c r="J354" t="inlineStr">
        <is>
          <t>https://www.fut.gg/evolutions/1933-defender-round-out-sp-1/</t>
        </is>
      </c>
    </row>
    <row r="355">
      <c r="B355" t="inlineStr">
        <is>
          <t>Sub Stat</t>
        </is>
      </c>
      <c r="C355" t="inlineStr">
        <is>
          <t>Interceptions</t>
        </is>
      </c>
      <c r="D355" t="n">
        <v>1</v>
      </c>
      <c r="E355" t="n">
        <v>93</v>
      </c>
      <c r="F355" t="inlineStr">
        <is>
          <t>+1 Interceptions 93</t>
        </is>
      </c>
      <c r="G355" t="inlineStr">
        <is>
          <t>Defender Round Out [SP 1] - EA SPORTS FC 26</t>
        </is>
      </c>
      <c r="H355" t="inlineStr">
        <is>
          <t>Reward</t>
        </is>
      </c>
      <c r="I355" t="inlineStr">
        <is>
          <t>Standard Season Pass</t>
        </is>
      </c>
      <c r="J355" t="inlineStr">
        <is>
          <t>https://www.fut.gg/evolutions/1933-defender-round-out-sp-1/</t>
        </is>
      </c>
    </row>
    <row r="356">
      <c r="B356" t="inlineStr">
        <is>
          <t>Sub Stat</t>
        </is>
      </c>
      <c r="C356" t="inlineStr">
        <is>
          <t>Heading Accuracy</t>
        </is>
      </c>
      <c r="D356" t="n">
        <v>1</v>
      </c>
      <c r="E356" t="n">
        <v>94</v>
      </c>
      <c r="F356" t="inlineStr">
        <is>
          <t>+1 Heading Acc. 94</t>
        </is>
      </c>
      <c r="G356" t="inlineStr">
        <is>
          <t>Defender Round Out [SP 1] - EA SPORTS FC 26</t>
        </is>
      </c>
      <c r="H356" t="inlineStr">
        <is>
          <t>Reward</t>
        </is>
      </c>
      <c r="I356" t="inlineStr">
        <is>
          <t>Standard Season Pass</t>
        </is>
      </c>
      <c r="J356" t="inlineStr">
        <is>
          <t>https://www.fut.gg/evolutions/1933-defender-round-out-sp-1/</t>
        </is>
      </c>
    </row>
    <row r="357">
      <c r="B357" t="inlineStr">
        <is>
          <t>Sub Stat</t>
        </is>
      </c>
      <c r="C357" t="inlineStr">
        <is>
          <t>Defensive Awareness</t>
        </is>
      </c>
      <c r="D357" t="n">
        <v>1</v>
      </c>
      <c r="E357" t="n">
        <v>93</v>
      </c>
      <c r="F357" t="inlineStr">
        <is>
          <t>+1 Defensive Awareness 93</t>
        </is>
      </c>
      <c r="G357" t="inlineStr">
        <is>
          <t>Defender Round Out [SP 1] - EA SPORTS FC 26</t>
        </is>
      </c>
      <c r="H357" t="inlineStr">
        <is>
          <t>Reward</t>
        </is>
      </c>
      <c r="I357" t="inlineStr">
        <is>
          <t>Standard Season Pass</t>
        </is>
      </c>
      <c r="J357" t="inlineStr">
        <is>
          <t>https://www.fut.gg/evolutions/1933-defender-round-out-sp-1/</t>
        </is>
      </c>
    </row>
    <row r="358">
      <c r="B358" t="inlineStr">
        <is>
          <t>Face Stat</t>
        </is>
      </c>
      <c r="C358" t="inlineStr">
        <is>
          <t>OVR</t>
        </is>
      </c>
      <c r="D358" t="n">
        <v>2</v>
      </c>
      <c r="E358" t="n">
        <v>91</v>
      </c>
      <c r="F358" t="inlineStr">
        <is>
          <t>+2 OVR 91</t>
        </is>
      </c>
      <c r="G358" t="inlineStr">
        <is>
          <t>Attacker Round Out [SP+ 1] - EA SPORTS FC 26</t>
        </is>
      </c>
      <c r="H358" t="inlineStr">
        <is>
          <t>Reward</t>
        </is>
      </c>
      <c r="I358" t="inlineStr">
        <is>
          <t>Premium Season Pass</t>
        </is>
      </c>
      <c r="J358" t="inlineStr">
        <is>
          <t>https://www.fut.gg/evolutions/1932-attacker-round-out-sp-1/</t>
        </is>
      </c>
    </row>
    <row r="359">
      <c r="B359" t="inlineStr">
        <is>
          <t>Sub Stat</t>
        </is>
      </c>
      <c r="C359" t="inlineStr">
        <is>
          <t>Acceleration</t>
        </is>
      </c>
      <c r="D359" t="n">
        <v>3</v>
      </c>
      <c r="E359" t="n">
        <v>93</v>
      </c>
      <c r="F359" t="inlineStr">
        <is>
          <t>+3 Acceleration 93</t>
        </is>
      </c>
      <c r="G359" t="inlineStr">
        <is>
          <t>Attacker Round Out [SP+ 1] - EA SPORTS FC 26</t>
        </is>
      </c>
      <c r="H359" t="inlineStr">
        <is>
          <t>Reward</t>
        </is>
      </c>
      <c r="I359" t="inlineStr">
        <is>
          <t>Premium Season Pass</t>
        </is>
      </c>
      <c r="J359" t="inlineStr">
        <is>
          <t>https://www.fut.gg/evolutions/1932-attacker-round-out-sp-1/</t>
        </is>
      </c>
    </row>
    <row r="360">
      <c r="B360" t="inlineStr">
        <is>
          <t>Sub Stat</t>
        </is>
      </c>
      <c r="C360" t="inlineStr">
        <is>
          <t>Agility</t>
        </is>
      </c>
      <c r="D360" t="n">
        <v>5</v>
      </c>
      <c r="E360" t="n">
        <v>94</v>
      </c>
      <c r="F360" t="inlineStr">
        <is>
          <t>+5 Agility 94</t>
        </is>
      </c>
      <c r="G360" t="inlineStr">
        <is>
          <t>Attacker Round Out [SP+ 1] - EA SPORTS FC 26</t>
        </is>
      </c>
      <c r="H360" t="inlineStr">
        <is>
          <t>Reward</t>
        </is>
      </c>
      <c r="I360" t="inlineStr">
        <is>
          <t>Premium Season Pass</t>
        </is>
      </c>
      <c r="J360" t="inlineStr">
        <is>
          <t>https://www.fut.gg/evolutions/1932-attacker-round-out-sp-1/</t>
        </is>
      </c>
    </row>
    <row r="361">
      <c r="B361" t="inlineStr">
        <is>
          <t>Sub Stat</t>
        </is>
      </c>
      <c r="C361" t="inlineStr">
        <is>
          <t>Balance</t>
        </is>
      </c>
      <c r="D361" t="n">
        <v>5</v>
      </c>
      <c r="E361" t="n">
        <v>93</v>
      </c>
      <c r="F361" t="inlineStr">
        <is>
          <t>+5 Balance 93</t>
        </is>
      </c>
      <c r="G361" t="inlineStr">
        <is>
          <t>Attacker Round Out [SP+ 1] - EA SPORTS FC 26</t>
        </is>
      </c>
      <c r="H361" t="inlineStr">
        <is>
          <t>Reward</t>
        </is>
      </c>
      <c r="I361" t="inlineStr">
        <is>
          <t>Premium Season Pass</t>
        </is>
      </c>
      <c r="J361" t="inlineStr">
        <is>
          <t>https://www.fut.gg/evolutions/1932-attacker-round-out-sp-1/</t>
        </is>
      </c>
    </row>
    <row r="362">
      <c r="B362" t="inlineStr">
        <is>
          <t>Sub Stat</t>
        </is>
      </c>
      <c r="C362" t="inlineStr">
        <is>
          <t>Sprint Speed</t>
        </is>
      </c>
      <c r="D362" t="n">
        <v>3</v>
      </c>
      <c r="E362" t="n">
        <v>94</v>
      </c>
      <c r="F362" t="inlineStr">
        <is>
          <t>+3 Sprint Speed 94</t>
        </is>
      </c>
      <c r="G362" t="inlineStr">
        <is>
          <t>Attacker Round Out [SP+ 1] - EA SPORTS FC 26</t>
        </is>
      </c>
      <c r="H362" t="inlineStr">
        <is>
          <t>Reward</t>
        </is>
      </c>
      <c r="I362" t="inlineStr">
        <is>
          <t>Premium Season Pass</t>
        </is>
      </c>
      <c r="J362" t="inlineStr">
        <is>
          <t>https://www.fut.gg/evolutions/1932-attacker-round-out-sp-1/</t>
        </is>
      </c>
    </row>
    <row r="363">
      <c r="B363" t="inlineStr">
        <is>
          <t>Sub Stat</t>
        </is>
      </c>
      <c r="C363" t="inlineStr">
        <is>
          <t>Long Passing</t>
        </is>
      </c>
      <c r="D363" t="n">
        <v>5</v>
      </c>
      <c r="E363" t="n">
        <v>94</v>
      </c>
      <c r="F363" t="inlineStr">
        <is>
          <t>+5 Long Pass 94</t>
        </is>
      </c>
      <c r="G363" t="inlineStr">
        <is>
          <t>Attacker Round Out [SP+ 1] - EA SPORTS FC 26</t>
        </is>
      </c>
      <c r="H363" t="inlineStr">
        <is>
          <t>Reward</t>
        </is>
      </c>
      <c r="I363" t="inlineStr">
        <is>
          <t>Premium Season Pass</t>
        </is>
      </c>
      <c r="J363" t="inlineStr">
        <is>
          <t>https://www.fut.gg/evolutions/1932-attacker-round-out-sp-1/</t>
        </is>
      </c>
    </row>
    <row r="364">
      <c r="B364" t="inlineStr">
        <is>
          <t>Sub Stat</t>
        </is>
      </c>
      <c r="C364" t="inlineStr">
        <is>
          <t>Curve</t>
        </is>
      </c>
      <c r="D364" t="n">
        <v>2</v>
      </c>
      <c r="E364" t="n">
        <v>92</v>
      </c>
      <c r="F364" t="inlineStr">
        <is>
          <t>+2 Curve 92</t>
        </is>
      </c>
      <c r="G364" t="inlineStr">
        <is>
          <t>Attacker Round Out [SP+ 1] - EA SPORTS FC 26</t>
        </is>
      </c>
      <c r="H364" t="inlineStr">
        <is>
          <t>Reward</t>
        </is>
      </c>
      <c r="I364" t="inlineStr">
        <is>
          <t>Premium Season Pass</t>
        </is>
      </c>
      <c r="J364" t="inlineStr">
        <is>
          <t>https://www.fut.gg/evolutions/1932-attacker-round-out-sp-1/</t>
        </is>
      </c>
    </row>
    <row r="365">
      <c r="B365" t="inlineStr">
        <is>
          <t>Sub Stat</t>
        </is>
      </c>
      <c r="C365" t="inlineStr">
        <is>
          <t>Composure</t>
        </is>
      </c>
      <c r="D365" t="n">
        <v>2</v>
      </c>
      <c r="E365" t="n">
        <v>95</v>
      </c>
      <c r="F365" t="inlineStr">
        <is>
          <t>+2 Composure 95</t>
        </is>
      </c>
      <c r="G365" t="inlineStr">
        <is>
          <t>Attacker Round Out [SP+ 1] - EA SPORTS FC 26</t>
        </is>
      </c>
      <c r="H365" t="inlineStr">
        <is>
          <t>Reward</t>
        </is>
      </c>
      <c r="I365" t="inlineStr">
        <is>
          <t>Premium Season Pass</t>
        </is>
      </c>
      <c r="J365" t="inlineStr">
        <is>
          <t>https://www.fut.gg/evolutions/1932-attacker-round-out-sp-1/</t>
        </is>
      </c>
    </row>
    <row r="366">
      <c r="B366" t="inlineStr">
        <is>
          <t>Sub Stat</t>
        </is>
      </c>
      <c r="C366" t="inlineStr">
        <is>
          <t>Positioning</t>
        </is>
      </c>
      <c r="D366" t="n">
        <v>5</v>
      </c>
      <c r="E366" t="n">
        <v>93</v>
      </c>
      <c r="F366" t="inlineStr">
        <is>
          <t>+5 Positioning 93</t>
        </is>
      </c>
      <c r="G366" t="inlineStr">
        <is>
          <t>Attacker Round Out [SP+ 1] - EA SPORTS FC 26</t>
        </is>
      </c>
      <c r="H366" t="inlineStr">
        <is>
          <t>Reward</t>
        </is>
      </c>
      <c r="I366" t="inlineStr">
        <is>
          <t>Premium Season Pass</t>
        </is>
      </c>
      <c r="J366" t="inlineStr">
        <is>
          <t>https://www.fut.gg/evolutions/1932-attacker-round-out-sp-1/</t>
        </is>
      </c>
    </row>
    <row r="367">
      <c r="B367" t="inlineStr">
        <is>
          <t>Sub Stat</t>
        </is>
      </c>
      <c r="C367" t="inlineStr">
        <is>
          <t>Finishing</t>
        </is>
      </c>
      <c r="D367" t="n">
        <v>5</v>
      </c>
      <c r="E367" t="n">
        <v>94</v>
      </c>
      <c r="F367" t="inlineStr">
        <is>
          <t>+5 Finishing 94</t>
        </is>
      </c>
      <c r="G367" t="inlineStr">
        <is>
          <t>Attacker Round Out [SP+ 1] - EA SPORTS FC 26</t>
        </is>
      </c>
      <c r="H367" t="inlineStr">
        <is>
          <t>Reward</t>
        </is>
      </c>
      <c r="I367" t="inlineStr">
        <is>
          <t>Premium Season Pass</t>
        </is>
      </c>
      <c r="J367" t="inlineStr">
        <is>
          <t>https://www.fut.gg/evolutions/1932-attacker-round-out-sp-1/</t>
        </is>
      </c>
    </row>
    <row r="368">
      <c r="B368" t="inlineStr">
        <is>
          <t>Sub Stat</t>
        </is>
      </c>
      <c r="C368" t="inlineStr">
        <is>
          <t>Shot Power</t>
        </is>
      </c>
      <c r="D368" t="n">
        <v>3</v>
      </c>
      <c r="E368" t="n">
        <v>93</v>
      </c>
      <c r="F368" t="inlineStr">
        <is>
          <t>+3 Shot Power 93</t>
        </is>
      </c>
      <c r="G368" t="inlineStr">
        <is>
          <t>Attacker Round Out [SP+ 1] - EA SPORTS FC 26</t>
        </is>
      </c>
      <c r="H368" t="inlineStr">
        <is>
          <t>Reward</t>
        </is>
      </c>
      <c r="I368" t="inlineStr">
        <is>
          <t>Premium Season Pass</t>
        </is>
      </c>
      <c r="J368" t="inlineStr">
        <is>
          <t>https://www.fut.gg/evolutions/1932-attacker-round-out-sp-1/</t>
        </is>
      </c>
    </row>
    <row r="369">
      <c r="B369" t="inlineStr">
        <is>
          <t>Sub Stat</t>
        </is>
      </c>
      <c r="C369" t="inlineStr">
        <is>
          <t>Reactions</t>
        </is>
      </c>
      <c r="D369" t="n">
        <v>2</v>
      </c>
      <c r="E369" t="n">
        <v>92</v>
      </c>
      <c r="F369" t="inlineStr">
        <is>
          <t>+2 Reactions 92</t>
        </is>
      </c>
      <c r="G369" t="inlineStr">
        <is>
          <t>Attacker Round Out [SP+ 1] - EA SPORTS FC 26</t>
        </is>
      </c>
      <c r="H369" t="inlineStr">
        <is>
          <t>Reward</t>
        </is>
      </c>
      <c r="I369" t="inlineStr">
        <is>
          <t>Premium Season Pass</t>
        </is>
      </c>
      <c r="J369" t="inlineStr">
        <is>
          <t>https://www.fut.gg/evolutions/1932-attacker-round-out-sp-1/</t>
        </is>
      </c>
    </row>
    <row r="370">
      <c r="B370" t="inlineStr">
        <is>
          <t>Sub Stat</t>
        </is>
      </c>
      <c r="C370" t="inlineStr">
        <is>
          <t>Ball Control</t>
        </is>
      </c>
      <c r="D370" t="n">
        <v>5</v>
      </c>
      <c r="E370" t="n">
        <v>94</v>
      </c>
      <c r="F370" t="inlineStr">
        <is>
          <t>+5 Ball Control 94</t>
        </is>
      </c>
      <c r="G370" t="inlineStr">
        <is>
          <t>Attacker Round Out [SP+ 1] - EA SPORTS FC 26</t>
        </is>
      </c>
      <c r="H370" t="inlineStr">
        <is>
          <t>Reward</t>
        </is>
      </c>
      <c r="I370" t="inlineStr">
        <is>
          <t>Premium Season Pass</t>
        </is>
      </c>
      <c r="J370" t="inlineStr">
        <is>
          <t>https://www.fut.gg/evolutions/1932-attacker-round-out-sp-1/</t>
        </is>
      </c>
    </row>
    <row r="371">
      <c r="B371" t="inlineStr">
        <is>
          <t>Sub Stat</t>
        </is>
      </c>
      <c r="C371" t="inlineStr">
        <is>
          <t>Long Shots</t>
        </is>
      </c>
      <c r="D371" t="n">
        <v>3</v>
      </c>
      <c r="E371" t="n">
        <v>92</v>
      </c>
      <c r="F371" t="inlineStr">
        <is>
          <t>+3 Long Shots 92</t>
        </is>
      </c>
      <c r="G371" t="inlineStr">
        <is>
          <t>Attacker Round Out [SP+ 1] - EA SPORTS FC 26</t>
        </is>
      </c>
      <c r="H371" t="inlineStr">
        <is>
          <t>Reward</t>
        </is>
      </c>
      <c r="I371" t="inlineStr">
        <is>
          <t>Premium Season Pass</t>
        </is>
      </c>
      <c r="J371" t="inlineStr">
        <is>
          <t>https://www.fut.gg/evolutions/1932-attacker-round-out-sp-1/</t>
        </is>
      </c>
    </row>
    <row r="372">
      <c r="B372" t="inlineStr">
        <is>
          <t>Sub Stat</t>
        </is>
      </c>
      <c r="C372" t="inlineStr">
        <is>
          <t>Volleys</t>
        </is>
      </c>
      <c r="D372" t="n">
        <v>3</v>
      </c>
      <c r="E372" t="n">
        <v>94</v>
      </c>
      <c r="F372" t="inlineStr">
        <is>
          <t>+3 Volleys 94</t>
        </is>
      </c>
      <c r="G372" t="inlineStr">
        <is>
          <t>Attacker Round Out [SP+ 1] - EA SPORTS FC 26</t>
        </is>
      </c>
      <c r="H372" t="inlineStr">
        <is>
          <t>Reward</t>
        </is>
      </c>
      <c r="I372" t="inlineStr">
        <is>
          <t>Premium Season Pass</t>
        </is>
      </c>
      <c r="J372" t="inlineStr">
        <is>
          <t>https://www.fut.gg/evolutions/1932-attacker-round-out-sp-1/</t>
        </is>
      </c>
    </row>
    <row r="373">
      <c r="B373" t="inlineStr">
        <is>
          <t>Sub Stat</t>
        </is>
      </c>
      <c r="C373" t="inlineStr">
        <is>
          <t>Penalties</t>
        </is>
      </c>
      <c r="D373" t="n">
        <v>3</v>
      </c>
      <c r="E373" t="n">
        <v>94</v>
      </c>
      <c r="F373" t="inlineStr">
        <is>
          <t>+3 Penalties 94</t>
        </is>
      </c>
      <c r="G373" t="inlineStr">
        <is>
          <t>Attacker Round Out [SP+ 1] - EA SPORTS FC 26</t>
        </is>
      </c>
      <c r="H373" t="inlineStr">
        <is>
          <t>Reward</t>
        </is>
      </c>
      <c r="I373" t="inlineStr">
        <is>
          <t>Premium Season Pass</t>
        </is>
      </c>
      <c r="J373" t="inlineStr">
        <is>
          <t>https://www.fut.gg/evolutions/1932-attacker-round-out-sp-1/</t>
        </is>
      </c>
    </row>
    <row r="374">
      <c r="B374" t="inlineStr">
        <is>
          <t>Sub Stat</t>
        </is>
      </c>
      <c r="C374" t="inlineStr">
        <is>
          <t>Short Passing</t>
        </is>
      </c>
      <c r="D374" t="n">
        <v>5</v>
      </c>
      <c r="E374" t="n">
        <v>95</v>
      </c>
      <c r="F374" t="inlineStr">
        <is>
          <t>+5 Short Pass 95</t>
        </is>
      </c>
      <c r="G374" t="inlineStr">
        <is>
          <t>Attacker Round Out [SP+ 1] - EA SPORTS FC 26</t>
        </is>
      </c>
      <c r="H374" t="inlineStr">
        <is>
          <t>Reward</t>
        </is>
      </c>
      <c r="I374" t="inlineStr">
        <is>
          <t>Premium Season Pass</t>
        </is>
      </c>
      <c r="J374" t="inlineStr">
        <is>
          <t>https://www.fut.gg/evolutions/1932-attacker-round-out-sp-1/</t>
        </is>
      </c>
    </row>
    <row r="375">
      <c r="B375" t="inlineStr">
        <is>
          <t>Sub Stat</t>
        </is>
      </c>
      <c r="C375" t="inlineStr">
        <is>
          <t>Dribbling</t>
        </is>
      </c>
      <c r="D375" t="n">
        <v>5</v>
      </c>
      <c r="E375" t="n">
        <v>95</v>
      </c>
      <c r="F375" t="inlineStr">
        <is>
          <t>+5 Dribbling 95</t>
        </is>
      </c>
      <c r="G375" t="inlineStr">
        <is>
          <t>Attacker Round Out [SP+ 1] - EA SPORTS FC 26</t>
        </is>
      </c>
      <c r="H375" t="inlineStr">
        <is>
          <t>Reward</t>
        </is>
      </c>
      <c r="I375" t="inlineStr">
        <is>
          <t>Premium Season Pass</t>
        </is>
      </c>
      <c r="J375" t="inlineStr">
        <is>
          <t>https://www.fut.gg/evolutions/1932-attacker-round-out-sp-1/</t>
        </is>
      </c>
    </row>
    <row r="376">
      <c r="B376" t="inlineStr">
        <is>
          <t>Sub Stat</t>
        </is>
      </c>
      <c r="C376" t="inlineStr">
        <is>
          <t>Vision</t>
        </is>
      </c>
      <c r="D376" t="n">
        <v>5</v>
      </c>
      <c r="E376" t="n">
        <v>93</v>
      </c>
      <c r="F376" t="inlineStr">
        <is>
          <t>+5 Vision 93</t>
        </is>
      </c>
      <c r="G376" t="inlineStr">
        <is>
          <t>Attacker Round Out [SP+ 1] - EA SPORTS FC 26</t>
        </is>
      </c>
      <c r="H376" t="inlineStr">
        <is>
          <t>Reward</t>
        </is>
      </c>
      <c r="I376" t="inlineStr">
        <is>
          <t>Premium Season Pass</t>
        </is>
      </c>
      <c r="J376" t="inlineStr">
        <is>
          <t>https://www.fut.gg/evolutions/1932-attacker-round-out-sp-1/</t>
        </is>
      </c>
    </row>
    <row r="377">
      <c r="B377" t="inlineStr">
        <is>
          <t>Sub Stat</t>
        </is>
      </c>
      <c r="C377" t="inlineStr">
        <is>
          <t>Crossing</t>
        </is>
      </c>
      <c r="D377" t="n">
        <v>2</v>
      </c>
      <c r="E377" t="n">
        <v>94</v>
      </c>
      <c r="F377" t="inlineStr">
        <is>
          <t>+2 Crossing 94</t>
        </is>
      </c>
      <c r="G377" t="inlineStr">
        <is>
          <t>Attacker Round Out [SP+ 1] - EA SPORTS FC 26</t>
        </is>
      </c>
      <c r="H377" t="inlineStr">
        <is>
          <t>Reward</t>
        </is>
      </c>
      <c r="I377" t="inlineStr">
        <is>
          <t>Premium Season Pass</t>
        </is>
      </c>
      <c r="J377" t="inlineStr">
        <is>
          <t>https://www.fut.gg/evolutions/1932-attacker-round-out-sp-1/</t>
        </is>
      </c>
    </row>
    <row r="378">
      <c r="B378" t="inlineStr">
        <is>
          <t>Sub Stat</t>
        </is>
      </c>
      <c r="C378" t="inlineStr">
        <is>
          <t>Fk Accuracy</t>
        </is>
      </c>
      <c r="D378" t="n">
        <v>2</v>
      </c>
      <c r="E378" t="n">
        <v>92</v>
      </c>
      <c r="F378" t="inlineStr">
        <is>
          <t>+2 Fk Accuracy 92</t>
        </is>
      </c>
      <c r="G378" t="inlineStr">
        <is>
          <t>Attacker Round Out [SP+ 1] - EA SPORTS FC 26</t>
        </is>
      </c>
      <c r="H378" t="inlineStr">
        <is>
          <t>Reward</t>
        </is>
      </c>
      <c r="I378" t="inlineStr">
        <is>
          <t>Premium Season Pass</t>
        </is>
      </c>
      <c r="J378" t="inlineStr">
        <is>
          <t>https://www.fut.gg/evolutions/1932-attacker-round-out-sp-1/</t>
        </is>
      </c>
    </row>
    <row r="379">
      <c r="B379" t="inlineStr">
        <is>
          <t>Face Stat</t>
        </is>
      </c>
      <c r="C379" t="inlineStr">
        <is>
          <t>OVR</t>
        </is>
      </c>
      <c r="D379" t="n">
        <v>2</v>
      </c>
      <c r="E379" t="n">
        <v>91</v>
      </c>
      <c r="F379" t="inlineStr">
        <is>
          <t>+2 OVR 91</t>
        </is>
      </c>
      <c r="G379" t="inlineStr">
        <is>
          <t>Attacker Round Out [SP+ 1] - EA SPORTS FC 26</t>
        </is>
      </c>
      <c r="H379" t="inlineStr">
        <is>
          <t>Reward</t>
        </is>
      </c>
      <c r="I379" t="inlineStr">
        <is>
          <t>Premium Season Pass</t>
        </is>
      </c>
      <c r="J379" t="inlineStr">
        <is>
          <t>https://www.fut.gg/evolutions/1932-attacker-round-out-sp-1/</t>
        </is>
      </c>
    </row>
    <row r="380">
      <c r="B380" t="inlineStr">
        <is>
          <t>Sub Stat</t>
        </is>
      </c>
      <c r="C380" t="inlineStr">
        <is>
          <t>Acceleration</t>
        </is>
      </c>
      <c r="D380" t="n">
        <v>3</v>
      </c>
      <c r="E380" t="n">
        <v>93</v>
      </c>
      <c r="F380" t="inlineStr">
        <is>
          <t>+3 Acceleration 93</t>
        </is>
      </c>
      <c r="G380" t="inlineStr">
        <is>
          <t>Attacker Round Out [SP+ 1] - EA SPORTS FC 26</t>
        </is>
      </c>
      <c r="H380" t="inlineStr">
        <is>
          <t>Reward</t>
        </is>
      </c>
      <c r="I380" t="inlineStr">
        <is>
          <t>Premium Season Pass</t>
        </is>
      </c>
      <c r="J380" t="inlineStr">
        <is>
          <t>https://www.fut.gg/evolutions/1932-attacker-round-out-sp-1/</t>
        </is>
      </c>
    </row>
    <row r="381">
      <c r="B381" t="inlineStr">
        <is>
          <t>Sub Stat</t>
        </is>
      </c>
      <c r="C381" t="inlineStr">
        <is>
          <t>Agility</t>
        </is>
      </c>
      <c r="D381" t="n">
        <v>5</v>
      </c>
      <c r="E381" t="n">
        <v>94</v>
      </c>
      <c r="F381" t="inlineStr">
        <is>
          <t>+5 Agility 94</t>
        </is>
      </c>
      <c r="G381" t="inlineStr">
        <is>
          <t>Attacker Round Out [SP+ 1] - EA SPORTS FC 26</t>
        </is>
      </c>
      <c r="H381" t="inlineStr">
        <is>
          <t>Reward</t>
        </is>
      </c>
      <c r="I381" t="inlineStr">
        <is>
          <t>Premium Season Pass</t>
        </is>
      </c>
      <c r="J381" t="inlineStr">
        <is>
          <t>https://www.fut.gg/evolutions/1932-attacker-round-out-sp-1/</t>
        </is>
      </c>
    </row>
    <row r="382">
      <c r="B382" t="inlineStr">
        <is>
          <t>Sub Stat</t>
        </is>
      </c>
      <c r="C382" t="inlineStr">
        <is>
          <t>Balance</t>
        </is>
      </c>
      <c r="D382" t="n">
        <v>5</v>
      </c>
      <c r="E382" t="n">
        <v>93</v>
      </c>
      <c r="F382" t="inlineStr">
        <is>
          <t>+5 Balance 93</t>
        </is>
      </c>
      <c r="G382" t="inlineStr">
        <is>
          <t>Attacker Round Out [SP+ 1] - EA SPORTS FC 26</t>
        </is>
      </c>
      <c r="H382" t="inlineStr">
        <is>
          <t>Reward</t>
        </is>
      </c>
      <c r="I382" t="inlineStr">
        <is>
          <t>Premium Season Pass</t>
        </is>
      </c>
      <c r="J382" t="inlineStr">
        <is>
          <t>https://www.fut.gg/evolutions/1932-attacker-round-out-sp-1/</t>
        </is>
      </c>
    </row>
    <row r="383">
      <c r="B383" t="inlineStr">
        <is>
          <t>Face Stat</t>
        </is>
      </c>
      <c r="C383" t="inlineStr">
        <is>
          <t>OVR</t>
        </is>
      </c>
      <c r="D383" t="n">
        <v>2</v>
      </c>
      <c r="E383" t="n">
        <v>90</v>
      </c>
      <c r="F383" t="inlineStr">
        <is>
          <t>+2 OVR 90</t>
        </is>
      </c>
      <c r="G383" t="inlineStr">
        <is>
          <t>WTSS Journey 2 - Attacker [SP 8] - EA SPORTS FC 26</t>
        </is>
      </c>
      <c r="H383" t="inlineStr">
        <is>
          <t>Reward</t>
        </is>
      </c>
      <c r="I383" t="inlineStr">
        <is>
          <t>Standard Season Pass</t>
        </is>
      </c>
      <c r="J383" t="inlineStr">
        <is>
          <t>https://www.fut.gg/evolutions/1931-wtss-journey-2-attacker-sp-8/</t>
        </is>
      </c>
    </row>
    <row r="384">
      <c r="B384" t="inlineStr">
        <is>
          <t>Skill</t>
        </is>
      </c>
      <c r="C384" t="inlineStr">
        <is>
          <t>WF</t>
        </is>
      </c>
      <c r="D384" t="n">
        <v>3</v>
      </c>
      <c r="E384" t="n">
        <v>4</v>
      </c>
      <c r="F384" t="inlineStr">
        <is>
          <t>+3 WF 4</t>
        </is>
      </c>
      <c r="G384" t="inlineStr">
        <is>
          <t>WTSS Journey 2 - Attacker [SP 8] - EA SPORTS FC 26</t>
        </is>
      </c>
      <c r="H384" t="inlineStr">
        <is>
          <t>Reward</t>
        </is>
      </c>
      <c r="I384" t="inlineStr">
        <is>
          <t>Standard Season Pass</t>
        </is>
      </c>
      <c r="J384" t="inlineStr">
        <is>
          <t>https://www.fut.gg/evolutions/1931-wtss-journey-2-attacker-sp-8/</t>
        </is>
      </c>
    </row>
    <row r="385">
      <c r="B385" t="inlineStr">
        <is>
          <t>Sub Stat</t>
        </is>
      </c>
      <c r="C385" t="inlineStr">
        <is>
          <t>Acceleration</t>
        </is>
      </c>
      <c r="D385" t="n">
        <v>10</v>
      </c>
      <c r="E385" t="n">
        <v>90</v>
      </c>
      <c r="F385" t="inlineStr">
        <is>
          <t>+10 Acceleration 90</t>
        </is>
      </c>
      <c r="G385" t="inlineStr">
        <is>
          <t>WTSS Journey 2 - Attacker [SP 8] - EA SPORTS FC 26</t>
        </is>
      </c>
      <c r="H385" t="inlineStr">
        <is>
          <t>Reward</t>
        </is>
      </c>
      <c r="I385" t="inlineStr">
        <is>
          <t>Standard Season Pass</t>
        </is>
      </c>
      <c r="J385" t="inlineStr">
        <is>
          <t>https://www.fut.gg/evolutions/1931-wtss-journey-2-attacker-sp-8/</t>
        </is>
      </c>
    </row>
    <row r="386">
      <c r="B386" t="inlineStr">
        <is>
          <t>Sub Stat</t>
        </is>
      </c>
      <c r="C386" t="inlineStr">
        <is>
          <t>Sprint Speed</t>
        </is>
      </c>
      <c r="D386" t="n">
        <v>10</v>
      </c>
      <c r="E386" t="n">
        <v>90</v>
      </c>
      <c r="F386" t="inlineStr">
        <is>
          <t>+10 Sprint Speed 90</t>
        </is>
      </c>
      <c r="G386" t="inlineStr">
        <is>
          <t>WTSS Journey 2 - Attacker [SP 8] - EA SPORTS FC 26</t>
        </is>
      </c>
      <c r="H386" t="inlineStr">
        <is>
          <t>Reward</t>
        </is>
      </c>
      <c r="I386" t="inlineStr">
        <is>
          <t>Standard Season Pass</t>
        </is>
      </c>
      <c r="J386" t="inlineStr">
        <is>
          <t>https://www.fut.gg/evolutions/1931-wtss-journey-2-attacker-sp-8/</t>
        </is>
      </c>
    </row>
    <row r="387">
      <c r="B387" t="inlineStr">
        <is>
          <t>Sub Stat</t>
        </is>
      </c>
      <c r="C387" t="inlineStr">
        <is>
          <t>Finishing</t>
        </is>
      </c>
      <c r="D387" t="n">
        <v>10</v>
      </c>
      <c r="E387" t="n">
        <v>90</v>
      </c>
      <c r="F387" t="inlineStr">
        <is>
          <t>+10 Finishing 90</t>
        </is>
      </c>
      <c r="G387" t="inlineStr">
        <is>
          <t>WTSS Journey 2 - Attacker [SP 8] - EA SPORTS FC 26</t>
        </is>
      </c>
      <c r="H387" t="inlineStr">
        <is>
          <t>Reward</t>
        </is>
      </c>
      <c r="I387" t="inlineStr">
        <is>
          <t>Standard Season Pass</t>
        </is>
      </c>
      <c r="J387" t="inlineStr">
        <is>
          <t>https://www.fut.gg/evolutions/1931-wtss-journey-2-attacker-sp-8/</t>
        </is>
      </c>
    </row>
    <row r="388">
      <c r="B388" t="inlineStr">
        <is>
          <t>Sub Stat</t>
        </is>
      </c>
      <c r="C388" t="inlineStr">
        <is>
          <t>Positioning</t>
        </is>
      </c>
      <c r="D388" t="n">
        <v>10</v>
      </c>
      <c r="E388" t="n">
        <v>90</v>
      </c>
      <c r="F388" t="inlineStr">
        <is>
          <t>+10 Positioning 90</t>
        </is>
      </c>
      <c r="G388" t="inlineStr">
        <is>
          <t>WTSS Journey 2 - Attacker [SP 8] - EA SPORTS FC 26</t>
        </is>
      </c>
      <c r="H388" t="inlineStr">
        <is>
          <t>Reward</t>
        </is>
      </c>
      <c r="I388" t="inlineStr">
        <is>
          <t>Standard Season Pass</t>
        </is>
      </c>
      <c r="J388" t="inlineStr">
        <is>
          <t>https://www.fut.gg/evolutions/1931-wtss-journey-2-attacker-sp-8/</t>
        </is>
      </c>
    </row>
    <row r="389">
      <c r="B389" t="inlineStr">
        <is>
          <t>Sub Stat</t>
        </is>
      </c>
      <c r="C389" t="inlineStr">
        <is>
          <t>Volleys</t>
        </is>
      </c>
      <c r="D389" t="n">
        <v>10</v>
      </c>
      <c r="E389" t="n">
        <v>89</v>
      </c>
      <c r="F389" t="inlineStr">
        <is>
          <t>+10 Volleys 89</t>
        </is>
      </c>
      <c r="G389" t="inlineStr">
        <is>
          <t>WTSS Journey 2 - Attacker [SP 8] - EA SPORTS FC 26</t>
        </is>
      </c>
      <c r="H389" t="inlineStr">
        <is>
          <t>Reward</t>
        </is>
      </c>
      <c r="I389" t="inlineStr">
        <is>
          <t>Standard Season Pass</t>
        </is>
      </c>
      <c r="J389" t="inlineStr">
        <is>
          <t>https://www.fut.gg/evolutions/1931-wtss-journey-2-attacker-sp-8/</t>
        </is>
      </c>
    </row>
    <row r="390">
      <c r="B390" t="inlineStr">
        <is>
          <t>Sub Stat</t>
        </is>
      </c>
      <c r="C390" t="inlineStr">
        <is>
          <t>Penalties</t>
        </is>
      </c>
      <c r="D390" t="n">
        <v>10</v>
      </c>
      <c r="E390" t="n">
        <v>90</v>
      </c>
      <c r="F390" t="inlineStr">
        <is>
          <t>+10 Penalties 90</t>
        </is>
      </c>
      <c r="G390" t="inlineStr">
        <is>
          <t>WTSS Journey 2 - Attacker [SP 8] - EA SPORTS FC 26</t>
        </is>
      </c>
      <c r="H390" t="inlineStr">
        <is>
          <t>Reward</t>
        </is>
      </c>
      <c r="I390" t="inlineStr">
        <is>
          <t>Standard Season Pass</t>
        </is>
      </c>
      <c r="J390" t="inlineStr">
        <is>
          <t>https://www.fut.gg/evolutions/1931-wtss-journey-2-attacker-sp-8/</t>
        </is>
      </c>
    </row>
    <row r="391">
      <c r="B391" t="inlineStr">
        <is>
          <t>Sub Stat</t>
        </is>
      </c>
      <c r="C391" t="inlineStr">
        <is>
          <t>Curve</t>
        </is>
      </c>
      <c r="D391" t="n">
        <v>10</v>
      </c>
      <c r="E391" t="n">
        <v>90</v>
      </c>
      <c r="F391" t="inlineStr">
        <is>
          <t>+10 Curve 90</t>
        </is>
      </c>
      <c r="G391" t="inlineStr">
        <is>
          <t>WTSS Journey 2 - Attacker [SP 8] - EA SPORTS FC 26</t>
        </is>
      </c>
      <c r="H391" t="inlineStr">
        <is>
          <t>Reward</t>
        </is>
      </c>
      <c r="I391" t="inlineStr">
        <is>
          <t>Standard Season Pass</t>
        </is>
      </c>
      <c r="J391" t="inlineStr">
        <is>
          <t>https://www.fut.gg/evolutions/1931-wtss-journey-2-attacker-sp-8/</t>
        </is>
      </c>
    </row>
    <row r="392">
      <c r="B392" t="inlineStr">
        <is>
          <t>Sub Stat</t>
        </is>
      </c>
      <c r="C392" t="inlineStr">
        <is>
          <t>Agility</t>
        </is>
      </c>
      <c r="D392" t="n">
        <v>15</v>
      </c>
      <c r="E392" t="n">
        <v>92</v>
      </c>
      <c r="F392" t="inlineStr">
        <is>
          <t>+15 Agility 92</t>
        </is>
      </c>
      <c r="G392" t="inlineStr">
        <is>
          <t>WTSS Journey 2 - Attacker [SP 8] - EA SPORTS FC 26</t>
        </is>
      </c>
      <c r="H392" t="inlineStr">
        <is>
          <t>Reward</t>
        </is>
      </c>
      <c r="I392" t="inlineStr">
        <is>
          <t>Standard Season Pass</t>
        </is>
      </c>
      <c r="J392" t="inlineStr">
        <is>
          <t>https://www.fut.gg/evolutions/1931-wtss-journey-2-attacker-sp-8/</t>
        </is>
      </c>
    </row>
    <row r="393">
      <c r="B393" t="inlineStr">
        <is>
          <t>Sub Stat</t>
        </is>
      </c>
      <c r="C393" t="inlineStr">
        <is>
          <t>Balance</t>
        </is>
      </c>
      <c r="D393" t="n">
        <v>15</v>
      </c>
      <c r="E393" t="n">
        <v>89</v>
      </c>
      <c r="F393" t="inlineStr">
        <is>
          <t>+15 Balance 89</t>
        </is>
      </c>
      <c r="G393" t="inlineStr">
        <is>
          <t>WTSS Journey 2 - Attacker [SP 8] - EA SPORTS FC 26</t>
        </is>
      </c>
      <c r="H393" t="inlineStr">
        <is>
          <t>Reward</t>
        </is>
      </c>
      <c r="I393" t="inlineStr">
        <is>
          <t>Standard Season Pass</t>
        </is>
      </c>
      <c r="J393" t="inlineStr">
        <is>
          <t>https://www.fut.gg/evolutions/1931-wtss-journey-2-attacker-sp-8/</t>
        </is>
      </c>
    </row>
    <row r="394">
      <c r="B394" t="inlineStr">
        <is>
          <t>Sub Stat</t>
        </is>
      </c>
      <c r="C394" t="inlineStr">
        <is>
          <t>Reactions</t>
        </is>
      </c>
      <c r="D394" t="n">
        <v>15</v>
      </c>
      <c r="E394" t="n">
        <v>89</v>
      </c>
      <c r="F394" t="inlineStr">
        <is>
          <t>+15 Reactions 89</t>
        </is>
      </c>
      <c r="G394" t="inlineStr">
        <is>
          <t>WTSS Journey 2 - Attacker [SP 8] - EA SPORTS FC 26</t>
        </is>
      </c>
      <c r="H394" t="inlineStr">
        <is>
          <t>Reward</t>
        </is>
      </c>
      <c r="I394" t="inlineStr">
        <is>
          <t>Standard Season Pass</t>
        </is>
      </c>
      <c r="J394" t="inlineStr">
        <is>
          <t>https://www.fut.gg/evolutions/1931-wtss-journey-2-attacker-sp-8/</t>
        </is>
      </c>
    </row>
    <row r="395">
      <c r="B395" t="inlineStr">
        <is>
          <t>Sub Stat</t>
        </is>
      </c>
      <c r="C395" t="inlineStr">
        <is>
          <t>Shot Power</t>
        </is>
      </c>
      <c r="D395" t="n">
        <v>10</v>
      </c>
      <c r="E395" t="n">
        <v>91</v>
      </c>
      <c r="F395" t="inlineStr">
        <is>
          <t>+10 Shot Power 91</t>
        </is>
      </c>
      <c r="G395" t="inlineStr">
        <is>
          <t>WTSS Journey 2 - Attacker [SP 8] - EA SPORTS FC 26</t>
        </is>
      </c>
      <c r="H395" t="inlineStr">
        <is>
          <t>Reward</t>
        </is>
      </c>
      <c r="I395" t="inlineStr">
        <is>
          <t>Standard Season Pass</t>
        </is>
      </c>
      <c r="J395" t="inlineStr">
        <is>
          <t>https://www.fut.gg/evolutions/1931-wtss-journey-2-attacker-sp-8/</t>
        </is>
      </c>
    </row>
    <row r="396">
      <c r="B396" t="inlineStr">
        <is>
          <t>Sub Stat</t>
        </is>
      </c>
      <c r="C396" t="inlineStr">
        <is>
          <t>Long Shots</t>
        </is>
      </c>
      <c r="D396" t="n">
        <v>10</v>
      </c>
      <c r="E396" t="n">
        <v>90</v>
      </c>
      <c r="F396" t="inlineStr">
        <is>
          <t>+10 Long Shots 90</t>
        </is>
      </c>
      <c r="G396" t="inlineStr">
        <is>
          <t>WTSS Journey 2 - Attacker [SP 8] - EA SPORTS FC 26</t>
        </is>
      </c>
      <c r="H396" t="inlineStr">
        <is>
          <t>Reward</t>
        </is>
      </c>
      <c r="I396" t="inlineStr">
        <is>
          <t>Standard Season Pass</t>
        </is>
      </c>
      <c r="J396" t="inlineStr">
        <is>
          <t>https://www.fut.gg/evolutions/1931-wtss-journey-2-attacker-sp-8/</t>
        </is>
      </c>
    </row>
    <row r="397">
      <c r="B397" t="inlineStr">
        <is>
          <t>Sub Stat</t>
        </is>
      </c>
      <c r="C397" t="inlineStr">
        <is>
          <t>Ball Control</t>
        </is>
      </c>
      <c r="D397" t="n">
        <v>15</v>
      </c>
      <c r="E397" t="n">
        <v>88</v>
      </c>
      <c r="F397" t="inlineStr">
        <is>
          <t>+15 Ball Control 88</t>
        </is>
      </c>
      <c r="G397" t="inlineStr">
        <is>
          <t>WTSS Journey 2 - Attacker [SP 8] - EA SPORTS FC 26</t>
        </is>
      </c>
      <c r="H397" t="inlineStr">
        <is>
          <t>Reward</t>
        </is>
      </c>
      <c r="I397" t="inlineStr">
        <is>
          <t>Standard Season Pass</t>
        </is>
      </c>
      <c r="J397" t="inlineStr">
        <is>
          <t>https://www.fut.gg/evolutions/1931-wtss-journey-2-attacker-sp-8/</t>
        </is>
      </c>
    </row>
    <row r="398">
      <c r="B398" t="inlineStr">
        <is>
          <t>Sub Stat</t>
        </is>
      </c>
      <c r="C398" t="inlineStr">
        <is>
          <t>Dribbling</t>
        </is>
      </c>
      <c r="D398" t="n">
        <v>15</v>
      </c>
      <c r="E398" t="n">
        <v>89</v>
      </c>
      <c r="F398" t="inlineStr">
        <is>
          <t>+15 Dribbling 89</t>
        </is>
      </c>
      <c r="G398" t="inlineStr">
        <is>
          <t>WTSS Journey 2 - Attacker [SP 8] - EA SPORTS FC 26</t>
        </is>
      </c>
      <c r="H398" t="inlineStr">
        <is>
          <t>Reward</t>
        </is>
      </c>
      <c r="I398" t="inlineStr">
        <is>
          <t>Standard Season Pass</t>
        </is>
      </c>
      <c r="J398" t="inlineStr">
        <is>
          <t>https://www.fut.gg/evolutions/1931-wtss-journey-2-attacker-sp-8/</t>
        </is>
      </c>
    </row>
    <row r="399">
      <c r="B399" t="inlineStr">
        <is>
          <t>Sub Stat</t>
        </is>
      </c>
      <c r="C399" t="inlineStr">
        <is>
          <t>Composure</t>
        </is>
      </c>
      <c r="D399" t="n">
        <v>15</v>
      </c>
      <c r="E399" t="n">
        <v>88</v>
      </c>
      <c r="F399" t="inlineStr">
        <is>
          <t>+15 Composure 88</t>
        </is>
      </c>
      <c r="G399" t="inlineStr">
        <is>
          <t>WTSS Journey 2 - Attacker [SP 8] - EA SPORTS FC 26</t>
        </is>
      </c>
      <c r="H399" t="inlineStr">
        <is>
          <t>Reward</t>
        </is>
      </c>
      <c r="I399" t="inlineStr">
        <is>
          <t>Standard Season Pass</t>
        </is>
      </c>
      <c r="J399" t="inlineStr">
        <is>
          <t>https://www.fut.gg/evolutions/1931-wtss-journey-2-attacker-sp-8/</t>
        </is>
      </c>
    </row>
    <row r="400">
      <c r="B400" t="inlineStr">
        <is>
          <t>Face Stat</t>
        </is>
      </c>
      <c r="C400" t="inlineStr">
        <is>
          <t>OVR</t>
        </is>
      </c>
      <c r="D400" t="n">
        <v>2</v>
      </c>
      <c r="E400" t="n">
        <v>90</v>
      </c>
      <c r="F400" t="inlineStr">
        <is>
          <t>+2 OVR 90</t>
        </is>
      </c>
      <c r="G400" t="inlineStr">
        <is>
          <t>WTSS Journey 2 - Attacker [SP 8] - EA SPORTS FC 26</t>
        </is>
      </c>
      <c r="H400" t="inlineStr">
        <is>
          <t>Reward</t>
        </is>
      </c>
      <c r="I400" t="inlineStr">
        <is>
          <t>Standard Season Pass</t>
        </is>
      </c>
      <c r="J400" t="inlineStr">
        <is>
          <t>https://www.fut.gg/evolutions/1931-wtss-journey-2-attacker-sp-8/</t>
        </is>
      </c>
    </row>
    <row r="401">
      <c r="B401" t="inlineStr">
        <is>
          <t>Sub Stat</t>
        </is>
      </c>
      <c r="C401" t="inlineStr">
        <is>
          <t>Acceleration</t>
        </is>
      </c>
      <c r="D401" t="n">
        <v>10</v>
      </c>
      <c r="E401" t="n">
        <v>90</v>
      </c>
      <c r="F401" t="inlineStr">
        <is>
          <t>+10 Acceleration 90</t>
        </is>
      </c>
      <c r="G401" t="inlineStr">
        <is>
          <t>WTSS Journey 2 - Attacker [SP 8] - EA SPORTS FC 26</t>
        </is>
      </c>
      <c r="H401" t="inlineStr">
        <is>
          <t>Reward</t>
        </is>
      </c>
      <c r="I401" t="inlineStr">
        <is>
          <t>Standard Season Pass</t>
        </is>
      </c>
      <c r="J401" t="inlineStr">
        <is>
          <t>https://www.fut.gg/evolutions/1931-wtss-journey-2-attacker-sp-8/</t>
        </is>
      </c>
    </row>
    <row r="402">
      <c r="B402" t="inlineStr">
        <is>
          <t>Sub Stat</t>
        </is>
      </c>
      <c r="C402" t="inlineStr">
        <is>
          <t>Sprint Speed</t>
        </is>
      </c>
      <c r="D402" t="n">
        <v>10</v>
      </c>
      <c r="E402" t="n">
        <v>90</v>
      </c>
      <c r="F402" t="inlineStr">
        <is>
          <t>+10 Sprint Speed 90</t>
        </is>
      </c>
      <c r="G402" t="inlineStr">
        <is>
          <t>WTSS Journey 2 - Attacker [SP 8] - EA SPORTS FC 26</t>
        </is>
      </c>
      <c r="H402" t="inlineStr">
        <is>
          <t>Reward</t>
        </is>
      </c>
      <c r="I402" t="inlineStr">
        <is>
          <t>Standard Season Pass</t>
        </is>
      </c>
      <c r="J402" t="inlineStr">
        <is>
          <t>https://www.fut.gg/evolutions/1931-wtss-journey-2-attacker-sp-8/</t>
        </is>
      </c>
    </row>
    <row r="403">
      <c r="B403" t="inlineStr">
        <is>
          <t>Sub Stat</t>
        </is>
      </c>
      <c r="C403" t="inlineStr">
        <is>
          <t>Finishing</t>
        </is>
      </c>
      <c r="D403" t="n">
        <v>10</v>
      </c>
      <c r="E403" t="n">
        <v>90</v>
      </c>
      <c r="F403" t="inlineStr">
        <is>
          <t>+10 Finishing 90</t>
        </is>
      </c>
      <c r="G403" t="inlineStr">
        <is>
          <t>WTSS Journey 2 - Attacker [SP 8] - EA SPORTS FC 26</t>
        </is>
      </c>
      <c r="H403" t="inlineStr">
        <is>
          <t>Reward</t>
        </is>
      </c>
      <c r="I403" t="inlineStr">
        <is>
          <t>Standard Season Pass</t>
        </is>
      </c>
      <c r="J403" t="inlineStr">
        <is>
          <t>https://www.fut.gg/evolutions/1931-wtss-journey-2-attacker-sp-8/</t>
        </is>
      </c>
    </row>
    <row r="404">
      <c r="B404" t="inlineStr">
        <is>
          <t>Sub Stat</t>
        </is>
      </c>
      <c r="C404" t="inlineStr">
        <is>
          <t>Positioning</t>
        </is>
      </c>
      <c r="D404" t="n">
        <v>10</v>
      </c>
      <c r="E404" t="n">
        <v>90</v>
      </c>
      <c r="F404" t="inlineStr">
        <is>
          <t>+10 Positioning 90</t>
        </is>
      </c>
      <c r="G404" t="inlineStr">
        <is>
          <t>WTSS Journey 2 - Attacker [SP 8] - EA SPORTS FC 26</t>
        </is>
      </c>
      <c r="H404" t="inlineStr">
        <is>
          <t>Reward</t>
        </is>
      </c>
      <c r="I404" t="inlineStr">
        <is>
          <t>Standard Season Pass</t>
        </is>
      </c>
      <c r="J404" t="inlineStr">
        <is>
          <t>https://www.fut.gg/evolutions/1931-wtss-journey-2-attacker-sp-8/</t>
        </is>
      </c>
    </row>
    <row r="405">
      <c r="B405" t="inlineStr">
        <is>
          <t>Face Stat</t>
        </is>
      </c>
      <c r="C405" t="inlineStr">
        <is>
          <t>OVR</t>
        </is>
      </c>
      <c r="D405" t="n">
        <v>2</v>
      </c>
      <c r="E405" t="n">
        <v>90</v>
      </c>
      <c r="F405" t="inlineStr">
        <is>
          <t>+2 OVR 90</t>
        </is>
      </c>
      <c r="G405" t="inlineStr">
        <is>
          <t>WTSS Journey 2 - Defender [SP 8] - EA SPORTS FC 26</t>
        </is>
      </c>
      <c r="H405" t="inlineStr">
        <is>
          <t>Reward</t>
        </is>
      </c>
      <c r="I405" t="inlineStr">
        <is>
          <t>Standard Season Pass</t>
        </is>
      </c>
      <c r="J405" t="inlineStr">
        <is>
          <t>https://www.fut.gg/evolutions/1930-wtss-journey-2-defender-sp-8/</t>
        </is>
      </c>
    </row>
    <row r="406">
      <c r="B406" t="inlineStr">
        <is>
          <t>Face Stat</t>
        </is>
      </c>
      <c r="C406" t="inlineStr">
        <is>
          <t>PAC</t>
        </is>
      </c>
      <c r="D406" t="n">
        <v>2</v>
      </c>
      <c r="E406" t="n">
        <v>87</v>
      </c>
      <c r="F406" t="inlineStr">
        <is>
          <t>+2 PAC 87</t>
        </is>
      </c>
      <c r="G406" t="inlineStr">
        <is>
          <t>WTSS Journey 2 - Defender [SP 8] - EA SPORTS FC 26</t>
        </is>
      </c>
      <c r="H406" t="inlineStr">
        <is>
          <t>Reward</t>
        </is>
      </c>
      <c r="I406" t="inlineStr">
        <is>
          <t>Standard Season Pass</t>
        </is>
      </c>
      <c r="J406" t="inlineStr">
        <is>
          <t>https://www.fut.gg/evolutions/1930-wtss-journey-2-defender-sp-8/</t>
        </is>
      </c>
    </row>
    <row r="407">
      <c r="B407" t="inlineStr">
        <is>
          <t>Sub Stat</t>
        </is>
      </c>
      <c r="C407" t="inlineStr">
        <is>
          <t>Agility</t>
        </is>
      </c>
      <c r="D407" t="n">
        <v>5</v>
      </c>
      <c r="E407" t="n">
        <v>88</v>
      </c>
      <c r="F407" t="inlineStr">
        <is>
          <t>+5 Agility 88</t>
        </is>
      </c>
      <c r="G407" t="inlineStr">
        <is>
          <t>WTSS Journey 2 - Defender [SP 8] - EA SPORTS FC 26</t>
        </is>
      </c>
      <c r="H407" t="inlineStr">
        <is>
          <t>Reward</t>
        </is>
      </c>
      <c r="I407" t="inlineStr">
        <is>
          <t>Standard Season Pass</t>
        </is>
      </c>
      <c r="J407" t="inlineStr">
        <is>
          <t>https://www.fut.gg/evolutions/1930-wtss-journey-2-defender-sp-8/</t>
        </is>
      </c>
    </row>
    <row r="408">
      <c r="B408" t="inlineStr">
        <is>
          <t>Sub Stat</t>
        </is>
      </c>
      <c r="C408" t="inlineStr">
        <is>
          <t>Balance</t>
        </is>
      </c>
      <c r="D408" t="n">
        <v>5</v>
      </c>
      <c r="E408" t="n">
        <v>88</v>
      </c>
      <c r="F408" t="inlineStr">
        <is>
          <t>+5 Balance 88</t>
        </is>
      </c>
      <c r="G408" t="inlineStr">
        <is>
          <t>WTSS Journey 2 - Defender [SP 8] - EA SPORTS FC 26</t>
        </is>
      </c>
      <c r="H408" t="inlineStr">
        <is>
          <t>Reward</t>
        </is>
      </c>
      <c r="I408" t="inlineStr">
        <is>
          <t>Standard Season Pass</t>
        </is>
      </c>
      <c r="J408" t="inlineStr">
        <is>
          <t>https://www.fut.gg/evolutions/1930-wtss-journey-2-defender-sp-8/</t>
        </is>
      </c>
    </row>
    <row r="409">
      <c r="B409" t="inlineStr">
        <is>
          <t>Sub Stat</t>
        </is>
      </c>
      <c r="C409" t="inlineStr">
        <is>
          <t>Reactions</t>
        </is>
      </c>
      <c r="D409" t="n">
        <v>5</v>
      </c>
      <c r="E409" t="n">
        <v>90</v>
      </c>
      <c r="F409" t="inlineStr">
        <is>
          <t>+5 Reactions 90</t>
        </is>
      </c>
      <c r="G409" t="inlineStr">
        <is>
          <t>WTSS Journey 2 - Defender [SP 8] - EA SPORTS FC 26</t>
        </is>
      </c>
      <c r="H409" t="inlineStr">
        <is>
          <t>Reward</t>
        </is>
      </c>
      <c r="I409" t="inlineStr">
        <is>
          <t>Standard Season Pass</t>
        </is>
      </c>
      <c r="J409" t="inlineStr">
        <is>
          <t>https://www.fut.gg/evolutions/1930-wtss-journey-2-defender-sp-8/</t>
        </is>
      </c>
    </row>
    <row r="410">
      <c r="B410" t="inlineStr">
        <is>
          <t>Sub Stat</t>
        </is>
      </c>
      <c r="C410" t="inlineStr">
        <is>
          <t>Composure</t>
        </is>
      </c>
      <c r="D410" t="n">
        <v>5</v>
      </c>
      <c r="E410" t="n">
        <v>90</v>
      </c>
      <c r="F410" t="inlineStr">
        <is>
          <t>+5 Composure 90</t>
        </is>
      </c>
      <c r="G410" t="inlineStr">
        <is>
          <t>WTSS Journey 2 - Defender [SP 8] - EA SPORTS FC 26</t>
        </is>
      </c>
      <c r="H410" t="inlineStr">
        <is>
          <t>Reward</t>
        </is>
      </c>
      <c r="I410" t="inlineStr">
        <is>
          <t>Standard Season Pass</t>
        </is>
      </c>
      <c r="J410" t="inlineStr">
        <is>
          <t>https://www.fut.gg/evolutions/1930-wtss-journey-2-defender-sp-8/</t>
        </is>
      </c>
    </row>
    <row r="411">
      <c r="B411" t="inlineStr">
        <is>
          <t>Sub Stat</t>
        </is>
      </c>
      <c r="C411" t="inlineStr">
        <is>
          <t>Standing Tackle</t>
        </is>
      </c>
      <c r="D411" t="n">
        <v>10</v>
      </c>
      <c r="E411" t="n">
        <v>92</v>
      </c>
      <c r="F411" t="inlineStr">
        <is>
          <t>+10 Standing Tackle 92</t>
        </is>
      </c>
      <c r="G411" t="inlineStr">
        <is>
          <t>WTSS Journey 2 - Defender [SP 8] - EA SPORTS FC 26</t>
        </is>
      </c>
      <c r="H411" t="inlineStr">
        <is>
          <t>Reward</t>
        </is>
      </c>
      <c r="I411" t="inlineStr">
        <is>
          <t>Standard Season Pass</t>
        </is>
      </c>
      <c r="J411" t="inlineStr">
        <is>
          <t>https://www.fut.gg/evolutions/1930-wtss-journey-2-defender-sp-8/</t>
        </is>
      </c>
    </row>
    <row r="412">
      <c r="B412" t="inlineStr">
        <is>
          <t>Sub Stat</t>
        </is>
      </c>
      <c r="C412" t="inlineStr">
        <is>
          <t>Sliding Tackle</t>
        </is>
      </c>
      <c r="D412" t="n">
        <v>10</v>
      </c>
      <c r="E412" t="n">
        <v>92</v>
      </c>
      <c r="F412" t="inlineStr">
        <is>
          <t>+10 Sliding Tackle 92</t>
        </is>
      </c>
      <c r="G412" t="inlineStr">
        <is>
          <t>WTSS Journey 2 - Defender [SP 8] - EA SPORTS FC 26</t>
        </is>
      </c>
      <c r="H412" t="inlineStr">
        <is>
          <t>Reward</t>
        </is>
      </c>
      <c r="I412" t="inlineStr">
        <is>
          <t>Standard Season Pass</t>
        </is>
      </c>
      <c r="J412" t="inlineStr">
        <is>
          <t>https://www.fut.gg/evolutions/1930-wtss-journey-2-defender-sp-8/</t>
        </is>
      </c>
    </row>
    <row r="413">
      <c r="B413" t="inlineStr">
        <is>
          <t>Sub Stat</t>
        </is>
      </c>
      <c r="C413" t="inlineStr">
        <is>
          <t>Interceptions</t>
        </is>
      </c>
      <c r="D413" t="n">
        <v>10</v>
      </c>
      <c r="E413" t="n">
        <v>93</v>
      </c>
      <c r="F413" t="inlineStr">
        <is>
          <t>+10 Interceptions 93</t>
        </is>
      </c>
      <c r="G413" t="inlineStr">
        <is>
          <t>WTSS Journey 2 - Defender [SP 8] - EA SPORTS FC 26</t>
        </is>
      </c>
      <c r="H413" t="inlineStr">
        <is>
          <t>Reward</t>
        </is>
      </c>
      <c r="I413" t="inlineStr">
        <is>
          <t>Standard Season Pass</t>
        </is>
      </c>
      <c r="J413" t="inlineStr">
        <is>
          <t>https://www.fut.gg/evolutions/1930-wtss-journey-2-defender-sp-8/</t>
        </is>
      </c>
    </row>
    <row r="414">
      <c r="B414" t="inlineStr">
        <is>
          <t>Sub Stat</t>
        </is>
      </c>
      <c r="C414" t="inlineStr">
        <is>
          <t>Heading Accuracy</t>
        </is>
      </c>
      <c r="D414" t="n">
        <v>10</v>
      </c>
      <c r="E414" t="n">
        <v>94</v>
      </c>
      <c r="F414" t="inlineStr">
        <is>
          <t>+10 Heading Acc. 94</t>
        </is>
      </c>
      <c r="G414" t="inlineStr">
        <is>
          <t>WTSS Journey 2 - Defender [SP 8] - EA SPORTS FC 26</t>
        </is>
      </c>
      <c r="H414" t="inlineStr">
        <is>
          <t>Reward</t>
        </is>
      </c>
      <c r="I414" t="inlineStr">
        <is>
          <t>Standard Season Pass</t>
        </is>
      </c>
      <c r="J414" t="inlineStr">
        <is>
          <t>https://www.fut.gg/evolutions/1930-wtss-journey-2-defender-sp-8/</t>
        </is>
      </c>
    </row>
    <row r="415">
      <c r="B415" t="inlineStr">
        <is>
          <t>Sub Stat</t>
        </is>
      </c>
      <c r="C415" t="inlineStr">
        <is>
          <t>Defensive Awareness</t>
        </is>
      </c>
      <c r="D415" t="n">
        <v>10</v>
      </c>
      <c r="E415" t="n">
        <v>90</v>
      </c>
      <c r="F415" t="inlineStr">
        <is>
          <t>+10 Defensive Awareness 90</t>
        </is>
      </c>
      <c r="G415" t="inlineStr">
        <is>
          <t>WTSS Journey 2 - Defender [SP 8] - EA SPORTS FC 26</t>
        </is>
      </c>
      <c r="H415" t="inlineStr">
        <is>
          <t>Reward</t>
        </is>
      </c>
      <c r="I415" t="inlineStr">
        <is>
          <t>Standard Season Pass</t>
        </is>
      </c>
      <c r="J415" t="inlineStr">
        <is>
          <t>https://www.fut.gg/evolutions/1930-wtss-journey-2-defender-sp-8/</t>
        </is>
      </c>
    </row>
    <row r="416">
      <c r="B416" t="inlineStr">
        <is>
          <t>Face Stat</t>
        </is>
      </c>
      <c r="C416" t="inlineStr">
        <is>
          <t>OVR</t>
        </is>
      </c>
      <c r="D416" t="n">
        <v>2</v>
      </c>
      <c r="E416" t="n">
        <v>90</v>
      </c>
      <c r="F416" t="inlineStr">
        <is>
          <t>+2 OVR 90</t>
        </is>
      </c>
      <c r="G416" t="inlineStr">
        <is>
          <t>WTSS Journey 2 - Defender [SP 8] - EA SPORTS FC 26</t>
        </is>
      </c>
      <c r="H416" t="inlineStr">
        <is>
          <t>Reward</t>
        </is>
      </c>
      <c r="I416" t="inlineStr">
        <is>
          <t>Standard Season Pass</t>
        </is>
      </c>
      <c r="J416" t="inlineStr">
        <is>
          <t>https://www.fut.gg/evolutions/1930-wtss-journey-2-defender-sp-8/</t>
        </is>
      </c>
    </row>
    <row r="417">
      <c r="B417" t="inlineStr">
        <is>
          <t>Face Stat</t>
        </is>
      </c>
      <c r="C417" t="inlineStr">
        <is>
          <t>PAC</t>
        </is>
      </c>
      <c r="D417" t="n">
        <v>2</v>
      </c>
      <c r="E417" t="n">
        <v>87</v>
      </c>
      <c r="F417" t="inlineStr">
        <is>
          <t>+2 PAC 87</t>
        </is>
      </c>
      <c r="G417" t="inlineStr">
        <is>
          <t>WTSS Journey 2 - Defender [SP 8] - EA SPORTS FC 26</t>
        </is>
      </c>
      <c r="H417" t="inlineStr">
        <is>
          <t>Reward</t>
        </is>
      </c>
      <c r="I417" t="inlineStr">
        <is>
          <t>Standard Season Pass</t>
        </is>
      </c>
      <c r="J417" t="inlineStr">
        <is>
          <t>https://www.fut.gg/evolutions/1930-wtss-journey-2-defender-sp-8/</t>
        </is>
      </c>
    </row>
    <row r="418">
      <c r="B418" t="inlineStr">
        <is>
          <t>Sub Stat</t>
        </is>
      </c>
      <c r="C418" t="inlineStr">
        <is>
          <t>Agility</t>
        </is>
      </c>
      <c r="D418" t="n">
        <v>5</v>
      </c>
      <c r="E418" t="n">
        <v>88</v>
      </c>
      <c r="F418" t="inlineStr">
        <is>
          <t>+5 Agility 88</t>
        </is>
      </c>
      <c r="G418" t="inlineStr">
        <is>
          <t>WTSS Journey 2 - Defender [SP 8] - EA SPORTS FC 26</t>
        </is>
      </c>
      <c r="H418" t="inlineStr">
        <is>
          <t>Reward</t>
        </is>
      </c>
      <c r="I418" t="inlineStr">
        <is>
          <t>Standard Season Pass</t>
        </is>
      </c>
      <c r="J418" t="inlineStr">
        <is>
          <t>https://www.fut.gg/evolutions/1930-wtss-journey-2-defender-sp-8/</t>
        </is>
      </c>
    </row>
    <row r="419">
      <c r="B419" t="inlineStr">
        <is>
          <t>Face Stat</t>
        </is>
      </c>
      <c r="C419" t="inlineStr">
        <is>
          <t>OVR</t>
        </is>
      </c>
      <c r="D419" t="n">
        <v>2</v>
      </c>
      <c r="E419" t="n">
        <v>92</v>
      </c>
      <c r="F419" t="inlineStr">
        <is>
          <t>+2 OVR 92</t>
        </is>
      </c>
      <c r="G419" t="inlineStr">
        <is>
          <t>WTSS Journey 3 - Attacker [SP 21] - EA SPORTS FC 26</t>
        </is>
      </c>
      <c r="H419" t="inlineStr">
        <is>
          <t>Reward</t>
        </is>
      </c>
      <c r="I419" t="inlineStr">
        <is>
          <t>Standard Season Pass</t>
        </is>
      </c>
      <c r="J419" t="inlineStr">
        <is>
          <t>https://www.fut.gg/evolutions/1929-wtss-journey-3-attacker-sp-21/</t>
        </is>
      </c>
    </row>
    <row r="420">
      <c r="B420" t="inlineStr">
        <is>
          <t>Skill</t>
        </is>
      </c>
      <c r="C420" t="inlineStr">
        <is>
          <t>SM</t>
        </is>
      </c>
      <c r="D420" t="n">
        <v>4</v>
      </c>
      <c r="F420" t="inlineStr">
        <is>
          <t>+4 SM</t>
        </is>
      </c>
      <c r="G420" t="inlineStr">
        <is>
          <t>WTSS Journey 3 - Attacker [SP 21] - EA SPORTS FC 26</t>
        </is>
      </c>
      <c r="H420" t="inlineStr">
        <is>
          <t>Reward</t>
        </is>
      </c>
      <c r="I420" t="inlineStr">
        <is>
          <t>Standard Season Pass</t>
        </is>
      </c>
      <c r="J420" t="inlineStr">
        <is>
          <t>https://www.fut.gg/evolutions/1929-wtss-journey-3-attacker-sp-21/</t>
        </is>
      </c>
    </row>
    <row r="421">
      <c r="B421" t="inlineStr">
        <is>
          <t>Sub Stat</t>
        </is>
      </c>
      <c r="C421" t="inlineStr">
        <is>
          <t>Acceleration</t>
        </is>
      </c>
      <c r="D421" t="n">
        <v>5</v>
      </c>
      <c r="E421" t="n">
        <v>92</v>
      </c>
      <c r="F421" t="inlineStr">
        <is>
          <t>+5 Acceleration 92</t>
        </is>
      </c>
      <c r="G421" t="inlineStr">
        <is>
          <t>WTSS Journey 3 - Attacker [SP 21] - EA SPORTS FC 26</t>
        </is>
      </c>
      <c r="H421" t="inlineStr">
        <is>
          <t>Reward</t>
        </is>
      </c>
      <c r="I421" t="inlineStr">
        <is>
          <t>Standard Season Pass</t>
        </is>
      </c>
      <c r="J421" t="inlineStr">
        <is>
          <t>https://www.fut.gg/evolutions/1929-wtss-journey-3-attacker-sp-21/</t>
        </is>
      </c>
    </row>
    <row r="422">
      <c r="B422" t="inlineStr">
        <is>
          <t>Sub Stat</t>
        </is>
      </c>
      <c r="C422" t="inlineStr">
        <is>
          <t>Sprint Speed</t>
        </is>
      </c>
      <c r="D422" t="n">
        <v>5</v>
      </c>
      <c r="E422" t="n">
        <v>92</v>
      </c>
      <c r="F422" t="inlineStr">
        <is>
          <t>+5 Sprint Speed 92</t>
        </is>
      </c>
      <c r="G422" t="inlineStr">
        <is>
          <t>WTSS Journey 3 - Attacker [SP 21] - EA SPORTS FC 26</t>
        </is>
      </c>
      <c r="H422" t="inlineStr">
        <is>
          <t>Reward</t>
        </is>
      </c>
      <c r="I422" t="inlineStr">
        <is>
          <t>Standard Season Pass</t>
        </is>
      </c>
      <c r="J422" t="inlineStr">
        <is>
          <t>https://www.fut.gg/evolutions/1929-wtss-journey-3-attacker-sp-21/</t>
        </is>
      </c>
    </row>
    <row r="423">
      <c r="B423" t="inlineStr">
        <is>
          <t>Sub Stat</t>
        </is>
      </c>
      <c r="C423" t="inlineStr">
        <is>
          <t>Positioning</t>
        </is>
      </c>
      <c r="D423" t="n">
        <v>5</v>
      </c>
      <c r="E423" t="n">
        <v>93</v>
      </c>
      <c r="F423" t="inlineStr">
        <is>
          <t>+5 Positioning 93</t>
        </is>
      </c>
      <c r="G423" t="inlineStr">
        <is>
          <t>WTSS Journey 3 - Attacker [SP 21] - EA SPORTS FC 26</t>
        </is>
      </c>
      <c r="H423" t="inlineStr">
        <is>
          <t>Reward</t>
        </is>
      </c>
      <c r="I423" t="inlineStr">
        <is>
          <t>Standard Season Pass</t>
        </is>
      </c>
      <c r="J423" t="inlineStr">
        <is>
          <t>https://www.fut.gg/evolutions/1929-wtss-journey-3-attacker-sp-21/</t>
        </is>
      </c>
    </row>
    <row r="424">
      <c r="B424" t="inlineStr">
        <is>
          <t>Sub Stat</t>
        </is>
      </c>
      <c r="C424" t="inlineStr">
        <is>
          <t>Finishing</t>
        </is>
      </c>
      <c r="D424" t="n">
        <v>5</v>
      </c>
      <c r="E424" t="n">
        <v>94</v>
      </c>
      <c r="F424" t="inlineStr">
        <is>
          <t>+5 Finishing 94</t>
        </is>
      </c>
      <c r="G424" t="inlineStr">
        <is>
          <t>WTSS Journey 3 - Attacker [SP 21] - EA SPORTS FC 26</t>
        </is>
      </c>
      <c r="H424" t="inlineStr">
        <is>
          <t>Reward</t>
        </is>
      </c>
      <c r="I424" t="inlineStr">
        <is>
          <t>Standard Season Pass</t>
        </is>
      </c>
      <c r="J424" t="inlineStr">
        <is>
          <t>https://www.fut.gg/evolutions/1929-wtss-journey-3-attacker-sp-21/</t>
        </is>
      </c>
    </row>
    <row r="425">
      <c r="B425" t="inlineStr">
        <is>
          <t>Sub Stat</t>
        </is>
      </c>
      <c r="C425" t="inlineStr">
        <is>
          <t>Curve</t>
        </is>
      </c>
      <c r="D425" t="n">
        <v>5</v>
      </c>
      <c r="E425" t="n">
        <v>93</v>
      </c>
      <c r="F425" t="inlineStr">
        <is>
          <t>+5 Curve 93</t>
        </is>
      </c>
      <c r="G425" t="inlineStr">
        <is>
          <t>WTSS Journey 3 - Attacker [SP 21] - EA SPORTS FC 26</t>
        </is>
      </c>
      <c r="H425" t="inlineStr">
        <is>
          <t>Reward</t>
        </is>
      </c>
      <c r="I425" t="inlineStr">
        <is>
          <t>Standard Season Pass</t>
        </is>
      </c>
      <c r="J425" t="inlineStr">
        <is>
          <t>https://www.fut.gg/evolutions/1929-wtss-journey-3-attacker-sp-21/</t>
        </is>
      </c>
    </row>
    <row r="426">
      <c r="B426" t="inlineStr">
        <is>
          <t>Sub Stat</t>
        </is>
      </c>
      <c r="C426" t="inlineStr">
        <is>
          <t>Balance</t>
        </is>
      </c>
      <c r="D426" t="n">
        <v>5</v>
      </c>
      <c r="E426" t="n">
        <v>94</v>
      </c>
      <c r="F426" t="inlineStr">
        <is>
          <t>+5 Balance 94</t>
        </is>
      </c>
      <c r="G426" t="inlineStr">
        <is>
          <t>WTSS Journey 3 - Attacker [SP 21] - EA SPORTS FC 26</t>
        </is>
      </c>
      <c r="H426" t="inlineStr">
        <is>
          <t>Reward</t>
        </is>
      </c>
      <c r="I426" t="inlineStr">
        <is>
          <t>Standard Season Pass</t>
        </is>
      </c>
      <c r="J426" t="inlineStr">
        <is>
          <t>https://www.fut.gg/evolutions/1929-wtss-journey-3-attacker-sp-21/</t>
        </is>
      </c>
    </row>
    <row r="427">
      <c r="B427" t="inlineStr">
        <is>
          <t>Sub Stat</t>
        </is>
      </c>
      <c r="C427" t="inlineStr">
        <is>
          <t>Reactions</t>
        </is>
      </c>
      <c r="D427" t="n">
        <v>5</v>
      </c>
      <c r="E427" t="n">
        <v>93</v>
      </c>
      <c r="F427" t="inlineStr">
        <is>
          <t>+5 Reactions 93</t>
        </is>
      </c>
      <c r="G427" t="inlineStr">
        <is>
          <t>WTSS Journey 3 - Attacker [SP 21] - EA SPORTS FC 26</t>
        </is>
      </c>
      <c r="H427" t="inlineStr">
        <is>
          <t>Reward</t>
        </is>
      </c>
      <c r="I427" t="inlineStr">
        <is>
          <t>Standard Season Pass</t>
        </is>
      </c>
      <c r="J427" t="inlineStr">
        <is>
          <t>https://www.fut.gg/evolutions/1929-wtss-journey-3-attacker-sp-21/</t>
        </is>
      </c>
    </row>
    <row r="428">
      <c r="B428" t="inlineStr">
        <is>
          <t>Sub Stat</t>
        </is>
      </c>
      <c r="C428" t="inlineStr">
        <is>
          <t>Ball Control</t>
        </is>
      </c>
      <c r="D428" t="n">
        <v>5</v>
      </c>
      <c r="E428" t="n">
        <v>94</v>
      </c>
      <c r="F428" t="inlineStr">
        <is>
          <t>+5 Ball Control 94</t>
        </is>
      </c>
      <c r="G428" t="inlineStr">
        <is>
          <t>WTSS Journey 3 - Attacker [SP 21] - EA SPORTS FC 26</t>
        </is>
      </c>
      <c r="H428" t="inlineStr">
        <is>
          <t>Reward</t>
        </is>
      </c>
      <c r="I428" t="inlineStr">
        <is>
          <t>Standard Season Pass</t>
        </is>
      </c>
      <c r="J428" t="inlineStr">
        <is>
          <t>https://www.fut.gg/evolutions/1929-wtss-journey-3-attacker-sp-21/</t>
        </is>
      </c>
    </row>
    <row r="429">
      <c r="B429" t="inlineStr">
        <is>
          <t>Sub Stat</t>
        </is>
      </c>
      <c r="C429" t="inlineStr">
        <is>
          <t>Dribbling</t>
        </is>
      </c>
      <c r="D429" t="n">
        <v>5</v>
      </c>
      <c r="E429" t="n">
        <v>94</v>
      </c>
      <c r="F429" t="inlineStr">
        <is>
          <t>+5 Dribbling 94</t>
        </is>
      </c>
      <c r="G429" t="inlineStr">
        <is>
          <t>WTSS Journey 3 - Attacker [SP 21] - EA SPORTS FC 26</t>
        </is>
      </c>
      <c r="H429" t="inlineStr">
        <is>
          <t>Reward</t>
        </is>
      </c>
      <c r="I429" t="inlineStr">
        <is>
          <t>Standard Season Pass</t>
        </is>
      </c>
      <c r="J429" t="inlineStr">
        <is>
          <t>https://www.fut.gg/evolutions/1929-wtss-journey-3-attacker-sp-21/</t>
        </is>
      </c>
    </row>
    <row r="430">
      <c r="B430" t="inlineStr">
        <is>
          <t>Sub Stat</t>
        </is>
      </c>
      <c r="C430" t="inlineStr">
        <is>
          <t>Composure</t>
        </is>
      </c>
      <c r="D430" t="n">
        <v>5</v>
      </c>
      <c r="E430" t="n">
        <v>93</v>
      </c>
      <c r="F430" t="inlineStr">
        <is>
          <t>+5 Composure 93</t>
        </is>
      </c>
      <c r="G430" t="inlineStr">
        <is>
          <t>WTSS Journey 3 - Attacker [SP 21] - EA SPORTS FC 26</t>
        </is>
      </c>
      <c r="H430" t="inlineStr">
        <is>
          <t>Reward</t>
        </is>
      </c>
      <c r="I430" t="inlineStr">
        <is>
          <t>Standard Season Pass</t>
        </is>
      </c>
      <c r="J430" t="inlineStr">
        <is>
          <t>https://www.fut.gg/evolutions/1929-wtss-journey-3-attacker-sp-21/</t>
        </is>
      </c>
    </row>
    <row r="431">
      <c r="B431" t="inlineStr">
        <is>
          <t>Face Stat</t>
        </is>
      </c>
      <c r="C431" t="inlineStr">
        <is>
          <t>OVR</t>
        </is>
      </c>
      <c r="D431" t="n">
        <v>2</v>
      </c>
      <c r="E431" t="n">
        <v>92</v>
      </c>
      <c r="F431" t="inlineStr">
        <is>
          <t>+2 OVR 92</t>
        </is>
      </c>
      <c r="G431" t="inlineStr">
        <is>
          <t>WTSS Journey 3 - Attacker [SP 21] - EA SPORTS FC 26</t>
        </is>
      </c>
      <c r="H431" t="inlineStr">
        <is>
          <t>Reward</t>
        </is>
      </c>
      <c r="I431" t="inlineStr">
        <is>
          <t>Standard Season Pass</t>
        </is>
      </c>
      <c r="J431" t="inlineStr">
        <is>
          <t>https://www.fut.gg/evolutions/1929-wtss-journey-3-attacker-sp-21/</t>
        </is>
      </c>
    </row>
    <row r="432">
      <c r="B432" t="inlineStr">
        <is>
          <t>Sub Stat</t>
        </is>
      </c>
      <c r="C432" t="inlineStr">
        <is>
          <t>Acceleration</t>
        </is>
      </c>
      <c r="D432" t="n">
        <v>5</v>
      </c>
      <c r="E432" t="n">
        <v>92</v>
      </c>
      <c r="F432" t="inlineStr">
        <is>
          <t>+5 Acceleration 92</t>
        </is>
      </c>
      <c r="G432" t="inlineStr">
        <is>
          <t>WTSS Journey 3 - Attacker [SP 21] - EA SPORTS FC 26</t>
        </is>
      </c>
      <c r="H432" t="inlineStr">
        <is>
          <t>Reward</t>
        </is>
      </c>
      <c r="I432" t="inlineStr">
        <is>
          <t>Standard Season Pass</t>
        </is>
      </c>
      <c r="J432" t="inlineStr">
        <is>
          <t>https://www.fut.gg/evolutions/1929-wtss-journey-3-attacker-sp-21/</t>
        </is>
      </c>
    </row>
    <row r="433">
      <c r="B433" t="inlineStr">
        <is>
          <t>Sub Stat</t>
        </is>
      </c>
      <c r="C433" t="inlineStr">
        <is>
          <t>Sprint Speed</t>
        </is>
      </c>
      <c r="D433" t="n">
        <v>5</v>
      </c>
      <c r="E433" t="n">
        <v>92</v>
      </c>
      <c r="F433" t="inlineStr">
        <is>
          <t>+5 Sprint Speed 92</t>
        </is>
      </c>
      <c r="G433" t="inlineStr">
        <is>
          <t>WTSS Journey 3 - Attacker [SP 21] - EA SPORTS FC 26</t>
        </is>
      </c>
      <c r="H433" t="inlineStr">
        <is>
          <t>Reward</t>
        </is>
      </c>
      <c r="I433" t="inlineStr">
        <is>
          <t>Standard Season Pass</t>
        </is>
      </c>
      <c r="J433" t="inlineStr">
        <is>
          <t>https://www.fut.gg/evolutions/1929-wtss-journey-3-attacker-sp-21/</t>
        </is>
      </c>
    </row>
    <row r="434">
      <c r="B434" t="inlineStr">
        <is>
          <t>Face Stat</t>
        </is>
      </c>
      <c r="C434" t="inlineStr">
        <is>
          <t>OVR</t>
        </is>
      </c>
      <c r="D434" t="n">
        <v>2</v>
      </c>
      <c r="E434" t="n">
        <v>92</v>
      </c>
      <c r="F434" t="inlineStr">
        <is>
          <t>+2 OVR 92</t>
        </is>
      </c>
      <c r="G434" t="inlineStr">
        <is>
          <t>WTSS Journey 3 - Defender [SP 21] - EA SPORTS FC 26</t>
        </is>
      </c>
      <c r="H434" t="inlineStr">
        <is>
          <t>Reward</t>
        </is>
      </c>
      <c r="I434" t="inlineStr">
        <is>
          <t>Standard Season Pass</t>
        </is>
      </c>
      <c r="J434" t="inlineStr">
        <is>
          <t>https://www.fut.gg/evolutions/1928-wtss-journey-3-defender-sp-21/</t>
        </is>
      </c>
    </row>
    <row r="435">
      <c r="B435" t="inlineStr">
        <is>
          <t>Face Stat</t>
        </is>
      </c>
      <c r="C435" t="inlineStr">
        <is>
          <t>PAC</t>
        </is>
      </c>
      <c r="D435" t="n">
        <v>3</v>
      </c>
      <c r="E435" t="n">
        <v>90</v>
      </c>
      <c r="F435" t="inlineStr">
        <is>
          <t>+3 PAC 90</t>
        </is>
      </c>
      <c r="G435" t="inlineStr">
        <is>
          <t>WTSS Journey 3 - Defender [SP 21] - EA SPORTS FC 26</t>
        </is>
      </c>
      <c r="H435" t="inlineStr">
        <is>
          <t>Reward</t>
        </is>
      </c>
      <c r="I435" t="inlineStr">
        <is>
          <t>Standard Season Pass</t>
        </is>
      </c>
      <c r="J435" t="inlineStr">
        <is>
          <t>https://www.fut.gg/evolutions/1928-wtss-journey-3-defender-sp-21/</t>
        </is>
      </c>
    </row>
    <row r="436">
      <c r="B436" t="inlineStr">
        <is>
          <t>Skill</t>
        </is>
      </c>
      <c r="C436" t="inlineStr">
        <is>
          <t>SM</t>
        </is>
      </c>
      <c r="D436" t="n">
        <v>3</v>
      </c>
      <c r="E436" t="n">
        <v>4</v>
      </c>
      <c r="F436" t="inlineStr">
        <is>
          <t>+3 SM 4</t>
        </is>
      </c>
      <c r="G436" t="inlineStr">
        <is>
          <t>WTSS Journey 3 - Defender [SP 21] - EA SPORTS FC 26</t>
        </is>
      </c>
      <c r="H436" t="inlineStr">
        <is>
          <t>Reward</t>
        </is>
      </c>
      <c r="I436" t="inlineStr">
        <is>
          <t>Standard Season Pass</t>
        </is>
      </c>
      <c r="J436" t="inlineStr">
        <is>
          <t>https://www.fut.gg/evolutions/1928-wtss-journey-3-defender-sp-21/</t>
        </is>
      </c>
    </row>
    <row r="437">
      <c r="B437" t="inlineStr">
        <is>
          <t>Skill</t>
        </is>
      </c>
      <c r="C437" t="inlineStr">
        <is>
          <t>WF</t>
        </is>
      </c>
      <c r="D437" t="n">
        <v>4</v>
      </c>
      <c r="F437" t="inlineStr">
        <is>
          <t>+4 WF</t>
        </is>
      </c>
      <c r="G437" t="inlineStr">
        <is>
          <t>WTSS Journey 3 - Defender [SP 21] - EA SPORTS FC 26</t>
        </is>
      </c>
      <c r="H437" t="inlineStr">
        <is>
          <t>Reward</t>
        </is>
      </c>
      <c r="I437" t="inlineStr">
        <is>
          <t>Standard Season Pass</t>
        </is>
      </c>
      <c r="J437" t="inlineStr">
        <is>
          <t>https://www.fut.gg/evolutions/1928-wtss-journey-3-defender-sp-21/</t>
        </is>
      </c>
    </row>
    <row r="438">
      <c r="B438" t="inlineStr">
        <is>
          <t>Sub Stat</t>
        </is>
      </c>
      <c r="C438" t="inlineStr">
        <is>
          <t>Reactions</t>
        </is>
      </c>
      <c r="D438" t="n">
        <v>5</v>
      </c>
      <c r="E438" t="n">
        <v>93</v>
      </c>
      <c r="F438" t="inlineStr">
        <is>
          <t>+5 Reactions 93</t>
        </is>
      </c>
      <c r="G438" t="inlineStr">
        <is>
          <t>WTSS Journey 3 - Defender [SP 21] - EA SPORTS FC 26</t>
        </is>
      </c>
      <c r="H438" t="inlineStr">
        <is>
          <t>Reward</t>
        </is>
      </c>
      <c r="I438" t="inlineStr">
        <is>
          <t>Standard Season Pass</t>
        </is>
      </c>
      <c r="J438" t="inlineStr">
        <is>
          <t>https://www.fut.gg/evolutions/1928-wtss-journey-3-defender-sp-21/</t>
        </is>
      </c>
    </row>
    <row r="439">
      <c r="B439" t="inlineStr">
        <is>
          <t>Sub Stat</t>
        </is>
      </c>
      <c r="C439" t="inlineStr">
        <is>
          <t>Ball Control</t>
        </is>
      </c>
      <c r="D439" t="n">
        <v>5</v>
      </c>
      <c r="E439" t="n">
        <v>88</v>
      </c>
      <c r="F439" t="inlineStr">
        <is>
          <t>+5 Ball Control 88</t>
        </is>
      </c>
      <c r="G439" t="inlineStr">
        <is>
          <t>WTSS Journey 3 - Defender [SP 21] - EA SPORTS FC 26</t>
        </is>
      </c>
      <c r="H439" t="inlineStr">
        <is>
          <t>Reward</t>
        </is>
      </c>
      <c r="I439" t="inlineStr">
        <is>
          <t>Standard Season Pass</t>
        </is>
      </c>
      <c r="J439" t="inlineStr">
        <is>
          <t>https://www.fut.gg/evolutions/1928-wtss-journey-3-defender-sp-21/</t>
        </is>
      </c>
    </row>
    <row r="440">
      <c r="B440" t="inlineStr">
        <is>
          <t>Sub Stat</t>
        </is>
      </c>
      <c r="C440" t="inlineStr">
        <is>
          <t>Dribbling</t>
        </is>
      </c>
      <c r="D440" t="n">
        <v>5</v>
      </c>
      <c r="E440" t="n">
        <v>88</v>
      </c>
      <c r="F440" t="inlineStr">
        <is>
          <t>+5 Dribbling 88</t>
        </is>
      </c>
      <c r="G440" t="inlineStr">
        <is>
          <t>WTSS Journey 3 - Defender [SP 21] - EA SPORTS FC 26</t>
        </is>
      </c>
      <c r="H440" t="inlineStr">
        <is>
          <t>Reward</t>
        </is>
      </c>
      <c r="I440" t="inlineStr">
        <is>
          <t>Standard Season Pass</t>
        </is>
      </c>
      <c r="J440" t="inlineStr">
        <is>
          <t>https://www.fut.gg/evolutions/1928-wtss-journey-3-defender-sp-21/</t>
        </is>
      </c>
    </row>
    <row r="441">
      <c r="B441" t="inlineStr">
        <is>
          <t>Sub Stat</t>
        </is>
      </c>
      <c r="C441" t="inlineStr">
        <is>
          <t>Composure</t>
        </is>
      </c>
      <c r="D441" t="n">
        <v>5</v>
      </c>
      <c r="E441" t="n">
        <v>93</v>
      </c>
      <c r="F441" t="inlineStr">
        <is>
          <t>+5 Composure 93</t>
        </is>
      </c>
      <c r="G441" t="inlineStr">
        <is>
          <t>WTSS Journey 3 - Defender [SP 21] - EA SPORTS FC 26</t>
        </is>
      </c>
      <c r="H441" t="inlineStr">
        <is>
          <t>Reward</t>
        </is>
      </c>
      <c r="I441" t="inlineStr">
        <is>
          <t>Standard Season Pass</t>
        </is>
      </c>
      <c r="J441" t="inlineStr">
        <is>
          <t>https://www.fut.gg/evolutions/1928-wtss-journey-3-defender-sp-21/</t>
        </is>
      </c>
    </row>
    <row r="442">
      <c r="B442" t="inlineStr">
        <is>
          <t>Sub Stat</t>
        </is>
      </c>
      <c r="C442" t="inlineStr">
        <is>
          <t>Vision</t>
        </is>
      </c>
      <c r="D442" t="n">
        <v>5</v>
      </c>
      <c r="E442" t="n">
        <v>88</v>
      </c>
      <c r="F442" t="inlineStr">
        <is>
          <t>+5 Vision 88</t>
        </is>
      </c>
      <c r="G442" t="inlineStr">
        <is>
          <t>WTSS Journey 3 - Defender [SP 21] - EA SPORTS FC 26</t>
        </is>
      </c>
      <c r="H442" t="inlineStr">
        <is>
          <t>Reward</t>
        </is>
      </c>
      <c r="I442" t="inlineStr">
        <is>
          <t>Standard Season Pass</t>
        </is>
      </c>
      <c r="J442" t="inlineStr">
        <is>
          <t>https://www.fut.gg/evolutions/1928-wtss-journey-3-defender-sp-21/</t>
        </is>
      </c>
    </row>
    <row r="443">
      <c r="B443" t="inlineStr">
        <is>
          <t>Sub Stat</t>
        </is>
      </c>
      <c r="C443" t="inlineStr">
        <is>
          <t>Short Passing</t>
        </is>
      </c>
      <c r="D443" t="n">
        <v>5</v>
      </c>
      <c r="E443" t="n">
        <v>88</v>
      </c>
      <c r="F443" t="inlineStr">
        <is>
          <t>+5 Short Pass 88</t>
        </is>
      </c>
      <c r="G443" t="inlineStr">
        <is>
          <t>WTSS Journey 3 - Defender [SP 21] - EA SPORTS FC 26</t>
        </is>
      </c>
      <c r="H443" t="inlineStr">
        <is>
          <t>Reward</t>
        </is>
      </c>
      <c r="I443" t="inlineStr">
        <is>
          <t>Standard Season Pass</t>
        </is>
      </c>
      <c r="J443" t="inlineStr">
        <is>
          <t>https://www.fut.gg/evolutions/1928-wtss-journey-3-defender-sp-21/</t>
        </is>
      </c>
    </row>
    <row r="444">
      <c r="B444" t="inlineStr">
        <is>
          <t>Sub Stat</t>
        </is>
      </c>
      <c r="C444" t="inlineStr">
        <is>
          <t>Long Passing</t>
        </is>
      </c>
      <c r="D444" t="n">
        <v>5</v>
      </c>
      <c r="E444" t="n">
        <v>88</v>
      </c>
      <c r="F444" t="inlineStr">
        <is>
          <t>+5 Long Pass 88</t>
        </is>
      </c>
      <c r="G444" t="inlineStr">
        <is>
          <t>WTSS Journey 3 - Defender [SP 21] - EA SPORTS FC 26</t>
        </is>
      </c>
      <c r="H444" t="inlineStr">
        <is>
          <t>Reward</t>
        </is>
      </c>
      <c r="I444" t="inlineStr">
        <is>
          <t>Standard Season Pass</t>
        </is>
      </c>
      <c r="J444" t="inlineStr">
        <is>
          <t>https://www.fut.gg/evolutions/1928-wtss-journey-3-defender-sp-21/</t>
        </is>
      </c>
    </row>
    <row r="445">
      <c r="B445" t="inlineStr">
        <is>
          <t>Sub Stat</t>
        </is>
      </c>
      <c r="C445" t="inlineStr">
        <is>
          <t>Aggression</t>
        </is>
      </c>
      <c r="D445" t="n">
        <v>10</v>
      </c>
      <c r="E445" t="n">
        <v>88</v>
      </c>
      <c r="F445" t="inlineStr">
        <is>
          <t>+10 Aggression 88</t>
        </is>
      </c>
      <c r="G445" t="inlineStr">
        <is>
          <t>WTSS Journey 3 - Defender [SP 21] - EA SPORTS FC 26</t>
        </is>
      </c>
      <c r="H445" t="inlineStr">
        <is>
          <t>Reward</t>
        </is>
      </c>
      <c r="I445" t="inlineStr">
        <is>
          <t>Standard Season Pass</t>
        </is>
      </c>
      <c r="J445" t="inlineStr">
        <is>
          <t>https://www.fut.gg/evolutions/1928-wtss-journey-3-defender-sp-21/</t>
        </is>
      </c>
    </row>
    <row r="446">
      <c r="B446" t="inlineStr">
        <is>
          <t>Sub Stat</t>
        </is>
      </c>
      <c r="C446" t="inlineStr">
        <is>
          <t>Jumping</t>
        </is>
      </c>
      <c r="D446" t="n">
        <v>10</v>
      </c>
      <c r="E446" t="n">
        <v>90</v>
      </c>
      <c r="F446" t="inlineStr">
        <is>
          <t>+10 Jumping 90</t>
        </is>
      </c>
      <c r="G446" t="inlineStr">
        <is>
          <t>WTSS Journey 3 - Defender [SP 21] - EA SPORTS FC 26</t>
        </is>
      </c>
      <c r="H446" t="inlineStr">
        <is>
          <t>Reward</t>
        </is>
      </c>
      <c r="I446" t="inlineStr">
        <is>
          <t>Standard Season Pass</t>
        </is>
      </c>
      <c r="J446" t="inlineStr">
        <is>
          <t>https://www.fut.gg/evolutions/1928-wtss-journey-3-defender-sp-21/</t>
        </is>
      </c>
    </row>
    <row r="447">
      <c r="B447" t="inlineStr">
        <is>
          <t>Sub Stat</t>
        </is>
      </c>
      <c r="C447" t="inlineStr">
        <is>
          <t>Stamina</t>
        </is>
      </c>
      <c r="D447" t="n">
        <v>10</v>
      </c>
      <c r="E447" t="n">
        <v>95</v>
      </c>
      <c r="F447" t="inlineStr">
        <is>
          <t>+10 Stamina 95</t>
        </is>
      </c>
      <c r="G447" t="inlineStr">
        <is>
          <t>WTSS Journey 3 - Defender [SP 21] - EA SPORTS FC 26</t>
        </is>
      </c>
      <c r="H447" t="inlineStr">
        <is>
          <t>Reward</t>
        </is>
      </c>
      <c r="I447" t="inlineStr">
        <is>
          <t>Standard Season Pass</t>
        </is>
      </c>
      <c r="J447" t="inlineStr">
        <is>
          <t>https://www.fut.gg/evolutions/1928-wtss-journey-3-defender-sp-21/</t>
        </is>
      </c>
    </row>
    <row r="448">
      <c r="B448" t="inlineStr">
        <is>
          <t>Sub Stat</t>
        </is>
      </c>
      <c r="C448" t="inlineStr">
        <is>
          <t>Strength</t>
        </is>
      </c>
      <c r="D448" t="n">
        <v>10</v>
      </c>
      <c r="E448" t="n">
        <v>93</v>
      </c>
      <c r="F448" t="inlineStr">
        <is>
          <t>+10 Strength 93</t>
        </is>
      </c>
      <c r="G448" t="inlineStr">
        <is>
          <t>WTSS Journey 3 - Defender [SP 21] - EA SPORTS FC 26</t>
        </is>
      </c>
      <c r="H448" t="inlineStr">
        <is>
          <t>Reward</t>
        </is>
      </c>
      <c r="I448" t="inlineStr">
        <is>
          <t>Standard Season Pass</t>
        </is>
      </c>
      <c r="J448" t="inlineStr">
        <is>
          <t>https://www.fut.gg/evolutions/1928-wtss-journey-3-defender-sp-21/</t>
        </is>
      </c>
    </row>
    <row r="449">
      <c r="B449" t="inlineStr">
        <is>
          <t>Face Stat</t>
        </is>
      </c>
      <c r="C449" t="inlineStr">
        <is>
          <t>OVR</t>
        </is>
      </c>
      <c r="D449" t="n">
        <v>2</v>
      </c>
      <c r="E449" t="n">
        <v>92</v>
      </c>
      <c r="F449" t="inlineStr">
        <is>
          <t>+2 OVR 92</t>
        </is>
      </c>
      <c r="G449" t="inlineStr">
        <is>
          <t>WTSS Journey 3 - Defender [SP 21] - EA SPORTS FC 26</t>
        </is>
      </c>
      <c r="H449" t="inlineStr">
        <is>
          <t>Reward</t>
        </is>
      </c>
      <c r="I449" t="inlineStr">
        <is>
          <t>Standard Season Pass</t>
        </is>
      </c>
      <c r="J449" t="inlineStr">
        <is>
          <t>https://www.fut.gg/evolutions/1928-wtss-journey-3-defender-sp-21/</t>
        </is>
      </c>
    </row>
    <row r="450">
      <c r="B450" t="inlineStr">
        <is>
          <t>Sub Stat</t>
        </is>
      </c>
      <c r="C450" t="inlineStr">
        <is>
          <t>Reactions</t>
        </is>
      </c>
      <c r="D450" t="n">
        <v>5</v>
      </c>
      <c r="E450" t="n">
        <v>93</v>
      </c>
      <c r="F450" t="inlineStr">
        <is>
          <t>+5 Reactions 93</t>
        </is>
      </c>
      <c r="G450" t="inlineStr">
        <is>
          <t>WTSS Journey 3 - Defender [SP 21] - EA SPORTS FC 26</t>
        </is>
      </c>
      <c r="H450" t="inlineStr">
        <is>
          <t>Reward</t>
        </is>
      </c>
      <c r="I450" t="inlineStr">
        <is>
          <t>Standard Season Pass</t>
        </is>
      </c>
      <c r="J450" t="inlineStr">
        <is>
          <t>https://www.fut.gg/evolutions/1928-wtss-journey-3-defender-sp-21/</t>
        </is>
      </c>
    </row>
    <row r="451">
      <c r="B451" t="inlineStr">
        <is>
          <t>Sub Stat</t>
        </is>
      </c>
      <c r="C451" t="inlineStr">
        <is>
          <t>Ball Control</t>
        </is>
      </c>
      <c r="D451" t="n">
        <v>5</v>
      </c>
      <c r="E451" t="n">
        <v>88</v>
      </c>
      <c r="F451" t="inlineStr">
        <is>
          <t>+5 Ball Control 88</t>
        </is>
      </c>
      <c r="G451" t="inlineStr">
        <is>
          <t>WTSS Journey 3 - Defender [SP 21] - EA SPORTS FC 26</t>
        </is>
      </c>
      <c r="H451" t="inlineStr">
        <is>
          <t>Reward</t>
        </is>
      </c>
      <c r="I451" t="inlineStr">
        <is>
          <t>Standard Season Pass</t>
        </is>
      </c>
      <c r="J451" t="inlineStr">
        <is>
          <t>https://www.fut.gg/evolutions/1928-wtss-journey-3-defender-sp-21/</t>
        </is>
      </c>
    </row>
    <row r="452">
      <c r="B452" t="inlineStr">
        <is>
          <t>Face Stat</t>
        </is>
      </c>
      <c r="C452" t="inlineStr">
        <is>
          <t>OVR</t>
        </is>
      </c>
      <c r="D452" t="n">
        <v>2</v>
      </c>
      <c r="E452" t="n">
        <v>90</v>
      </c>
      <c r="F452" t="inlineStr">
        <is>
          <t>+2 OVR 90</t>
        </is>
      </c>
      <c r="G452" t="inlineStr">
        <is>
          <t>WTSS Journey 2 - Midfielder [SP 8] - EA SPORTS FC 26</t>
        </is>
      </c>
      <c r="H452" t="inlineStr">
        <is>
          <t>Reward</t>
        </is>
      </c>
      <c r="I452" t="inlineStr">
        <is>
          <t>Standard Season Pass</t>
        </is>
      </c>
      <c r="J452" t="inlineStr">
        <is>
          <t>https://www.fut.gg/evolutions/1927-wtss-journey-2-midfielder-sp-8/</t>
        </is>
      </c>
    </row>
    <row r="453">
      <c r="B453" t="inlineStr">
        <is>
          <t>Face Stat</t>
        </is>
      </c>
      <c r="C453" t="inlineStr">
        <is>
          <t>SHO</t>
        </is>
      </c>
      <c r="D453" t="n">
        <v>4</v>
      </c>
      <c r="E453" t="n">
        <v>88</v>
      </c>
      <c r="F453" t="inlineStr">
        <is>
          <t>+4 SHO 88</t>
        </is>
      </c>
      <c r="G453" t="inlineStr">
        <is>
          <t>WTSS Journey 2 - Midfielder [SP 8] - EA SPORTS FC 26</t>
        </is>
      </c>
      <c r="H453" t="inlineStr">
        <is>
          <t>Reward</t>
        </is>
      </c>
      <c r="I453" t="inlineStr">
        <is>
          <t>Standard Season Pass</t>
        </is>
      </c>
      <c r="J453" t="inlineStr">
        <is>
          <t>https://www.fut.gg/evolutions/1927-wtss-journey-2-midfielder-sp-8/</t>
        </is>
      </c>
    </row>
    <row r="454">
      <c r="B454" t="inlineStr">
        <is>
          <t>Skill</t>
        </is>
      </c>
      <c r="C454" t="inlineStr">
        <is>
          <t>SM</t>
        </is>
      </c>
      <c r="D454" t="n">
        <v>1</v>
      </c>
      <c r="E454" t="n">
        <v>4</v>
      </c>
      <c r="F454" t="inlineStr">
        <is>
          <t>+1 SM 4</t>
        </is>
      </c>
      <c r="G454" t="inlineStr">
        <is>
          <t>WTSS Journey 2 - Midfielder [SP 8] - EA SPORTS FC 26</t>
        </is>
      </c>
      <c r="H454" t="inlineStr">
        <is>
          <t>Reward</t>
        </is>
      </c>
      <c r="I454" t="inlineStr">
        <is>
          <t>Standard Season Pass</t>
        </is>
      </c>
      <c r="J454" t="inlineStr">
        <is>
          <t>https://www.fut.gg/evolutions/1927-wtss-journey-2-midfielder-sp-8/</t>
        </is>
      </c>
    </row>
    <row r="455">
      <c r="B455" t="inlineStr">
        <is>
          <t>Sub Stat</t>
        </is>
      </c>
      <c r="C455" t="inlineStr">
        <is>
          <t>Sprint Speed</t>
        </is>
      </c>
      <c r="D455" t="n">
        <v>5</v>
      </c>
      <c r="E455" t="n">
        <v>88</v>
      </c>
      <c r="F455" t="inlineStr">
        <is>
          <t>+5 Sprint Speed 88</t>
        </is>
      </c>
      <c r="G455" t="inlineStr">
        <is>
          <t>WTSS Journey 2 - Midfielder [SP 8] - EA SPORTS FC 26</t>
        </is>
      </c>
      <c r="H455" t="inlineStr">
        <is>
          <t>Reward</t>
        </is>
      </c>
      <c r="I455" t="inlineStr">
        <is>
          <t>Standard Season Pass</t>
        </is>
      </c>
      <c r="J455" t="inlineStr">
        <is>
          <t>https://www.fut.gg/evolutions/1927-wtss-journey-2-midfielder-sp-8/</t>
        </is>
      </c>
    </row>
    <row r="456">
      <c r="B456" t="inlineStr">
        <is>
          <t>Sub Stat</t>
        </is>
      </c>
      <c r="C456" t="inlineStr">
        <is>
          <t>Short Passing</t>
        </is>
      </c>
      <c r="D456" t="n">
        <v>15</v>
      </c>
      <c r="E456" t="n">
        <v>93</v>
      </c>
      <c r="F456" t="inlineStr">
        <is>
          <t>+15 Short Pass 93</t>
        </is>
      </c>
      <c r="G456" t="inlineStr">
        <is>
          <t>WTSS Journey 2 - Midfielder [SP 8] - EA SPORTS FC 26</t>
        </is>
      </c>
      <c r="H456" t="inlineStr">
        <is>
          <t>Reward</t>
        </is>
      </c>
      <c r="I456" t="inlineStr">
        <is>
          <t>Standard Season Pass</t>
        </is>
      </c>
      <c r="J456" t="inlineStr">
        <is>
          <t>https://www.fut.gg/evolutions/1927-wtss-journey-2-midfielder-sp-8/</t>
        </is>
      </c>
    </row>
    <row r="457">
      <c r="B457" t="inlineStr">
        <is>
          <t>Sub Stat</t>
        </is>
      </c>
      <c r="C457" t="inlineStr">
        <is>
          <t>Interceptions</t>
        </is>
      </c>
      <c r="D457" t="n">
        <v>15</v>
      </c>
      <c r="E457" t="n">
        <v>90</v>
      </c>
      <c r="F457" t="inlineStr">
        <is>
          <t>+15 Interceptions 90</t>
        </is>
      </c>
      <c r="G457" t="inlineStr">
        <is>
          <t>WTSS Journey 2 - Midfielder [SP 8] - EA SPORTS FC 26</t>
        </is>
      </c>
      <c r="H457" t="inlineStr">
        <is>
          <t>Reward</t>
        </is>
      </c>
      <c r="I457" t="inlineStr">
        <is>
          <t>Standard Season Pass</t>
        </is>
      </c>
      <c r="J457" t="inlineStr">
        <is>
          <t>https://www.fut.gg/evolutions/1927-wtss-journey-2-midfielder-sp-8/</t>
        </is>
      </c>
    </row>
    <row r="458">
      <c r="B458" t="inlineStr">
        <is>
          <t>Sub Stat</t>
        </is>
      </c>
      <c r="C458" t="inlineStr">
        <is>
          <t>Stamina</t>
        </is>
      </c>
      <c r="D458" t="n">
        <v>15</v>
      </c>
      <c r="E458" t="n">
        <v>90</v>
      </c>
      <c r="F458" t="inlineStr">
        <is>
          <t>+15 Stamina 90</t>
        </is>
      </c>
      <c r="G458" t="inlineStr">
        <is>
          <t>WTSS Journey 2 - Midfielder [SP 8] - EA SPORTS FC 26</t>
        </is>
      </c>
      <c r="H458" t="inlineStr">
        <is>
          <t>Reward</t>
        </is>
      </c>
      <c r="I458" t="inlineStr">
        <is>
          <t>Standard Season Pass</t>
        </is>
      </c>
      <c r="J458" t="inlineStr">
        <is>
          <t>https://www.fut.gg/evolutions/1927-wtss-journey-2-midfielder-sp-8/</t>
        </is>
      </c>
    </row>
    <row r="459">
      <c r="B459" t="inlineStr">
        <is>
          <t>Sub Stat</t>
        </is>
      </c>
      <c r="C459" t="inlineStr">
        <is>
          <t>Acceleration</t>
        </is>
      </c>
      <c r="D459" t="n">
        <v>5</v>
      </c>
      <c r="E459" t="n">
        <v>88</v>
      </c>
      <c r="F459" t="inlineStr">
        <is>
          <t>+5 Acceleration 88</t>
        </is>
      </c>
      <c r="G459" t="inlineStr">
        <is>
          <t>WTSS Journey 2 - Midfielder [SP 8] - EA SPORTS FC 26</t>
        </is>
      </c>
      <c r="H459" t="inlineStr">
        <is>
          <t>Reward</t>
        </is>
      </c>
      <c r="I459" t="inlineStr">
        <is>
          <t>Standard Season Pass</t>
        </is>
      </c>
      <c r="J459" t="inlineStr">
        <is>
          <t>https://www.fut.gg/evolutions/1927-wtss-journey-2-midfielder-sp-8/</t>
        </is>
      </c>
    </row>
    <row r="460">
      <c r="B460" t="inlineStr">
        <is>
          <t>Sub Stat</t>
        </is>
      </c>
      <c r="C460" t="inlineStr">
        <is>
          <t>Fk Accuracy</t>
        </is>
      </c>
      <c r="D460" t="n">
        <v>15</v>
      </c>
      <c r="E460" t="n">
        <v>89</v>
      </c>
      <c r="F460" t="inlineStr">
        <is>
          <t>+15 Fk Accuracy 89</t>
        </is>
      </c>
      <c r="G460" t="inlineStr">
        <is>
          <t>WTSS Journey 2 - Midfielder [SP 8] - EA SPORTS FC 26</t>
        </is>
      </c>
      <c r="H460" t="inlineStr">
        <is>
          <t>Reward</t>
        </is>
      </c>
      <c r="I460" t="inlineStr">
        <is>
          <t>Standard Season Pass</t>
        </is>
      </c>
      <c r="J460" t="inlineStr">
        <is>
          <t>https://www.fut.gg/evolutions/1927-wtss-journey-2-midfielder-sp-8/</t>
        </is>
      </c>
    </row>
    <row r="461">
      <c r="B461" t="inlineStr">
        <is>
          <t>Sub Stat</t>
        </is>
      </c>
      <c r="C461" t="inlineStr">
        <is>
          <t>Defensive Awareness</t>
        </is>
      </c>
      <c r="D461" t="n">
        <v>15</v>
      </c>
      <c r="E461" t="n">
        <v>89</v>
      </c>
      <c r="F461" t="inlineStr">
        <is>
          <t>+15 Defensive Awareness 89</t>
        </is>
      </c>
      <c r="G461" t="inlineStr">
        <is>
          <t>WTSS Journey 2 - Midfielder [SP 8] - EA SPORTS FC 26</t>
        </is>
      </c>
      <c r="H461" t="inlineStr">
        <is>
          <t>Reward</t>
        </is>
      </c>
      <c r="I461" t="inlineStr">
        <is>
          <t>Standard Season Pass</t>
        </is>
      </c>
      <c r="J461" t="inlineStr">
        <is>
          <t>https://www.fut.gg/evolutions/1927-wtss-journey-2-midfielder-sp-8/</t>
        </is>
      </c>
    </row>
    <row r="462">
      <c r="B462" t="inlineStr">
        <is>
          <t>Sub Stat</t>
        </is>
      </c>
      <c r="C462" t="inlineStr">
        <is>
          <t>Strength</t>
        </is>
      </c>
      <c r="D462" t="n">
        <v>15</v>
      </c>
      <c r="E462" t="n">
        <v>89</v>
      </c>
      <c r="F462" t="inlineStr">
        <is>
          <t>+15 Strength 89</t>
        </is>
      </c>
      <c r="G462" t="inlineStr">
        <is>
          <t>WTSS Journey 2 - Midfielder [SP 8] - EA SPORTS FC 26</t>
        </is>
      </c>
      <c r="H462" t="inlineStr">
        <is>
          <t>Reward</t>
        </is>
      </c>
      <c r="I462" t="inlineStr">
        <is>
          <t>Standard Season Pass</t>
        </is>
      </c>
      <c r="J462" t="inlineStr">
        <is>
          <t>https://www.fut.gg/evolutions/1927-wtss-journey-2-midfielder-sp-8/</t>
        </is>
      </c>
    </row>
    <row r="463">
      <c r="B463" t="inlineStr">
        <is>
          <t>Sub Stat</t>
        </is>
      </c>
      <c r="C463" t="inlineStr">
        <is>
          <t>Vision</t>
        </is>
      </c>
      <c r="D463" t="n">
        <v>15</v>
      </c>
      <c r="E463" t="n">
        <v>91</v>
      </c>
      <c r="F463" t="inlineStr">
        <is>
          <t>+15 Vision 91</t>
        </is>
      </c>
      <c r="G463" t="inlineStr">
        <is>
          <t>WTSS Journey 2 - Midfielder [SP 8] - EA SPORTS FC 26</t>
        </is>
      </c>
      <c r="H463" t="inlineStr">
        <is>
          <t>Reward</t>
        </is>
      </c>
      <c r="I463" t="inlineStr">
        <is>
          <t>Standard Season Pass</t>
        </is>
      </c>
      <c r="J463" t="inlineStr">
        <is>
          <t>https://www.fut.gg/evolutions/1927-wtss-journey-2-midfielder-sp-8/</t>
        </is>
      </c>
    </row>
    <row r="464">
      <c r="B464" t="inlineStr">
        <is>
          <t>Sub Stat</t>
        </is>
      </c>
      <c r="C464" t="inlineStr">
        <is>
          <t>Long Passing</t>
        </is>
      </c>
      <c r="D464" t="n">
        <v>15</v>
      </c>
      <c r="E464" t="n">
        <v>92</v>
      </c>
      <c r="F464" t="inlineStr">
        <is>
          <t>+15 Long Pass 92</t>
        </is>
      </c>
      <c r="G464" t="inlineStr">
        <is>
          <t>WTSS Journey 2 - Midfielder [SP 8] - EA SPORTS FC 26</t>
        </is>
      </c>
      <c r="H464" t="inlineStr">
        <is>
          <t>Reward</t>
        </is>
      </c>
      <c r="I464" t="inlineStr">
        <is>
          <t>Standard Season Pass</t>
        </is>
      </c>
      <c r="J464" t="inlineStr">
        <is>
          <t>https://www.fut.gg/evolutions/1927-wtss-journey-2-midfielder-sp-8/</t>
        </is>
      </c>
    </row>
    <row r="465">
      <c r="B465" t="inlineStr">
        <is>
          <t>Sub Stat</t>
        </is>
      </c>
      <c r="C465" t="inlineStr">
        <is>
          <t>Heading Accuracy</t>
        </is>
      </c>
      <c r="D465" t="n">
        <v>15</v>
      </c>
      <c r="E465" t="n">
        <v>89</v>
      </c>
      <c r="F465" t="inlineStr">
        <is>
          <t>+15 Heading Acc. 89</t>
        </is>
      </c>
      <c r="G465" t="inlineStr">
        <is>
          <t>WTSS Journey 2 - Midfielder [SP 8] - EA SPORTS FC 26</t>
        </is>
      </c>
      <c r="H465" t="inlineStr">
        <is>
          <t>Reward</t>
        </is>
      </c>
      <c r="I465" t="inlineStr">
        <is>
          <t>Standard Season Pass</t>
        </is>
      </c>
      <c r="J465" t="inlineStr">
        <is>
          <t>https://www.fut.gg/evolutions/1927-wtss-journey-2-midfielder-sp-8/</t>
        </is>
      </c>
    </row>
    <row r="466">
      <c r="B466" t="inlineStr">
        <is>
          <t>Sub Stat</t>
        </is>
      </c>
      <c r="C466" t="inlineStr">
        <is>
          <t>Sliding Tackle</t>
        </is>
      </c>
      <c r="D466" t="n">
        <v>15</v>
      </c>
      <c r="E466" t="n">
        <v>88</v>
      </c>
      <c r="F466" t="inlineStr">
        <is>
          <t>+15 Sliding Tackle 88</t>
        </is>
      </c>
      <c r="G466" t="inlineStr">
        <is>
          <t>WTSS Journey 2 - Midfielder [SP 8] - EA SPORTS FC 26</t>
        </is>
      </c>
      <c r="H466" t="inlineStr">
        <is>
          <t>Reward</t>
        </is>
      </c>
      <c r="I466" t="inlineStr">
        <is>
          <t>Standard Season Pass</t>
        </is>
      </c>
      <c r="J466" t="inlineStr">
        <is>
          <t>https://www.fut.gg/evolutions/1927-wtss-journey-2-midfielder-sp-8/</t>
        </is>
      </c>
    </row>
    <row r="467">
      <c r="B467" t="inlineStr">
        <is>
          <t>Sub Stat</t>
        </is>
      </c>
      <c r="C467" t="inlineStr">
        <is>
          <t>Aggression</t>
        </is>
      </c>
      <c r="D467" t="n">
        <v>15</v>
      </c>
      <c r="E467" t="n">
        <v>89</v>
      </c>
      <c r="F467" t="inlineStr">
        <is>
          <t>+15 Aggression 89</t>
        </is>
      </c>
      <c r="G467" t="inlineStr">
        <is>
          <t>WTSS Journey 2 - Midfielder [SP 8] - EA SPORTS FC 26</t>
        </is>
      </c>
      <c r="H467" t="inlineStr">
        <is>
          <t>Reward</t>
        </is>
      </c>
      <c r="I467" t="inlineStr">
        <is>
          <t>Standard Season Pass</t>
        </is>
      </c>
      <c r="J467" t="inlineStr">
        <is>
          <t>https://www.fut.gg/evolutions/1927-wtss-journey-2-midfielder-sp-8/</t>
        </is>
      </c>
    </row>
    <row r="468">
      <c r="B468" t="inlineStr">
        <is>
          <t>Sub Stat</t>
        </is>
      </c>
      <c r="C468" t="inlineStr">
        <is>
          <t>Crossing</t>
        </is>
      </c>
      <c r="D468" t="n">
        <v>15</v>
      </c>
      <c r="E468" t="n">
        <v>89</v>
      </c>
      <c r="F468" t="inlineStr">
        <is>
          <t>+15 Crossing 89</t>
        </is>
      </c>
      <c r="G468" t="inlineStr">
        <is>
          <t>WTSS Journey 2 - Midfielder [SP 8] - EA SPORTS FC 26</t>
        </is>
      </c>
      <c r="H468" t="inlineStr">
        <is>
          <t>Reward</t>
        </is>
      </c>
      <c r="I468" t="inlineStr">
        <is>
          <t>Standard Season Pass</t>
        </is>
      </c>
      <c r="J468" t="inlineStr">
        <is>
          <t>https://www.fut.gg/evolutions/1927-wtss-journey-2-midfielder-sp-8/</t>
        </is>
      </c>
    </row>
    <row r="469">
      <c r="B469" t="inlineStr">
        <is>
          <t>Sub Stat</t>
        </is>
      </c>
      <c r="C469" t="inlineStr">
        <is>
          <t>Curve</t>
        </is>
      </c>
      <c r="D469" t="n">
        <v>15</v>
      </c>
      <c r="E469" t="n">
        <v>90</v>
      </c>
      <c r="F469" t="inlineStr">
        <is>
          <t>+15 Curve 90</t>
        </is>
      </c>
      <c r="G469" t="inlineStr">
        <is>
          <t>WTSS Journey 2 - Midfielder [SP 8] - EA SPORTS FC 26</t>
        </is>
      </c>
      <c r="H469" t="inlineStr">
        <is>
          <t>Reward</t>
        </is>
      </c>
      <c r="I469" t="inlineStr">
        <is>
          <t>Standard Season Pass</t>
        </is>
      </c>
      <c r="J469" t="inlineStr">
        <is>
          <t>https://www.fut.gg/evolutions/1927-wtss-journey-2-midfielder-sp-8/</t>
        </is>
      </c>
    </row>
    <row r="470">
      <c r="B470" t="inlineStr">
        <is>
          <t>Sub Stat</t>
        </is>
      </c>
      <c r="C470" t="inlineStr">
        <is>
          <t>Standing Tackle</t>
        </is>
      </c>
      <c r="D470" t="n">
        <v>15</v>
      </c>
      <c r="E470" t="n">
        <v>90</v>
      </c>
      <c r="F470" t="inlineStr">
        <is>
          <t>+15 Standing Tackle 90</t>
        </is>
      </c>
      <c r="G470" t="inlineStr">
        <is>
          <t>WTSS Journey 2 - Midfielder [SP 8] - EA SPORTS FC 26</t>
        </is>
      </c>
      <c r="H470" t="inlineStr">
        <is>
          <t>Reward</t>
        </is>
      </c>
      <c r="I470" t="inlineStr">
        <is>
          <t>Standard Season Pass</t>
        </is>
      </c>
      <c r="J470" t="inlineStr">
        <is>
          <t>https://www.fut.gg/evolutions/1927-wtss-journey-2-midfielder-sp-8/</t>
        </is>
      </c>
    </row>
    <row r="471">
      <c r="B471" t="inlineStr">
        <is>
          <t>Sub Stat</t>
        </is>
      </c>
      <c r="C471" t="inlineStr">
        <is>
          <t>Jumping</t>
        </is>
      </c>
      <c r="D471" t="n">
        <v>15</v>
      </c>
      <c r="E471" t="n">
        <v>89</v>
      </c>
      <c r="F471" t="inlineStr">
        <is>
          <t>+15 Jumping 89</t>
        </is>
      </c>
      <c r="G471" t="inlineStr">
        <is>
          <t>WTSS Journey 2 - Midfielder [SP 8] - EA SPORTS FC 26</t>
        </is>
      </c>
      <c r="H471" t="inlineStr">
        <is>
          <t>Reward</t>
        </is>
      </c>
      <c r="I471" t="inlineStr">
        <is>
          <t>Standard Season Pass</t>
        </is>
      </c>
      <c r="J471" t="inlineStr">
        <is>
          <t>https://www.fut.gg/evolutions/1927-wtss-journey-2-midfielder-sp-8/</t>
        </is>
      </c>
    </row>
    <row r="472">
      <c r="B472" t="inlineStr">
        <is>
          <t>Face Stat</t>
        </is>
      </c>
      <c r="C472" t="inlineStr">
        <is>
          <t>OVR</t>
        </is>
      </c>
      <c r="D472" t="n">
        <v>2</v>
      </c>
      <c r="E472" t="n">
        <v>90</v>
      </c>
      <c r="F472" t="inlineStr">
        <is>
          <t>+2 OVR 90</t>
        </is>
      </c>
      <c r="G472" t="inlineStr">
        <is>
          <t>WTSS Journey 2 - Midfielder [SP 8] - EA SPORTS FC 26</t>
        </is>
      </c>
      <c r="H472" t="inlineStr">
        <is>
          <t>Reward</t>
        </is>
      </c>
      <c r="I472" t="inlineStr">
        <is>
          <t>Standard Season Pass</t>
        </is>
      </c>
      <c r="J472" t="inlineStr">
        <is>
          <t>https://www.fut.gg/evolutions/1927-wtss-journey-2-midfielder-sp-8/</t>
        </is>
      </c>
    </row>
    <row r="473">
      <c r="B473" t="inlineStr">
        <is>
          <t>Sub Stat</t>
        </is>
      </c>
      <c r="C473" t="inlineStr">
        <is>
          <t>Sprint Speed</t>
        </is>
      </c>
      <c r="D473" t="n">
        <v>5</v>
      </c>
      <c r="E473" t="n">
        <v>88</v>
      </c>
      <c r="F473" t="inlineStr">
        <is>
          <t>+5 Sprint Speed 88</t>
        </is>
      </c>
      <c r="G473" t="inlineStr">
        <is>
          <t>WTSS Journey 2 - Midfielder [SP 8] - EA SPORTS FC 26</t>
        </is>
      </c>
      <c r="H473" t="inlineStr">
        <is>
          <t>Reward</t>
        </is>
      </c>
      <c r="I473" t="inlineStr">
        <is>
          <t>Standard Season Pass</t>
        </is>
      </c>
      <c r="J473" t="inlineStr">
        <is>
          <t>https://www.fut.gg/evolutions/1927-wtss-journey-2-midfielder-sp-8/</t>
        </is>
      </c>
    </row>
    <row r="474">
      <c r="B474" t="inlineStr">
        <is>
          <t>Sub Stat</t>
        </is>
      </c>
      <c r="C474" t="inlineStr">
        <is>
          <t>Short Passing</t>
        </is>
      </c>
      <c r="D474" t="n">
        <v>15</v>
      </c>
      <c r="E474" t="n">
        <v>93</v>
      </c>
      <c r="F474" t="inlineStr">
        <is>
          <t>+15 Short Pass 93</t>
        </is>
      </c>
      <c r="G474" t="inlineStr">
        <is>
          <t>WTSS Journey 2 - Midfielder [SP 8] - EA SPORTS FC 26</t>
        </is>
      </c>
      <c r="H474" t="inlineStr">
        <is>
          <t>Reward</t>
        </is>
      </c>
      <c r="I474" t="inlineStr">
        <is>
          <t>Standard Season Pass</t>
        </is>
      </c>
      <c r="J474" t="inlineStr">
        <is>
          <t>https://www.fut.gg/evolutions/1927-wtss-journey-2-midfielder-sp-8/</t>
        </is>
      </c>
    </row>
    <row r="475">
      <c r="B475" t="inlineStr">
        <is>
          <t>Sub Stat</t>
        </is>
      </c>
      <c r="C475" t="inlineStr">
        <is>
          <t>Interceptions</t>
        </is>
      </c>
      <c r="D475" t="n">
        <v>15</v>
      </c>
      <c r="E475" t="n">
        <v>90</v>
      </c>
      <c r="F475" t="inlineStr">
        <is>
          <t>+15 Interceptions 90</t>
        </is>
      </c>
      <c r="G475" t="inlineStr">
        <is>
          <t>WTSS Journey 2 - Midfielder [SP 8] - EA SPORTS FC 26</t>
        </is>
      </c>
      <c r="H475" t="inlineStr">
        <is>
          <t>Reward</t>
        </is>
      </c>
      <c r="I475" t="inlineStr">
        <is>
          <t>Standard Season Pass</t>
        </is>
      </c>
      <c r="J475" t="inlineStr">
        <is>
          <t>https://www.fut.gg/evolutions/1927-wtss-journey-2-midfielder-sp-8/</t>
        </is>
      </c>
    </row>
    <row r="476">
      <c r="B476" t="inlineStr">
        <is>
          <t>Sub Stat</t>
        </is>
      </c>
      <c r="C476" t="inlineStr">
        <is>
          <t>Stamina</t>
        </is>
      </c>
      <c r="D476" t="n">
        <v>15</v>
      </c>
      <c r="E476" t="n">
        <v>90</v>
      </c>
      <c r="F476" t="inlineStr">
        <is>
          <t>+15 Stamina 90</t>
        </is>
      </c>
      <c r="G476" t="inlineStr">
        <is>
          <t>WTSS Journey 2 - Midfielder [SP 8] - EA SPORTS FC 26</t>
        </is>
      </c>
      <c r="H476" t="inlineStr">
        <is>
          <t>Reward</t>
        </is>
      </c>
      <c r="I476" t="inlineStr">
        <is>
          <t>Standard Season Pass</t>
        </is>
      </c>
      <c r="J476" t="inlineStr">
        <is>
          <t>https://www.fut.gg/evolutions/1927-wtss-journey-2-midfielder-sp-8/</t>
        </is>
      </c>
    </row>
    <row r="477">
      <c r="B477" t="inlineStr">
        <is>
          <t>Face Stat</t>
        </is>
      </c>
      <c r="C477" t="inlineStr">
        <is>
          <t>OVR</t>
        </is>
      </c>
      <c r="D477" t="n">
        <v>30</v>
      </c>
      <c r="E477" t="n">
        <v>88</v>
      </c>
      <c r="F477" t="inlineStr">
        <is>
          <t>+30 OVR 88</t>
        </is>
      </c>
      <c r="G477" t="inlineStr">
        <is>
          <t>WTSS Journey 1 - Attacker [SP 3] - EA SPORTS FC 26</t>
        </is>
      </c>
      <c r="H477" t="inlineStr">
        <is>
          <t>Reward</t>
        </is>
      </c>
      <c r="I477" t="inlineStr">
        <is>
          <t>Standard Season Pass</t>
        </is>
      </c>
      <c r="J477" t="inlineStr">
        <is>
          <t>https://www.fut.gg/evolutions/1926-wtss-journey-1-attacker-sp-3/</t>
        </is>
      </c>
    </row>
    <row r="478">
      <c r="B478" t="inlineStr">
        <is>
          <t>Skill</t>
        </is>
      </c>
      <c r="C478" t="inlineStr">
        <is>
          <t>SM</t>
        </is>
      </c>
      <c r="D478" t="n">
        <v>1</v>
      </c>
      <c r="E478" t="n">
        <v>4</v>
      </c>
      <c r="F478" t="inlineStr">
        <is>
          <t>+1 SM 4</t>
        </is>
      </c>
      <c r="G478" t="inlineStr">
        <is>
          <t>WTSS Journey 1 - Attacker [SP 3] - EA SPORTS FC 26</t>
        </is>
      </c>
      <c r="H478" t="inlineStr">
        <is>
          <t>Reward</t>
        </is>
      </c>
      <c r="I478" t="inlineStr">
        <is>
          <t>Standard Season Pass</t>
        </is>
      </c>
      <c r="J478" t="inlineStr">
        <is>
          <t>https://www.fut.gg/evolutions/1926-wtss-journey-1-attacker-sp-3/</t>
        </is>
      </c>
    </row>
    <row r="479">
      <c r="B479" t="inlineStr">
        <is>
          <t>Skill</t>
        </is>
      </c>
      <c r="C479" t="inlineStr">
        <is>
          <t>WF</t>
        </is>
      </c>
      <c r="D479" t="n">
        <v>1</v>
      </c>
      <c r="E479" t="n">
        <v>4</v>
      </c>
      <c r="F479" t="inlineStr">
        <is>
          <t>+1 WF 4</t>
        </is>
      </c>
      <c r="G479" t="inlineStr">
        <is>
          <t>WTSS Journey 1 - Attacker [SP 3] - EA SPORTS FC 26</t>
        </is>
      </c>
      <c r="H479" t="inlineStr">
        <is>
          <t>Reward</t>
        </is>
      </c>
      <c r="I479" t="inlineStr">
        <is>
          <t>Standard Season Pass</t>
        </is>
      </c>
      <c r="J479" t="inlineStr">
        <is>
          <t>https://www.fut.gg/evolutions/1926-wtss-journey-1-attacker-sp-3/</t>
        </is>
      </c>
    </row>
    <row r="480">
      <c r="B480" t="inlineStr">
        <is>
          <t>Sub Stat</t>
        </is>
      </c>
      <c r="C480" t="inlineStr">
        <is>
          <t>Acceleration</t>
        </is>
      </c>
      <c r="D480" t="n">
        <v>30</v>
      </c>
      <c r="E480" t="n">
        <v>88</v>
      </c>
      <c r="F480" t="inlineStr">
        <is>
          <t>+30 Acceleration 88</t>
        </is>
      </c>
      <c r="G480" t="inlineStr">
        <is>
          <t>WTSS Journey 1 - Attacker [SP 3] - EA SPORTS FC 26</t>
        </is>
      </c>
      <c r="H480" t="inlineStr">
        <is>
          <t>Reward</t>
        </is>
      </c>
      <c r="I480" t="inlineStr">
        <is>
          <t>Standard Season Pass</t>
        </is>
      </c>
      <c r="J480" t="inlineStr">
        <is>
          <t>https://www.fut.gg/evolutions/1926-wtss-journey-1-attacker-sp-3/</t>
        </is>
      </c>
    </row>
    <row r="481">
      <c r="B481" t="inlineStr">
        <is>
          <t>Sub Stat</t>
        </is>
      </c>
      <c r="C481" t="inlineStr">
        <is>
          <t>Sprint Speed</t>
        </is>
      </c>
      <c r="D481" t="n">
        <v>30</v>
      </c>
      <c r="E481" t="n">
        <v>88</v>
      </c>
      <c r="F481" t="inlineStr">
        <is>
          <t>+30 Sprint Speed 88</t>
        </is>
      </c>
      <c r="G481" t="inlineStr">
        <is>
          <t>WTSS Journey 1 - Attacker [SP 3] - EA SPORTS FC 26</t>
        </is>
      </c>
      <c r="H481" t="inlineStr">
        <is>
          <t>Reward</t>
        </is>
      </c>
      <c r="I481" t="inlineStr">
        <is>
          <t>Standard Season Pass</t>
        </is>
      </c>
      <c r="J481" t="inlineStr">
        <is>
          <t>https://www.fut.gg/evolutions/1926-wtss-journey-1-attacker-sp-3/</t>
        </is>
      </c>
    </row>
    <row r="482">
      <c r="B482" t="inlineStr">
        <is>
          <t>Sub Stat</t>
        </is>
      </c>
      <c r="C482" t="inlineStr">
        <is>
          <t>Finishing</t>
        </is>
      </c>
      <c r="D482" t="n">
        <v>30</v>
      </c>
      <c r="E482" t="n">
        <v>87</v>
      </c>
      <c r="F482" t="inlineStr">
        <is>
          <t>+30 Finishing 87</t>
        </is>
      </c>
      <c r="G482" t="inlineStr">
        <is>
          <t>WTSS Journey 1 - Attacker [SP 3] - EA SPORTS FC 26</t>
        </is>
      </c>
      <c r="H482" t="inlineStr">
        <is>
          <t>Reward</t>
        </is>
      </c>
      <c r="I482" t="inlineStr">
        <is>
          <t>Standard Season Pass</t>
        </is>
      </c>
      <c r="J482" t="inlineStr">
        <is>
          <t>https://www.fut.gg/evolutions/1926-wtss-journey-1-attacker-sp-3/</t>
        </is>
      </c>
    </row>
    <row r="483">
      <c r="B483" t="inlineStr">
        <is>
          <t>Sub Stat</t>
        </is>
      </c>
      <c r="C483" t="inlineStr">
        <is>
          <t>Shot Power</t>
        </is>
      </c>
      <c r="D483" t="n">
        <v>30</v>
      </c>
      <c r="E483" t="n">
        <v>83</v>
      </c>
      <c r="F483" t="inlineStr">
        <is>
          <t>+30 Shot Power 83</t>
        </is>
      </c>
      <c r="G483" t="inlineStr">
        <is>
          <t>WTSS Journey 1 - Attacker [SP 3] - EA SPORTS FC 26</t>
        </is>
      </c>
      <c r="H483" t="inlineStr">
        <is>
          <t>Reward</t>
        </is>
      </c>
      <c r="I483" t="inlineStr">
        <is>
          <t>Standard Season Pass</t>
        </is>
      </c>
      <c r="J483" t="inlineStr">
        <is>
          <t>https://www.fut.gg/evolutions/1926-wtss-journey-1-attacker-sp-3/</t>
        </is>
      </c>
    </row>
    <row r="484">
      <c r="B484" t="inlineStr">
        <is>
          <t>Sub Stat</t>
        </is>
      </c>
      <c r="C484" t="inlineStr">
        <is>
          <t>Long Shots</t>
        </is>
      </c>
      <c r="D484" t="n">
        <v>30</v>
      </c>
      <c r="E484" t="n">
        <v>88</v>
      </c>
      <c r="F484" t="inlineStr">
        <is>
          <t>+30 Long Shots 88</t>
        </is>
      </c>
      <c r="G484" t="inlineStr">
        <is>
          <t>WTSS Journey 1 - Attacker [SP 3] - EA SPORTS FC 26</t>
        </is>
      </c>
      <c r="H484" t="inlineStr">
        <is>
          <t>Reward</t>
        </is>
      </c>
      <c r="I484" t="inlineStr">
        <is>
          <t>Standard Season Pass</t>
        </is>
      </c>
      <c r="J484" t="inlineStr">
        <is>
          <t>https://www.fut.gg/evolutions/1926-wtss-journey-1-attacker-sp-3/</t>
        </is>
      </c>
    </row>
    <row r="485">
      <c r="B485" t="inlineStr">
        <is>
          <t>Sub Stat</t>
        </is>
      </c>
      <c r="C485" t="inlineStr">
        <is>
          <t>Positioning</t>
        </is>
      </c>
      <c r="D485" t="n">
        <v>30</v>
      </c>
      <c r="E485" t="n">
        <v>84</v>
      </c>
      <c r="F485" t="inlineStr">
        <is>
          <t>+30 Positioning 84</t>
        </is>
      </c>
      <c r="G485" t="inlineStr">
        <is>
          <t>WTSS Journey 1 - Attacker [SP 3] - EA SPORTS FC 26</t>
        </is>
      </c>
      <c r="H485" t="inlineStr">
        <is>
          <t>Reward</t>
        </is>
      </c>
      <c r="I485" t="inlineStr">
        <is>
          <t>Standard Season Pass</t>
        </is>
      </c>
      <c r="J485" t="inlineStr">
        <is>
          <t>https://www.fut.gg/evolutions/1926-wtss-journey-1-attacker-sp-3/</t>
        </is>
      </c>
    </row>
    <row r="486">
      <c r="B486" t="inlineStr">
        <is>
          <t>Sub Stat</t>
        </is>
      </c>
      <c r="C486" t="inlineStr">
        <is>
          <t>Vision</t>
        </is>
      </c>
      <c r="D486" t="n">
        <v>20</v>
      </c>
      <c r="E486" t="n">
        <v>88</v>
      </c>
      <c r="F486" t="inlineStr">
        <is>
          <t>+20 Vision 88</t>
        </is>
      </c>
      <c r="G486" t="inlineStr">
        <is>
          <t>WTSS Journey 1 - Attacker [SP 3] - EA SPORTS FC 26</t>
        </is>
      </c>
      <c r="H486" t="inlineStr">
        <is>
          <t>Reward</t>
        </is>
      </c>
      <c r="I486" t="inlineStr">
        <is>
          <t>Standard Season Pass</t>
        </is>
      </c>
      <c r="J486" t="inlineStr">
        <is>
          <t>https://www.fut.gg/evolutions/1926-wtss-journey-1-attacker-sp-3/</t>
        </is>
      </c>
    </row>
    <row r="487">
      <c r="B487" t="inlineStr">
        <is>
          <t>Sub Stat</t>
        </is>
      </c>
      <c r="C487" t="inlineStr">
        <is>
          <t>Crossing</t>
        </is>
      </c>
      <c r="D487" t="n">
        <v>20</v>
      </c>
      <c r="E487" t="n">
        <v>87</v>
      </c>
      <c r="F487" t="inlineStr">
        <is>
          <t>+20 Crossing 87</t>
        </is>
      </c>
      <c r="G487" t="inlineStr">
        <is>
          <t>WTSS Journey 1 - Attacker [SP 3] - EA SPORTS FC 26</t>
        </is>
      </c>
      <c r="H487" t="inlineStr">
        <is>
          <t>Reward</t>
        </is>
      </c>
      <c r="I487" t="inlineStr">
        <is>
          <t>Standard Season Pass</t>
        </is>
      </c>
      <c r="J487" t="inlineStr">
        <is>
          <t>https://www.fut.gg/evolutions/1926-wtss-journey-1-attacker-sp-3/</t>
        </is>
      </c>
    </row>
    <row r="488">
      <c r="B488" t="inlineStr">
        <is>
          <t>Sub Stat</t>
        </is>
      </c>
      <c r="C488" t="inlineStr">
        <is>
          <t>Fk Accuracy</t>
        </is>
      </c>
      <c r="D488" t="n">
        <v>20</v>
      </c>
      <c r="E488" t="n">
        <v>88</v>
      </c>
      <c r="F488" t="inlineStr">
        <is>
          <t>+20 Fk Accuracy 88</t>
        </is>
      </c>
      <c r="G488" t="inlineStr">
        <is>
          <t>WTSS Journey 1 - Attacker [SP 3] - EA SPORTS FC 26</t>
        </is>
      </c>
      <c r="H488" t="inlineStr">
        <is>
          <t>Reward</t>
        </is>
      </c>
      <c r="I488" t="inlineStr">
        <is>
          <t>Standard Season Pass</t>
        </is>
      </c>
      <c r="J488" t="inlineStr">
        <is>
          <t>https://www.fut.gg/evolutions/1926-wtss-journey-1-attacker-sp-3/</t>
        </is>
      </c>
    </row>
    <row r="489">
      <c r="B489" t="inlineStr">
        <is>
          <t>Sub Stat</t>
        </is>
      </c>
      <c r="C489" t="inlineStr">
        <is>
          <t>Short Passing</t>
        </is>
      </c>
      <c r="D489" t="n">
        <v>20</v>
      </c>
      <c r="E489" t="n">
        <v>90</v>
      </c>
      <c r="F489" t="inlineStr">
        <is>
          <t>+20 Short Pass 90</t>
        </is>
      </c>
      <c r="G489" t="inlineStr">
        <is>
          <t>WTSS Journey 1 - Attacker [SP 3] - EA SPORTS FC 26</t>
        </is>
      </c>
      <c r="H489" t="inlineStr">
        <is>
          <t>Reward</t>
        </is>
      </c>
      <c r="I489" t="inlineStr">
        <is>
          <t>Standard Season Pass</t>
        </is>
      </c>
      <c r="J489" t="inlineStr">
        <is>
          <t>https://www.fut.gg/evolutions/1926-wtss-journey-1-attacker-sp-3/</t>
        </is>
      </c>
    </row>
    <row r="490">
      <c r="B490" t="inlineStr">
        <is>
          <t>Sub Stat</t>
        </is>
      </c>
      <c r="C490" t="inlineStr">
        <is>
          <t>Long Passing</t>
        </is>
      </c>
      <c r="D490" t="n">
        <v>20</v>
      </c>
      <c r="E490" t="n">
        <v>88</v>
      </c>
      <c r="F490" t="inlineStr">
        <is>
          <t>+20 Long Pass 88</t>
        </is>
      </c>
      <c r="G490" t="inlineStr">
        <is>
          <t>WTSS Journey 1 - Attacker [SP 3] - EA SPORTS FC 26</t>
        </is>
      </c>
      <c r="H490" t="inlineStr">
        <is>
          <t>Reward</t>
        </is>
      </c>
      <c r="I490" t="inlineStr">
        <is>
          <t>Standard Season Pass</t>
        </is>
      </c>
      <c r="J490" t="inlineStr">
        <is>
          <t>https://www.fut.gg/evolutions/1926-wtss-journey-1-attacker-sp-3/</t>
        </is>
      </c>
    </row>
    <row r="491">
      <c r="B491" t="inlineStr">
        <is>
          <t>Sub Stat</t>
        </is>
      </c>
      <c r="C491" t="inlineStr">
        <is>
          <t>Volleys</t>
        </is>
      </c>
      <c r="D491" t="n">
        <v>30</v>
      </c>
      <c r="E491" t="n">
        <v>87</v>
      </c>
      <c r="F491" t="inlineStr">
        <is>
          <t>+30 Volleys 87</t>
        </is>
      </c>
      <c r="G491" t="inlineStr">
        <is>
          <t>WTSS Journey 1 - Attacker [SP 3] - EA SPORTS FC 26</t>
        </is>
      </c>
      <c r="H491" t="inlineStr">
        <is>
          <t>Reward</t>
        </is>
      </c>
      <c r="I491" t="inlineStr">
        <is>
          <t>Standard Season Pass</t>
        </is>
      </c>
      <c r="J491" t="inlineStr">
        <is>
          <t>https://www.fut.gg/evolutions/1926-wtss-journey-1-attacker-sp-3/</t>
        </is>
      </c>
    </row>
    <row r="492">
      <c r="B492" t="inlineStr">
        <is>
          <t>Sub Stat</t>
        </is>
      </c>
      <c r="C492" t="inlineStr">
        <is>
          <t>Penalties</t>
        </is>
      </c>
      <c r="D492" t="n">
        <v>30</v>
      </c>
      <c r="E492" t="n">
        <v>80</v>
      </c>
      <c r="F492" t="inlineStr">
        <is>
          <t>+30 Penalties 80</t>
        </is>
      </c>
      <c r="G492" t="inlineStr">
        <is>
          <t>WTSS Journey 1 - Attacker [SP 3] - EA SPORTS FC 26</t>
        </is>
      </c>
      <c r="H492" t="inlineStr">
        <is>
          <t>Reward</t>
        </is>
      </c>
      <c r="I492" t="inlineStr">
        <is>
          <t>Standard Season Pass</t>
        </is>
      </c>
      <c r="J492" t="inlineStr">
        <is>
          <t>https://www.fut.gg/evolutions/1926-wtss-journey-1-attacker-sp-3/</t>
        </is>
      </c>
    </row>
    <row r="493">
      <c r="B493" t="inlineStr">
        <is>
          <t>Sub Stat</t>
        </is>
      </c>
      <c r="C493" t="inlineStr">
        <is>
          <t>Agility</t>
        </is>
      </c>
      <c r="D493" t="n">
        <v>25</v>
      </c>
      <c r="E493" t="n">
        <v>87</v>
      </c>
      <c r="F493" t="inlineStr">
        <is>
          <t>+25 Agility 87</t>
        </is>
      </c>
      <c r="G493" t="inlineStr">
        <is>
          <t>WTSS Journey 1 - Attacker [SP 3] - EA SPORTS FC 26</t>
        </is>
      </c>
      <c r="H493" t="inlineStr">
        <is>
          <t>Reward</t>
        </is>
      </c>
      <c r="I493" t="inlineStr">
        <is>
          <t>Standard Season Pass</t>
        </is>
      </c>
      <c r="J493" t="inlineStr">
        <is>
          <t>https://www.fut.gg/evolutions/1926-wtss-journey-1-attacker-sp-3/</t>
        </is>
      </c>
    </row>
    <row r="494">
      <c r="B494" t="inlineStr">
        <is>
          <t>Sub Stat</t>
        </is>
      </c>
      <c r="C494" t="inlineStr">
        <is>
          <t>Balance</t>
        </is>
      </c>
      <c r="D494" t="n">
        <v>25</v>
      </c>
      <c r="E494" t="n">
        <v>88</v>
      </c>
      <c r="F494" t="inlineStr">
        <is>
          <t>+25 Balance 88</t>
        </is>
      </c>
      <c r="G494" t="inlineStr">
        <is>
          <t>WTSS Journey 1 - Attacker [SP 3] - EA SPORTS FC 26</t>
        </is>
      </c>
      <c r="H494" t="inlineStr">
        <is>
          <t>Reward</t>
        </is>
      </c>
      <c r="I494" t="inlineStr">
        <is>
          <t>Standard Season Pass</t>
        </is>
      </c>
      <c r="J494" t="inlineStr">
        <is>
          <t>https://www.fut.gg/evolutions/1926-wtss-journey-1-attacker-sp-3/</t>
        </is>
      </c>
    </row>
    <row r="495">
      <c r="B495" t="inlineStr">
        <is>
          <t>Sub Stat</t>
        </is>
      </c>
      <c r="C495" t="inlineStr">
        <is>
          <t>Curve</t>
        </is>
      </c>
      <c r="D495" t="n">
        <v>20</v>
      </c>
      <c r="E495" t="n">
        <v>88</v>
      </c>
      <c r="F495" t="inlineStr">
        <is>
          <t>+20 Curve 88</t>
        </is>
      </c>
      <c r="G495" t="inlineStr">
        <is>
          <t>WTSS Journey 1 - Attacker [SP 3] - EA SPORTS FC 26</t>
        </is>
      </c>
      <c r="H495" t="inlineStr">
        <is>
          <t>Reward</t>
        </is>
      </c>
      <c r="I495" t="inlineStr">
        <is>
          <t>Standard Season Pass</t>
        </is>
      </c>
      <c r="J495" t="inlineStr">
        <is>
          <t>https://www.fut.gg/evolutions/1926-wtss-journey-1-attacker-sp-3/</t>
        </is>
      </c>
    </row>
    <row r="496">
      <c r="B496" t="inlineStr">
        <is>
          <t>Sub Stat</t>
        </is>
      </c>
      <c r="C496" t="inlineStr">
        <is>
          <t>Reactions</t>
        </is>
      </c>
      <c r="D496" t="n">
        <v>25</v>
      </c>
      <c r="E496" t="n">
        <v>86</v>
      </c>
      <c r="F496" t="inlineStr">
        <is>
          <t>+25 Reactions 86</t>
        </is>
      </c>
      <c r="G496" t="inlineStr">
        <is>
          <t>WTSS Journey 1 - Attacker [SP 3] - EA SPORTS FC 26</t>
        </is>
      </c>
      <c r="H496" t="inlineStr">
        <is>
          <t>Reward</t>
        </is>
      </c>
      <c r="I496" t="inlineStr">
        <is>
          <t>Standard Season Pass</t>
        </is>
      </c>
      <c r="J496" t="inlineStr">
        <is>
          <t>https://www.fut.gg/evolutions/1926-wtss-journey-1-attacker-sp-3/</t>
        </is>
      </c>
    </row>
    <row r="497">
      <c r="B497" t="inlineStr">
        <is>
          <t>Sub Stat</t>
        </is>
      </c>
      <c r="C497" t="inlineStr">
        <is>
          <t>Ball Control</t>
        </is>
      </c>
      <c r="D497" t="n">
        <v>25</v>
      </c>
      <c r="E497" t="n">
        <v>88</v>
      </c>
      <c r="F497" t="inlineStr">
        <is>
          <t>+25 Ball Control 88</t>
        </is>
      </c>
      <c r="G497" t="inlineStr">
        <is>
          <t>WTSS Journey 1 - Attacker [SP 3] - EA SPORTS FC 26</t>
        </is>
      </c>
      <c r="H497" t="inlineStr">
        <is>
          <t>Reward</t>
        </is>
      </c>
      <c r="I497" t="inlineStr">
        <is>
          <t>Standard Season Pass</t>
        </is>
      </c>
      <c r="J497" t="inlineStr">
        <is>
          <t>https://www.fut.gg/evolutions/1926-wtss-journey-1-attacker-sp-3/</t>
        </is>
      </c>
    </row>
    <row r="498">
      <c r="B498" t="inlineStr">
        <is>
          <t>Sub Stat</t>
        </is>
      </c>
      <c r="C498" t="inlineStr">
        <is>
          <t>Aggression</t>
        </is>
      </c>
      <c r="D498" t="n">
        <v>20</v>
      </c>
      <c r="E498" t="n">
        <v>70</v>
      </c>
      <c r="F498" t="inlineStr">
        <is>
          <t>+20 Aggression 70</t>
        </is>
      </c>
      <c r="G498" t="inlineStr">
        <is>
          <t>WTSS Journey 1 - Attacker [SP 3] - EA SPORTS FC 26</t>
        </is>
      </c>
      <c r="H498" t="inlineStr">
        <is>
          <t>Reward</t>
        </is>
      </c>
      <c r="I498" t="inlineStr">
        <is>
          <t>Standard Season Pass</t>
        </is>
      </c>
      <c r="J498" t="inlineStr">
        <is>
          <t>https://www.fut.gg/evolutions/1926-wtss-journey-1-attacker-sp-3/</t>
        </is>
      </c>
    </row>
    <row r="499">
      <c r="B499" t="inlineStr">
        <is>
          <t>Sub Stat</t>
        </is>
      </c>
      <c r="C499" t="inlineStr">
        <is>
          <t>Dribbling</t>
        </is>
      </c>
      <c r="D499" t="n">
        <v>25</v>
      </c>
      <c r="E499" t="n">
        <v>87</v>
      </c>
      <c r="F499" t="inlineStr">
        <is>
          <t>+25 Dribbling 87</t>
        </is>
      </c>
      <c r="G499" t="inlineStr">
        <is>
          <t>WTSS Journey 1 - Attacker [SP 3] - EA SPORTS FC 26</t>
        </is>
      </c>
      <c r="H499" t="inlineStr">
        <is>
          <t>Reward</t>
        </is>
      </c>
      <c r="I499" t="inlineStr">
        <is>
          <t>Standard Season Pass</t>
        </is>
      </c>
      <c r="J499" t="inlineStr">
        <is>
          <t>https://www.fut.gg/evolutions/1926-wtss-journey-1-attacker-sp-3/</t>
        </is>
      </c>
    </row>
    <row r="500">
      <c r="B500" t="inlineStr">
        <is>
          <t>Sub Stat</t>
        </is>
      </c>
      <c r="C500" t="inlineStr">
        <is>
          <t>Composure</t>
        </is>
      </c>
      <c r="D500" t="n">
        <v>25</v>
      </c>
      <c r="E500" t="n">
        <v>88</v>
      </c>
      <c r="F500" t="inlineStr">
        <is>
          <t>+25 Composure 88</t>
        </is>
      </c>
      <c r="G500" t="inlineStr">
        <is>
          <t>WTSS Journey 1 - Attacker [SP 3] - EA SPORTS FC 26</t>
        </is>
      </c>
      <c r="H500" t="inlineStr">
        <is>
          <t>Reward</t>
        </is>
      </c>
      <c r="I500" t="inlineStr">
        <is>
          <t>Standard Season Pass</t>
        </is>
      </c>
      <c r="J500" t="inlineStr">
        <is>
          <t>https://www.fut.gg/evolutions/1926-wtss-journey-1-attacker-sp-3/</t>
        </is>
      </c>
    </row>
    <row r="501">
      <c r="B501" t="inlineStr">
        <is>
          <t>Sub Stat</t>
        </is>
      </c>
      <c r="C501" t="inlineStr">
        <is>
          <t>Stamina</t>
        </is>
      </c>
      <c r="D501" t="n">
        <v>20</v>
      </c>
      <c r="E501" t="n">
        <v>90</v>
      </c>
      <c r="F501" t="inlineStr">
        <is>
          <t>+20 Stamina 90</t>
        </is>
      </c>
      <c r="G501" t="inlineStr">
        <is>
          <t>WTSS Journey 1 - Attacker [SP 3] - EA SPORTS FC 26</t>
        </is>
      </c>
      <c r="H501" t="inlineStr">
        <is>
          <t>Reward</t>
        </is>
      </c>
      <c r="I501" t="inlineStr">
        <is>
          <t>Standard Season Pass</t>
        </is>
      </c>
      <c r="J501" t="inlineStr">
        <is>
          <t>https://www.fut.gg/evolutions/1926-wtss-journey-1-attacker-sp-3/</t>
        </is>
      </c>
    </row>
    <row r="502">
      <c r="B502" t="inlineStr">
        <is>
          <t>Sub Stat</t>
        </is>
      </c>
      <c r="C502" t="inlineStr">
        <is>
          <t>Strength</t>
        </is>
      </c>
      <c r="D502" t="n">
        <v>20</v>
      </c>
      <c r="E502" t="n">
        <v>75</v>
      </c>
      <c r="F502" t="inlineStr">
        <is>
          <t>+20 Strength 75</t>
        </is>
      </c>
      <c r="G502" t="inlineStr">
        <is>
          <t>WTSS Journey 1 - Attacker [SP 3] - EA SPORTS FC 26</t>
        </is>
      </c>
      <c r="H502" t="inlineStr">
        <is>
          <t>Reward</t>
        </is>
      </c>
      <c r="I502" t="inlineStr">
        <is>
          <t>Standard Season Pass</t>
        </is>
      </c>
      <c r="J502" t="inlineStr">
        <is>
          <t>https://www.fut.gg/evolutions/1926-wtss-journey-1-attacker-sp-3/</t>
        </is>
      </c>
    </row>
    <row r="503">
      <c r="B503" t="inlineStr">
        <is>
          <t>Face Stat</t>
        </is>
      </c>
      <c r="C503" t="inlineStr">
        <is>
          <t>OVR</t>
        </is>
      </c>
      <c r="D503" t="n">
        <v>30</v>
      </c>
      <c r="E503" t="n">
        <v>88</v>
      </c>
      <c r="F503" t="inlineStr">
        <is>
          <t>+30 OVR 88</t>
        </is>
      </c>
      <c r="G503" t="inlineStr">
        <is>
          <t>WTSS Journey 1 - Attacker [SP 3] - EA SPORTS FC 26</t>
        </is>
      </c>
      <c r="H503" t="inlineStr">
        <is>
          <t>Reward</t>
        </is>
      </c>
      <c r="I503" t="inlineStr">
        <is>
          <t>Standard Season Pass</t>
        </is>
      </c>
      <c r="J503" t="inlineStr">
        <is>
          <t>https://www.fut.gg/evolutions/1926-wtss-journey-1-attacker-sp-3/</t>
        </is>
      </c>
    </row>
    <row r="504">
      <c r="B504" t="inlineStr">
        <is>
          <t>Sub Stat</t>
        </is>
      </c>
      <c r="C504" t="inlineStr">
        <is>
          <t>Acceleration</t>
        </is>
      </c>
      <c r="D504" t="n">
        <v>30</v>
      </c>
      <c r="E504" t="n">
        <v>88</v>
      </c>
      <c r="F504" t="inlineStr">
        <is>
          <t>+30 Acceleration 88</t>
        </is>
      </c>
      <c r="G504" t="inlineStr">
        <is>
          <t>WTSS Journey 1 - Attacker [SP 3] - EA SPORTS FC 26</t>
        </is>
      </c>
      <c r="H504" t="inlineStr">
        <is>
          <t>Reward</t>
        </is>
      </c>
      <c r="I504" t="inlineStr">
        <is>
          <t>Standard Season Pass</t>
        </is>
      </c>
      <c r="J504" t="inlineStr">
        <is>
          <t>https://www.fut.gg/evolutions/1926-wtss-journey-1-attacker-sp-3/</t>
        </is>
      </c>
    </row>
    <row r="505">
      <c r="B505" t="inlineStr">
        <is>
          <t>Sub Stat</t>
        </is>
      </c>
      <c r="C505" t="inlineStr">
        <is>
          <t>Sprint Speed</t>
        </is>
      </c>
      <c r="D505" t="n">
        <v>30</v>
      </c>
      <c r="E505" t="n">
        <v>88</v>
      </c>
      <c r="F505" t="inlineStr">
        <is>
          <t>+30 Sprint Speed 88</t>
        </is>
      </c>
      <c r="G505" t="inlineStr">
        <is>
          <t>WTSS Journey 1 - Attacker [SP 3] - EA SPORTS FC 26</t>
        </is>
      </c>
      <c r="H505" t="inlineStr">
        <is>
          <t>Reward</t>
        </is>
      </c>
      <c r="I505" t="inlineStr">
        <is>
          <t>Standard Season Pass</t>
        </is>
      </c>
      <c r="J505" t="inlineStr">
        <is>
          <t>https://www.fut.gg/evolutions/1926-wtss-journey-1-attacker-sp-3/</t>
        </is>
      </c>
    </row>
    <row r="506">
      <c r="B506" t="inlineStr">
        <is>
          <t>Sub Stat</t>
        </is>
      </c>
      <c r="C506" t="inlineStr">
        <is>
          <t>Finishing</t>
        </is>
      </c>
      <c r="D506" t="n">
        <v>30</v>
      </c>
      <c r="E506" t="n">
        <v>87</v>
      </c>
      <c r="F506" t="inlineStr">
        <is>
          <t>+30 Finishing 87</t>
        </is>
      </c>
      <c r="G506" t="inlineStr">
        <is>
          <t>WTSS Journey 1 - Attacker [SP 3] - EA SPORTS FC 26</t>
        </is>
      </c>
      <c r="H506" t="inlineStr">
        <is>
          <t>Reward</t>
        </is>
      </c>
      <c r="I506" t="inlineStr">
        <is>
          <t>Standard Season Pass</t>
        </is>
      </c>
      <c r="J506" t="inlineStr">
        <is>
          <t>https://www.fut.gg/evolutions/1926-wtss-journey-1-attacker-sp-3/</t>
        </is>
      </c>
    </row>
    <row r="507">
      <c r="B507" t="inlineStr">
        <is>
          <t>Sub Stat</t>
        </is>
      </c>
      <c r="C507" t="inlineStr">
        <is>
          <t>Shot Power</t>
        </is>
      </c>
      <c r="D507" t="n">
        <v>30</v>
      </c>
      <c r="E507" t="n">
        <v>83</v>
      </c>
      <c r="F507" t="inlineStr">
        <is>
          <t>+30 Shot Power 83</t>
        </is>
      </c>
      <c r="G507" t="inlineStr">
        <is>
          <t>WTSS Journey 1 - Attacker [SP 3] - EA SPORTS FC 26</t>
        </is>
      </c>
      <c r="H507" t="inlineStr">
        <is>
          <t>Reward</t>
        </is>
      </c>
      <c r="I507" t="inlineStr">
        <is>
          <t>Standard Season Pass</t>
        </is>
      </c>
      <c r="J507" t="inlineStr">
        <is>
          <t>https://www.fut.gg/evolutions/1926-wtss-journey-1-attacker-sp-3/</t>
        </is>
      </c>
    </row>
    <row r="508">
      <c r="B508" t="inlineStr">
        <is>
          <t>Sub Stat</t>
        </is>
      </c>
      <c r="C508" t="inlineStr">
        <is>
          <t>Long Shots</t>
        </is>
      </c>
      <c r="D508" t="n">
        <v>30</v>
      </c>
      <c r="E508" t="n">
        <v>88</v>
      </c>
      <c r="F508" t="inlineStr">
        <is>
          <t>+30 Long Shots 88</t>
        </is>
      </c>
      <c r="G508" t="inlineStr">
        <is>
          <t>WTSS Journey 1 - Attacker [SP 3] - EA SPORTS FC 26</t>
        </is>
      </c>
      <c r="H508" t="inlineStr">
        <is>
          <t>Reward</t>
        </is>
      </c>
      <c r="I508" t="inlineStr">
        <is>
          <t>Standard Season Pass</t>
        </is>
      </c>
      <c r="J508" t="inlineStr">
        <is>
          <t>https://www.fut.gg/evolutions/1926-wtss-journey-1-attacker-sp-3/</t>
        </is>
      </c>
    </row>
    <row r="509">
      <c r="B509" t="inlineStr">
        <is>
          <t>Face Stat</t>
        </is>
      </c>
      <c r="C509" t="inlineStr">
        <is>
          <t>OVR</t>
        </is>
      </c>
      <c r="D509" t="n">
        <v>30</v>
      </c>
      <c r="E509" t="n">
        <v>88</v>
      </c>
      <c r="F509" t="inlineStr">
        <is>
          <t>+30 OVR 88</t>
        </is>
      </c>
      <c r="G509" t="inlineStr">
        <is>
          <t>WTSS Journey 1 - Midfielder [SP 3] - EA SPORTS FC 26</t>
        </is>
      </c>
      <c r="H509" t="inlineStr">
        <is>
          <t>Reward</t>
        </is>
      </c>
      <c r="I509" t="inlineStr">
        <is>
          <t>Standard Season Pass</t>
        </is>
      </c>
      <c r="J509" t="inlineStr">
        <is>
          <t>https://www.fut.gg/evolutions/1925-wtss-journey-1-midfielder-sp-3/</t>
        </is>
      </c>
    </row>
    <row r="510">
      <c r="B510" t="inlineStr">
        <is>
          <t>Face Stat</t>
        </is>
      </c>
      <c r="C510" t="inlineStr">
        <is>
          <t>PHY</t>
        </is>
      </c>
      <c r="D510" t="n">
        <v>20</v>
      </c>
      <c r="E510" t="n">
        <v>84</v>
      </c>
      <c r="F510" t="inlineStr">
        <is>
          <t>+20 PHY 84</t>
        </is>
      </c>
      <c r="G510" t="inlineStr">
        <is>
          <t>WTSS Journey 1 - Midfielder [SP 3] - EA SPORTS FC 26</t>
        </is>
      </c>
      <c r="H510" t="inlineStr">
        <is>
          <t>Reward</t>
        </is>
      </c>
      <c r="I510" t="inlineStr">
        <is>
          <t>Standard Season Pass</t>
        </is>
      </c>
      <c r="J510" t="inlineStr">
        <is>
          <t>https://www.fut.gg/evolutions/1925-wtss-journey-1-midfielder-sp-3/</t>
        </is>
      </c>
    </row>
    <row r="511">
      <c r="B511" t="inlineStr">
        <is>
          <t>Skill</t>
        </is>
      </c>
      <c r="C511" t="inlineStr">
        <is>
          <t>SM</t>
        </is>
      </c>
      <c r="D511" t="n">
        <v>1</v>
      </c>
      <c r="E511" t="n">
        <v>4</v>
      </c>
      <c r="F511" t="inlineStr">
        <is>
          <t>+1 SM 4</t>
        </is>
      </c>
      <c r="G511" t="inlineStr">
        <is>
          <t>WTSS Journey 1 - Midfielder [SP 3] - EA SPORTS FC 26</t>
        </is>
      </c>
      <c r="H511" t="inlineStr">
        <is>
          <t>Reward</t>
        </is>
      </c>
      <c r="I511" t="inlineStr">
        <is>
          <t>Standard Season Pass</t>
        </is>
      </c>
      <c r="J511" t="inlineStr">
        <is>
          <t>https://www.fut.gg/evolutions/1925-wtss-journey-1-midfielder-sp-3/</t>
        </is>
      </c>
    </row>
    <row r="512">
      <c r="B512" t="inlineStr">
        <is>
          <t>Skill</t>
        </is>
      </c>
      <c r="C512" t="inlineStr">
        <is>
          <t>WF</t>
        </is>
      </c>
      <c r="D512" t="n">
        <v>1</v>
      </c>
      <c r="E512" t="n">
        <v>4</v>
      </c>
      <c r="F512" t="inlineStr">
        <is>
          <t>+1 WF 4</t>
        </is>
      </c>
      <c r="G512" t="inlineStr">
        <is>
          <t>WTSS Journey 1 - Midfielder [SP 3] - EA SPORTS FC 26</t>
        </is>
      </c>
      <c r="H512" t="inlineStr">
        <is>
          <t>Reward</t>
        </is>
      </c>
      <c r="I512" t="inlineStr">
        <is>
          <t>Standard Season Pass</t>
        </is>
      </c>
      <c r="J512" t="inlineStr">
        <is>
          <t>https://www.fut.gg/evolutions/1925-wtss-journey-1-midfielder-sp-3/</t>
        </is>
      </c>
    </row>
    <row r="513">
      <c r="B513" t="inlineStr">
        <is>
          <t>Sub Stat</t>
        </is>
      </c>
      <c r="C513" t="inlineStr">
        <is>
          <t>Acceleration</t>
        </is>
      </c>
      <c r="D513" t="n">
        <v>30</v>
      </c>
      <c r="E513" t="n">
        <v>85</v>
      </c>
      <c r="F513" t="inlineStr">
        <is>
          <t>+30 Acceleration 85</t>
        </is>
      </c>
      <c r="G513" t="inlineStr">
        <is>
          <t>WTSS Journey 1 - Midfielder [SP 3] - EA SPORTS FC 26</t>
        </is>
      </c>
      <c r="H513" t="inlineStr">
        <is>
          <t>Reward</t>
        </is>
      </c>
      <c r="I513" t="inlineStr">
        <is>
          <t>Standard Season Pass</t>
        </is>
      </c>
      <c r="J513" t="inlineStr">
        <is>
          <t>https://www.fut.gg/evolutions/1925-wtss-journey-1-midfielder-sp-3/</t>
        </is>
      </c>
    </row>
    <row r="514">
      <c r="B514" t="inlineStr">
        <is>
          <t>Sub Stat</t>
        </is>
      </c>
      <c r="C514" t="inlineStr">
        <is>
          <t>Sprint Speed</t>
        </is>
      </c>
      <c r="D514" t="n">
        <v>30</v>
      </c>
      <c r="E514" t="n">
        <v>85</v>
      </c>
      <c r="F514" t="inlineStr">
        <is>
          <t>+30 Sprint Speed 85</t>
        </is>
      </c>
      <c r="G514" t="inlineStr">
        <is>
          <t>WTSS Journey 1 - Midfielder [SP 3] - EA SPORTS FC 26</t>
        </is>
      </c>
      <c r="H514" t="inlineStr">
        <is>
          <t>Reward</t>
        </is>
      </c>
      <c r="I514" t="inlineStr">
        <is>
          <t>Standard Season Pass</t>
        </is>
      </c>
      <c r="J514" t="inlineStr">
        <is>
          <t>https://www.fut.gg/evolutions/1925-wtss-journey-1-midfielder-sp-3/</t>
        </is>
      </c>
    </row>
    <row r="515">
      <c r="B515" t="inlineStr">
        <is>
          <t>Sub Stat</t>
        </is>
      </c>
      <c r="C515" t="inlineStr">
        <is>
          <t>Curve</t>
        </is>
      </c>
      <c r="D515" t="n">
        <v>30</v>
      </c>
      <c r="E515" t="n">
        <v>86</v>
      </c>
      <c r="F515" t="inlineStr">
        <is>
          <t>+30 Curve 86</t>
        </is>
      </c>
      <c r="G515" t="inlineStr">
        <is>
          <t>WTSS Journey 1 - Midfielder [SP 3] - EA SPORTS FC 26</t>
        </is>
      </c>
      <c r="H515" t="inlineStr">
        <is>
          <t>Reward</t>
        </is>
      </c>
      <c r="I515" t="inlineStr">
        <is>
          <t>Standard Season Pass</t>
        </is>
      </c>
      <c r="J515" t="inlineStr">
        <is>
          <t>https://www.fut.gg/evolutions/1925-wtss-journey-1-midfielder-sp-3/</t>
        </is>
      </c>
    </row>
    <row r="516">
      <c r="B516" t="inlineStr">
        <is>
          <t>Sub Stat</t>
        </is>
      </c>
      <c r="C516" t="inlineStr">
        <is>
          <t>Agility</t>
        </is>
      </c>
      <c r="D516" t="n">
        <v>30</v>
      </c>
      <c r="E516" t="n">
        <v>86</v>
      </c>
      <c r="F516" t="inlineStr">
        <is>
          <t>+30 Agility 86</t>
        </is>
      </c>
      <c r="G516" t="inlineStr">
        <is>
          <t>WTSS Journey 1 - Midfielder [SP 3] - EA SPORTS FC 26</t>
        </is>
      </c>
      <c r="H516" t="inlineStr">
        <is>
          <t>Reward</t>
        </is>
      </c>
      <c r="I516" t="inlineStr">
        <is>
          <t>Standard Season Pass</t>
        </is>
      </c>
      <c r="J516" t="inlineStr">
        <is>
          <t>https://www.fut.gg/evolutions/1925-wtss-journey-1-midfielder-sp-3/</t>
        </is>
      </c>
    </row>
    <row r="517">
      <c r="B517" t="inlineStr">
        <is>
          <t>Sub Stat</t>
        </is>
      </c>
      <c r="C517" t="inlineStr">
        <is>
          <t>Balance</t>
        </is>
      </c>
      <c r="D517" t="n">
        <v>30</v>
      </c>
      <c r="E517" t="n">
        <v>84</v>
      </c>
      <c r="F517" t="inlineStr">
        <is>
          <t>+30 Balance 84</t>
        </is>
      </c>
      <c r="G517" t="inlineStr">
        <is>
          <t>WTSS Journey 1 - Midfielder [SP 3] - EA SPORTS FC 26</t>
        </is>
      </c>
      <c r="H517" t="inlineStr">
        <is>
          <t>Reward</t>
        </is>
      </c>
      <c r="I517" t="inlineStr">
        <is>
          <t>Standard Season Pass</t>
        </is>
      </c>
      <c r="J517" t="inlineStr">
        <is>
          <t>https://www.fut.gg/evolutions/1925-wtss-journey-1-midfielder-sp-3/</t>
        </is>
      </c>
    </row>
    <row r="518">
      <c r="B518" t="inlineStr">
        <is>
          <t>Sub Stat</t>
        </is>
      </c>
      <c r="C518" t="inlineStr">
        <is>
          <t>Positioning</t>
        </is>
      </c>
      <c r="D518" t="n">
        <v>20</v>
      </c>
      <c r="E518" t="n">
        <v>85</v>
      </c>
      <c r="F518" t="inlineStr">
        <is>
          <t>+20 Positioning 85</t>
        </is>
      </c>
      <c r="G518" t="inlineStr">
        <is>
          <t>WTSS Journey 1 - Midfielder [SP 3] - EA SPORTS FC 26</t>
        </is>
      </c>
      <c r="H518" t="inlineStr">
        <is>
          <t>Reward</t>
        </is>
      </c>
      <c r="I518" t="inlineStr">
        <is>
          <t>Standard Season Pass</t>
        </is>
      </c>
      <c r="J518" t="inlineStr">
        <is>
          <t>https://www.fut.gg/evolutions/1925-wtss-journey-1-midfielder-sp-3/</t>
        </is>
      </c>
    </row>
    <row r="519">
      <c r="B519" t="inlineStr">
        <is>
          <t>Sub Stat</t>
        </is>
      </c>
      <c r="C519" t="inlineStr">
        <is>
          <t>Finishing</t>
        </is>
      </c>
      <c r="D519" t="n">
        <v>20</v>
      </c>
      <c r="E519" t="n">
        <v>87</v>
      </c>
      <c r="F519" t="inlineStr">
        <is>
          <t>+20 Finishing 87</t>
        </is>
      </c>
      <c r="G519" t="inlineStr">
        <is>
          <t>WTSS Journey 1 - Midfielder [SP 3] - EA SPORTS FC 26</t>
        </is>
      </c>
      <c r="H519" t="inlineStr">
        <is>
          <t>Reward</t>
        </is>
      </c>
      <c r="I519" t="inlineStr">
        <is>
          <t>Standard Season Pass</t>
        </is>
      </c>
      <c r="J519" t="inlineStr">
        <is>
          <t>https://www.fut.gg/evolutions/1925-wtss-journey-1-midfielder-sp-3/</t>
        </is>
      </c>
    </row>
    <row r="520">
      <c r="B520" t="inlineStr">
        <is>
          <t>Sub Stat</t>
        </is>
      </c>
      <c r="C520" t="inlineStr">
        <is>
          <t>Shot Power</t>
        </is>
      </c>
      <c r="D520" t="n">
        <v>20</v>
      </c>
      <c r="E520" t="n">
        <v>87</v>
      </c>
      <c r="F520" t="inlineStr">
        <is>
          <t>+20 Shot Power 87</t>
        </is>
      </c>
      <c r="G520" t="inlineStr">
        <is>
          <t>WTSS Journey 1 - Midfielder [SP 3] - EA SPORTS FC 26</t>
        </is>
      </c>
      <c r="H520" t="inlineStr">
        <is>
          <t>Reward</t>
        </is>
      </c>
      <c r="I520" t="inlineStr">
        <is>
          <t>Standard Season Pass</t>
        </is>
      </c>
      <c r="J520" t="inlineStr">
        <is>
          <t>https://www.fut.gg/evolutions/1925-wtss-journey-1-midfielder-sp-3/</t>
        </is>
      </c>
    </row>
    <row r="521">
      <c r="B521" t="inlineStr">
        <is>
          <t>Sub Stat</t>
        </is>
      </c>
      <c r="C521" t="inlineStr">
        <is>
          <t>Long Shots</t>
        </is>
      </c>
      <c r="D521" t="n">
        <v>20</v>
      </c>
      <c r="E521" t="n">
        <v>90</v>
      </c>
      <c r="F521" t="inlineStr">
        <is>
          <t>+20 Long Shots 90</t>
        </is>
      </c>
      <c r="G521" t="inlineStr">
        <is>
          <t>WTSS Journey 1 - Midfielder [SP 3] - EA SPORTS FC 26</t>
        </is>
      </c>
      <c r="H521" t="inlineStr">
        <is>
          <t>Reward</t>
        </is>
      </c>
      <c r="I521" t="inlineStr">
        <is>
          <t>Standard Season Pass</t>
        </is>
      </c>
      <c r="J521" t="inlineStr">
        <is>
          <t>https://www.fut.gg/evolutions/1925-wtss-journey-1-midfielder-sp-3/</t>
        </is>
      </c>
    </row>
    <row r="522">
      <c r="B522" t="inlineStr">
        <is>
          <t>Sub Stat</t>
        </is>
      </c>
      <c r="C522" t="inlineStr">
        <is>
          <t>Volleys</t>
        </is>
      </c>
      <c r="D522" t="n">
        <v>20</v>
      </c>
      <c r="E522" t="n">
        <v>88</v>
      </c>
      <c r="F522" t="inlineStr">
        <is>
          <t>+20 Volleys 88</t>
        </is>
      </c>
      <c r="G522" t="inlineStr">
        <is>
          <t>WTSS Journey 1 - Midfielder [SP 3] - EA SPORTS FC 26</t>
        </is>
      </c>
      <c r="H522" t="inlineStr">
        <is>
          <t>Reward</t>
        </is>
      </c>
      <c r="I522" t="inlineStr">
        <is>
          <t>Standard Season Pass</t>
        </is>
      </c>
      <c r="J522" t="inlineStr">
        <is>
          <t>https://www.fut.gg/evolutions/1925-wtss-journey-1-midfielder-sp-3/</t>
        </is>
      </c>
    </row>
    <row r="523">
      <c r="B523" t="inlineStr">
        <is>
          <t>Sub Stat</t>
        </is>
      </c>
      <c r="C523" t="inlineStr">
        <is>
          <t>Penalties</t>
        </is>
      </c>
      <c r="D523" t="n">
        <v>20</v>
      </c>
      <c r="E523" t="n">
        <v>85</v>
      </c>
      <c r="F523" t="inlineStr">
        <is>
          <t>+20 Penalties 85</t>
        </is>
      </c>
      <c r="G523" t="inlineStr">
        <is>
          <t>WTSS Journey 1 - Midfielder [SP 3] - EA SPORTS FC 26</t>
        </is>
      </c>
      <c r="H523" t="inlineStr">
        <is>
          <t>Reward</t>
        </is>
      </c>
      <c r="I523" t="inlineStr">
        <is>
          <t>Standard Season Pass</t>
        </is>
      </c>
      <c r="J523" t="inlineStr">
        <is>
          <t>https://www.fut.gg/evolutions/1925-wtss-journey-1-midfielder-sp-3/</t>
        </is>
      </c>
    </row>
    <row r="524">
      <c r="B524" t="inlineStr">
        <is>
          <t>Sub Stat</t>
        </is>
      </c>
      <c r="C524" t="inlineStr">
        <is>
          <t>Reactions</t>
        </is>
      </c>
      <c r="D524" t="n">
        <v>30</v>
      </c>
      <c r="E524" t="n">
        <v>87</v>
      </c>
      <c r="F524" t="inlineStr">
        <is>
          <t>+30 Reactions 87</t>
        </is>
      </c>
      <c r="G524" t="inlineStr">
        <is>
          <t>WTSS Journey 1 - Midfielder [SP 3] - EA SPORTS FC 26</t>
        </is>
      </c>
      <c r="H524" t="inlineStr">
        <is>
          <t>Reward</t>
        </is>
      </c>
      <c r="I524" t="inlineStr">
        <is>
          <t>Standard Season Pass</t>
        </is>
      </c>
      <c r="J524" t="inlineStr">
        <is>
          <t>https://www.fut.gg/evolutions/1925-wtss-journey-1-midfielder-sp-3/</t>
        </is>
      </c>
    </row>
    <row r="525">
      <c r="B525" t="inlineStr">
        <is>
          <t>Sub Stat</t>
        </is>
      </c>
      <c r="C525" t="inlineStr">
        <is>
          <t>Ball Control</t>
        </is>
      </c>
      <c r="D525" t="n">
        <v>30</v>
      </c>
      <c r="E525" t="n">
        <v>85</v>
      </c>
      <c r="F525" t="inlineStr">
        <is>
          <t>+30 Ball Control 85</t>
        </is>
      </c>
      <c r="G525" t="inlineStr">
        <is>
          <t>WTSS Journey 1 - Midfielder [SP 3] - EA SPORTS FC 26</t>
        </is>
      </c>
      <c r="H525" t="inlineStr">
        <is>
          <t>Reward</t>
        </is>
      </c>
      <c r="I525" t="inlineStr">
        <is>
          <t>Standard Season Pass</t>
        </is>
      </c>
      <c r="J525" t="inlineStr">
        <is>
          <t>https://www.fut.gg/evolutions/1925-wtss-journey-1-midfielder-sp-3/</t>
        </is>
      </c>
    </row>
    <row r="526">
      <c r="B526" t="inlineStr">
        <is>
          <t>Sub Stat</t>
        </is>
      </c>
      <c r="C526" t="inlineStr">
        <is>
          <t>Vision</t>
        </is>
      </c>
      <c r="D526" t="n">
        <v>30</v>
      </c>
      <c r="E526" t="n">
        <v>86</v>
      </c>
      <c r="F526" t="inlineStr">
        <is>
          <t>+30 Vision 86</t>
        </is>
      </c>
      <c r="G526" t="inlineStr">
        <is>
          <t>WTSS Journey 1 - Midfielder [SP 3] - EA SPORTS FC 26</t>
        </is>
      </c>
      <c r="H526" t="inlineStr">
        <is>
          <t>Reward</t>
        </is>
      </c>
      <c r="I526" t="inlineStr">
        <is>
          <t>Standard Season Pass</t>
        </is>
      </c>
      <c r="J526" t="inlineStr">
        <is>
          <t>https://www.fut.gg/evolutions/1925-wtss-journey-1-midfielder-sp-3/</t>
        </is>
      </c>
    </row>
    <row r="527">
      <c r="B527" t="inlineStr">
        <is>
          <t>Sub Stat</t>
        </is>
      </c>
      <c r="C527" t="inlineStr">
        <is>
          <t>Crossing</t>
        </is>
      </c>
      <c r="D527" t="n">
        <v>30</v>
      </c>
      <c r="E527" t="n">
        <v>85</v>
      </c>
      <c r="F527" t="inlineStr">
        <is>
          <t>+30 Crossing 85</t>
        </is>
      </c>
      <c r="G527" t="inlineStr">
        <is>
          <t>WTSS Journey 1 - Midfielder [SP 3] - EA SPORTS FC 26</t>
        </is>
      </c>
      <c r="H527" t="inlineStr">
        <is>
          <t>Reward</t>
        </is>
      </c>
      <c r="I527" t="inlineStr">
        <is>
          <t>Standard Season Pass</t>
        </is>
      </c>
      <c r="J527" t="inlineStr">
        <is>
          <t>https://www.fut.gg/evolutions/1925-wtss-journey-1-midfielder-sp-3/</t>
        </is>
      </c>
    </row>
    <row r="528">
      <c r="B528" t="inlineStr">
        <is>
          <t>Sub Stat</t>
        </is>
      </c>
      <c r="C528" t="inlineStr">
        <is>
          <t>Fk Accuracy</t>
        </is>
      </c>
      <c r="D528" t="n">
        <v>30</v>
      </c>
      <c r="E528" t="n">
        <v>88</v>
      </c>
      <c r="F528" t="inlineStr">
        <is>
          <t>+30 Fk Accuracy 88</t>
        </is>
      </c>
      <c r="G528" t="inlineStr">
        <is>
          <t>WTSS Journey 1 - Midfielder [SP 3] - EA SPORTS FC 26</t>
        </is>
      </c>
      <c r="H528" t="inlineStr">
        <is>
          <t>Reward</t>
        </is>
      </c>
      <c r="I528" t="inlineStr">
        <is>
          <t>Standard Season Pass</t>
        </is>
      </c>
      <c r="J528" t="inlineStr">
        <is>
          <t>https://www.fut.gg/evolutions/1925-wtss-journey-1-midfielder-sp-3/</t>
        </is>
      </c>
    </row>
    <row r="529">
      <c r="B529" t="inlineStr">
        <is>
          <t>Sub Stat</t>
        </is>
      </c>
      <c r="C529" t="inlineStr">
        <is>
          <t>Short Passing</t>
        </is>
      </c>
      <c r="D529" t="n">
        <v>30</v>
      </c>
      <c r="E529" t="n">
        <v>87</v>
      </c>
      <c r="F529" t="inlineStr">
        <is>
          <t>+30 Short Pass 87</t>
        </is>
      </c>
      <c r="G529" t="inlineStr">
        <is>
          <t>WTSS Journey 1 - Midfielder [SP 3] - EA SPORTS FC 26</t>
        </is>
      </c>
      <c r="H529" t="inlineStr">
        <is>
          <t>Reward</t>
        </is>
      </c>
      <c r="I529" t="inlineStr">
        <is>
          <t>Standard Season Pass</t>
        </is>
      </c>
      <c r="J529" t="inlineStr">
        <is>
          <t>https://www.fut.gg/evolutions/1925-wtss-journey-1-midfielder-sp-3/</t>
        </is>
      </c>
    </row>
    <row r="530">
      <c r="B530" t="inlineStr">
        <is>
          <t>Sub Stat</t>
        </is>
      </c>
      <c r="C530" t="inlineStr">
        <is>
          <t>Long Passing</t>
        </is>
      </c>
      <c r="D530" t="n">
        <v>30</v>
      </c>
      <c r="E530" t="n">
        <v>88</v>
      </c>
      <c r="F530" t="inlineStr">
        <is>
          <t>+30 Long Pass 88</t>
        </is>
      </c>
      <c r="G530" t="inlineStr">
        <is>
          <t>WTSS Journey 1 - Midfielder [SP 3] - EA SPORTS FC 26</t>
        </is>
      </c>
      <c r="H530" t="inlineStr">
        <is>
          <t>Reward</t>
        </is>
      </c>
      <c r="I530" t="inlineStr">
        <is>
          <t>Standard Season Pass</t>
        </is>
      </c>
      <c r="J530" t="inlineStr">
        <is>
          <t>https://www.fut.gg/evolutions/1925-wtss-journey-1-midfielder-sp-3/</t>
        </is>
      </c>
    </row>
    <row r="531">
      <c r="B531" t="inlineStr">
        <is>
          <t>Sub Stat</t>
        </is>
      </c>
      <c r="C531" t="inlineStr">
        <is>
          <t>Heading Accuracy</t>
        </is>
      </c>
      <c r="D531" t="n">
        <v>30</v>
      </c>
      <c r="E531" t="n">
        <v>88</v>
      </c>
      <c r="F531" t="inlineStr">
        <is>
          <t>+30 Heading Acc. 88</t>
        </is>
      </c>
      <c r="G531" t="inlineStr">
        <is>
          <t>WTSS Journey 1 - Midfielder [SP 3] - EA SPORTS FC 26</t>
        </is>
      </c>
      <c r="H531" t="inlineStr">
        <is>
          <t>Reward</t>
        </is>
      </c>
      <c r="I531" t="inlineStr">
        <is>
          <t>Standard Season Pass</t>
        </is>
      </c>
      <c r="J531" t="inlineStr">
        <is>
          <t>https://www.fut.gg/evolutions/1925-wtss-journey-1-midfielder-sp-3/</t>
        </is>
      </c>
    </row>
    <row r="532">
      <c r="B532" t="inlineStr">
        <is>
          <t>Sub Stat</t>
        </is>
      </c>
      <c r="C532" t="inlineStr">
        <is>
          <t>Dribbling</t>
        </is>
      </c>
      <c r="D532" t="n">
        <v>30</v>
      </c>
      <c r="E532" t="n">
        <v>88</v>
      </c>
      <c r="F532" t="inlineStr">
        <is>
          <t>+30 Dribbling 88</t>
        </is>
      </c>
      <c r="G532" t="inlineStr">
        <is>
          <t>WTSS Journey 1 - Midfielder [SP 3] - EA SPORTS FC 26</t>
        </is>
      </c>
      <c r="H532" t="inlineStr">
        <is>
          <t>Reward</t>
        </is>
      </c>
      <c r="I532" t="inlineStr">
        <is>
          <t>Standard Season Pass</t>
        </is>
      </c>
      <c r="J532" t="inlineStr">
        <is>
          <t>https://www.fut.gg/evolutions/1925-wtss-journey-1-midfielder-sp-3/</t>
        </is>
      </c>
    </row>
    <row r="533">
      <c r="B533" t="inlineStr">
        <is>
          <t>Sub Stat</t>
        </is>
      </c>
      <c r="C533" t="inlineStr">
        <is>
          <t>Composure</t>
        </is>
      </c>
      <c r="D533" t="n">
        <v>30</v>
      </c>
      <c r="E533" t="n">
        <v>88</v>
      </c>
      <c r="F533" t="inlineStr">
        <is>
          <t>+30 Composure 88</t>
        </is>
      </c>
      <c r="G533" t="inlineStr">
        <is>
          <t>WTSS Journey 1 - Midfielder [SP 3] - EA SPORTS FC 26</t>
        </is>
      </c>
      <c r="H533" t="inlineStr">
        <is>
          <t>Reward</t>
        </is>
      </c>
      <c r="I533" t="inlineStr">
        <is>
          <t>Standard Season Pass</t>
        </is>
      </c>
      <c r="J533" t="inlineStr">
        <is>
          <t>https://www.fut.gg/evolutions/1925-wtss-journey-1-midfielder-sp-3/</t>
        </is>
      </c>
    </row>
    <row r="534">
      <c r="B534" t="inlineStr">
        <is>
          <t>Sub Stat</t>
        </is>
      </c>
      <c r="C534" t="inlineStr">
        <is>
          <t>Interceptions</t>
        </is>
      </c>
      <c r="D534" t="n">
        <v>30</v>
      </c>
      <c r="E534" t="n">
        <v>85</v>
      </c>
      <c r="F534" t="inlineStr">
        <is>
          <t>+30 Interceptions 85</t>
        </is>
      </c>
      <c r="G534" t="inlineStr">
        <is>
          <t>WTSS Journey 1 - Midfielder [SP 3] - EA SPORTS FC 26</t>
        </is>
      </c>
      <c r="H534" t="inlineStr">
        <is>
          <t>Reward</t>
        </is>
      </c>
      <c r="I534" t="inlineStr">
        <is>
          <t>Standard Season Pass</t>
        </is>
      </c>
      <c r="J534" t="inlineStr">
        <is>
          <t>https://www.fut.gg/evolutions/1925-wtss-journey-1-midfielder-sp-3/</t>
        </is>
      </c>
    </row>
    <row r="535">
      <c r="B535" t="inlineStr">
        <is>
          <t>Sub Stat</t>
        </is>
      </c>
      <c r="C535" t="inlineStr">
        <is>
          <t>Defensive Awareness</t>
        </is>
      </c>
      <c r="D535" t="n">
        <v>30</v>
      </c>
      <c r="E535" t="n">
        <v>85</v>
      </c>
      <c r="F535" t="inlineStr">
        <is>
          <t>+30 Defensive Awareness 85</t>
        </is>
      </c>
      <c r="G535" t="inlineStr">
        <is>
          <t>WTSS Journey 1 - Midfielder [SP 3] - EA SPORTS FC 26</t>
        </is>
      </c>
      <c r="H535" t="inlineStr">
        <is>
          <t>Reward</t>
        </is>
      </c>
      <c r="I535" t="inlineStr">
        <is>
          <t>Standard Season Pass</t>
        </is>
      </c>
      <c r="J535" t="inlineStr">
        <is>
          <t>https://www.fut.gg/evolutions/1925-wtss-journey-1-midfielder-sp-3/</t>
        </is>
      </c>
    </row>
    <row r="536">
      <c r="B536" t="inlineStr">
        <is>
          <t>Sub Stat</t>
        </is>
      </c>
      <c r="C536" t="inlineStr">
        <is>
          <t>Standing Tackle</t>
        </is>
      </c>
      <c r="D536" t="n">
        <v>30</v>
      </c>
      <c r="E536" t="n">
        <v>86</v>
      </c>
      <c r="F536" t="inlineStr">
        <is>
          <t>+30 Standing Tackle 86</t>
        </is>
      </c>
      <c r="G536" t="inlineStr">
        <is>
          <t>WTSS Journey 1 - Midfielder [SP 3] - EA SPORTS FC 26</t>
        </is>
      </c>
      <c r="H536" t="inlineStr">
        <is>
          <t>Reward</t>
        </is>
      </c>
      <c r="I536" t="inlineStr">
        <is>
          <t>Standard Season Pass</t>
        </is>
      </c>
      <c r="J536" t="inlineStr">
        <is>
          <t>https://www.fut.gg/evolutions/1925-wtss-journey-1-midfielder-sp-3/</t>
        </is>
      </c>
    </row>
    <row r="537">
      <c r="B537" t="inlineStr">
        <is>
          <t>Sub Stat</t>
        </is>
      </c>
      <c r="C537" t="inlineStr">
        <is>
          <t>Sliding Tackle</t>
        </is>
      </c>
      <c r="D537" t="n">
        <v>30</v>
      </c>
      <c r="E537" t="n">
        <v>88</v>
      </c>
      <c r="F537" t="inlineStr">
        <is>
          <t>+30 Sliding Tackle 88</t>
        </is>
      </c>
      <c r="G537" t="inlineStr">
        <is>
          <t>WTSS Journey 1 - Midfielder [SP 3] - EA SPORTS FC 26</t>
        </is>
      </c>
      <c r="H537" t="inlineStr">
        <is>
          <t>Reward</t>
        </is>
      </c>
      <c r="I537" t="inlineStr">
        <is>
          <t>Standard Season Pass</t>
        </is>
      </c>
      <c r="J537" t="inlineStr">
        <is>
          <t>https://www.fut.gg/evolutions/1925-wtss-journey-1-midfielder-sp-3/</t>
        </is>
      </c>
    </row>
    <row r="538">
      <c r="B538" t="inlineStr">
        <is>
          <t>Face Stat</t>
        </is>
      </c>
      <c r="C538" t="inlineStr">
        <is>
          <t>OVR</t>
        </is>
      </c>
      <c r="D538" t="n">
        <v>30</v>
      </c>
      <c r="E538" t="n">
        <v>88</v>
      </c>
      <c r="F538" t="inlineStr">
        <is>
          <t>+30 OVR 88</t>
        </is>
      </c>
      <c r="G538" t="inlineStr">
        <is>
          <t>WTSS Journey 1 - Midfielder [SP 3] - EA SPORTS FC 26</t>
        </is>
      </c>
      <c r="H538" t="inlineStr">
        <is>
          <t>Reward</t>
        </is>
      </c>
      <c r="I538" t="inlineStr">
        <is>
          <t>Standard Season Pass</t>
        </is>
      </c>
      <c r="J538" t="inlineStr">
        <is>
          <t>https://www.fut.gg/evolutions/1925-wtss-journey-1-midfielder-sp-3/</t>
        </is>
      </c>
    </row>
    <row r="539">
      <c r="B539" t="inlineStr">
        <is>
          <t>Sub Stat</t>
        </is>
      </c>
      <c r="C539" t="inlineStr">
        <is>
          <t>Acceleration</t>
        </is>
      </c>
      <c r="D539" t="n">
        <v>30</v>
      </c>
      <c r="E539" t="n">
        <v>85</v>
      </c>
      <c r="F539" t="inlineStr">
        <is>
          <t>+30 Acceleration 85</t>
        </is>
      </c>
      <c r="G539" t="inlineStr">
        <is>
          <t>WTSS Journey 1 - Midfielder [SP 3] - EA SPORTS FC 26</t>
        </is>
      </c>
      <c r="H539" t="inlineStr">
        <is>
          <t>Reward</t>
        </is>
      </c>
      <c r="I539" t="inlineStr">
        <is>
          <t>Standard Season Pass</t>
        </is>
      </c>
      <c r="J539" t="inlineStr">
        <is>
          <t>https://www.fut.gg/evolutions/1925-wtss-journey-1-midfielder-sp-3/</t>
        </is>
      </c>
    </row>
    <row r="540">
      <c r="B540" t="inlineStr">
        <is>
          <t>Sub Stat</t>
        </is>
      </c>
      <c r="C540" t="inlineStr">
        <is>
          <t>Sprint Speed</t>
        </is>
      </c>
      <c r="D540" t="n">
        <v>30</v>
      </c>
      <c r="E540" t="n">
        <v>85</v>
      </c>
      <c r="F540" t="inlineStr">
        <is>
          <t>+30 Sprint Speed 85</t>
        </is>
      </c>
      <c r="G540" t="inlineStr">
        <is>
          <t>WTSS Journey 1 - Midfielder [SP 3] - EA SPORTS FC 26</t>
        </is>
      </c>
      <c r="H540" t="inlineStr">
        <is>
          <t>Reward</t>
        </is>
      </c>
      <c r="I540" t="inlineStr">
        <is>
          <t>Standard Season Pass</t>
        </is>
      </c>
      <c r="J540" t="inlineStr">
        <is>
          <t>https://www.fut.gg/evolutions/1925-wtss-journey-1-midfielder-sp-3/</t>
        </is>
      </c>
    </row>
    <row r="541">
      <c r="B541" t="inlineStr">
        <is>
          <t>Sub Stat</t>
        </is>
      </c>
      <c r="C541" t="inlineStr">
        <is>
          <t>Curve</t>
        </is>
      </c>
      <c r="D541" t="n">
        <v>30</v>
      </c>
      <c r="E541" t="n">
        <v>86</v>
      </c>
      <c r="F541" t="inlineStr">
        <is>
          <t>+30 Curve 86</t>
        </is>
      </c>
      <c r="G541" t="inlineStr">
        <is>
          <t>WTSS Journey 1 - Midfielder [SP 3] - EA SPORTS FC 26</t>
        </is>
      </c>
      <c r="H541" t="inlineStr">
        <is>
          <t>Reward</t>
        </is>
      </c>
      <c r="I541" t="inlineStr">
        <is>
          <t>Standard Season Pass</t>
        </is>
      </c>
      <c r="J541" t="inlineStr">
        <is>
          <t>https://www.fut.gg/evolutions/1925-wtss-journey-1-midfielder-sp-3/</t>
        </is>
      </c>
    </row>
    <row r="542">
      <c r="B542" t="inlineStr">
        <is>
          <t>Sub Stat</t>
        </is>
      </c>
      <c r="C542" t="inlineStr">
        <is>
          <t>Agility</t>
        </is>
      </c>
      <c r="D542" t="n">
        <v>30</v>
      </c>
      <c r="E542" t="n">
        <v>86</v>
      </c>
      <c r="F542" t="inlineStr">
        <is>
          <t>+30 Agility 86</t>
        </is>
      </c>
      <c r="G542" t="inlineStr">
        <is>
          <t>WTSS Journey 1 - Midfielder [SP 3] - EA SPORTS FC 26</t>
        </is>
      </c>
      <c r="H542" t="inlineStr">
        <is>
          <t>Reward</t>
        </is>
      </c>
      <c r="I542" t="inlineStr">
        <is>
          <t>Standard Season Pass</t>
        </is>
      </c>
      <c r="J542" t="inlineStr">
        <is>
          <t>https://www.fut.gg/evolutions/1925-wtss-journey-1-midfielder-sp-3/</t>
        </is>
      </c>
    </row>
    <row r="543">
      <c r="B543" t="inlineStr">
        <is>
          <t>Sub Stat</t>
        </is>
      </c>
      <c r="C543" t="inlineStr">
        <is>
          <t>Balance</t>
        </is>
      </c>
      <c r="D543" t="n">
        <v>30</v>
      </c>
      <c r="E543" t="n">
        <v>84</v>
      </c>
      <c r="F543" t="inlineStr">
        <is>
          <t>+30 Balance 84</t>
        </is>
      </c>
      <c r="G543" t="inlineStr">
        <is>
          <t>WTSS Journey 1 - Midfielder [SP 3] - EA SPORTS FC 26</t>
        </is>
      </c>
      <c r="H543" t="inlineStr">
        <is>
          <t>Reward</t>
        </is>
      </c>
      <c r="I543" t="inlineStr">
        <is>
          <t>Standard Season Pass</t>
        </is>
      </c>
      <c r="J543" t="inlineStr">
        <is>
          <t>https://www.fut.gg/evolutions/1925-wtss-journey-1-midfielder-sp-3/</t>
        </is>
      </c>
    </row>
    <row r="544">
      <c r="B544" t="inlineStr">
        <is>
          <t>Face Stat</t>
        </is>
      </c>
      <c r="C544" t="inlineStr">
        <is>
          <t>OVR</t>
        </is>
      </c>
      <c r="D544" t="n">
        <v>30</v>
      </c>
      <c r="E544" t="n">
        <v>88</v>
      </c>
      <c r="F544" t="inlineStr">
        <is>
          <t>+30 OVR 88</t>
        </is>
      </c>
      <c r="G544" t="inlineStr">
        <is>
          <t>WTSS Journey 1 - Defender [SP 3] - EA SPORTS FC 26</t>
        </is>
      </c>
      <c r="H544" t="inlineStr">
        <is>
          <t>Reward</t>
        </is>
      </c>
      <c r="I544" t="inlineStr">
        <is>
          <t>Standard Season Pass</t>
        </is>
      </c>
      <c r="J544" t="inlineStr">
        <is>
          <t>https://www.fut.gg/evolutions/1924-wtss-journey-1-defender-sp-3/</t>
        </is>
      </c>
    </row>
    <row r="545">
      <c r="B545" t="inlineStr">
        <is>
          <t>Face Stat</t>
        </is>
      </c>
      <c r="C545" t="inlineStr">
        <is>
          <t>SHO</t>
        </is>
      </c>
      <c r="D545" t="n">
        <v>20</v>
      </c>
      <c r="E545" t="n">
        <v>70</v>
      </c>
      <c r="F545" t="inlineStr">
        <is>
          <t>+20 SHO 70</t>
        </is>
      </c>
      <c r="G545" t="inlineStr">
        <is>
          <t>WTSS Journey 1 - Defender [SP 3] - EA SPORTS FC 26</t>
        </is>
      </c>
      <c r="H545" t="inlineStr">
        <is>
          <t>Reward</t>
        </is>
      </c>
      <c r="I545" t="inlineStr">
        <is>
          <t>Standard Season Pass</t>
        </is>
      </c>
      <c r="J545" t="inlineStr">
        <is>
          <t>https://www.fut.gg/evolutions/1924-wtss-journey-1-defender-sp-3/</t>
        </is>
      </c>
    </row>
    <row r="546">
      <c r="B546" t="inlineStr">
        <is>
          <t>Skill</t>
        </is>
      </c>
      <c r="C546" t="inlineStr">
        <is>
          <t>SM</t>
        </is>
      </c>
      <c r="D546" t="n">
        <v>1</v>
      </c>
      <c r="E546" t="n">
        <v>4</v>
      </c>
      <c r="F546" t="inlineStr">
        <is>
          <t>+1 SM 4</t>
        </is>
      </c>
      <c r="G546" t="inlineStr">
        <is>
          <t>WTSS Journey 1 - Defender [SP 3] - EA SPORTS FC 26</t>
        </is>
      </c>
      <c r="H546" t="inlineStr">
        <is>
          <t>Reward</t>
        </is>
      </c>
      <c r="I546" t="inlineStr">
        <is>
          <t>Standard Season Pass</t>
        </is>
      </c>
      <c r="J546" t="inlineStr">
        <is>
          <t>https://www.fut.gg/evolutions/1924-wtss-journey-1-defender-sp-3/</t>
        </is>
      </c>
    </row>
    <row r="547">
      <c r="B547" t="inlineStr">
        <is>
          <t>Skill</t>
        </is>
      </c>
      <c r="C547" t="inlineStr">
        <is>
          <t>WF</t>
        </is>
      </c>
      <c r="D547" t="n">
        <v>1</v>
      </c>
      <c r="E547" t="n">
        <v>4</v>
      </c>
      <c r="F547" t="inlineStr">
        <is>
          <t>+1 WF 4</t>
        </is>
      </c>
      <c r="G547" t="inlineStr">
        <is>
          <t>WTSS Journey 1 - Defender [SP 3] - EA SPORTS FC 26</t>
        </is>
      </c>
      <c r="H547" t="inlineStr">
        <is>
          <t>Reward</t>
        </is>
      </c>
      <c r="I547" t="inlineStr">
        <is>
          <t>Standard Season Pass</t>
        </is>
      </c>
      <c r="J547" t="inlineStr">
        <is>
          <t>https://www.fut.gg/evolutions/1924-wtss-journey-1-defender-sp-3/</t>
        </is>
      </c>
    </row>
    <row r="548">
      <c r="B548" t="inlineStr">
        <is>
          <t>Sub Stat</t>
        </is>
      </c>
      <c r="C548" t="inlineStr">
        <is>
          <t>Curve</t>
        </is>
      </c>
      <c r="D548" t="n">
        <v>30</v>
      </c>
      <c r="E548" t="n">
        <v>80</v>
      </c>
      <c r="F548" t="inlineStr">
        <is>
          <t>+30 Curve 80</t>
        </is>
      </c>
      <c r="G548" t="inlineStr">
        <is>
          <t>WTSS Journey 1 - Defender [SP 3] - EA SPORTS FC 26</t>
        </is>
      </c>
      <c r="H548" t="inlineStr">
        <is>
          <t>Reward</t>
        </is>
      </c>
      <c r="I548" t="inlineStr">
        <is>
          <t>Standard Season Pass</t>
        </is>
      </c>
      <c r="J548" t="inlineStr">
        <is>
          <t>https://www.fut.gg/evolutions/1924-wtss-journey-1-defender-sp-3/</t>
        </is>
      </c>
    </row>
    <row r="549">
      <c r="B549" t="inlineStr">
        <is>
          <t>Sub Stat</t>
        </is>
      </c>
      <c r="C549" t="inlineStr">
        <is>
          <t>Agility</t>
        </is>
      </c>
      <c r="D549" t="n">
        <v>15</v>
      </c>
      <c r="E549" t="n">
        <v>80</v>
      </c>
      <c r="F549" t="inlineStr">
        <is>
          <t>+15 Agility 80</t>
        </is>
      </c>
      <c r="G549" t="inlineStr">
        <is>
          <t>WTSS Journey 1 - Defender [SP 3] - EA SPORTS FC 26</t>
        </is>
      </c>
      <c r="H549" t="inlineStr">
        <is>
          <t>Reward</t>
        </is>
      </c>
      <c r="I549" t="inlineStr">
        <is>
          <t>Standard Season Pass</t>
        </is>
      </c>
      <c r="J549" t="inlineStr">
        <is>
          <t>https://www.fut.gg/evolutions/1924-wtss-journey-1-defender-sp-3/</t>
        </is>
      </c>
    </row>
    <row r="550">
      <c r="B550" t="inlineStr">
        <is>
          <t>Sub Stat</t>
        </is>
      </c>
      <c r="C550" t="inlineStr">
        <is>
          <t>Defensive Awareness</t>
        </is>
      </c>
      <c r="D550" t="n">
        <v>30</v>
      </c>
      <c r="E550" t="n">
        <v>87</v>
      </c>
      <c r="F550" t="inlineStr">
        <is>
          <t>+30 Defensive Awareness 87</t>
        </is>
      </c>
      <c r="G550" t="inlineStr">
        <is>
          <t>WTSS Journey 1 - Defender [SP 3] - EA SPORTS FC 26</t>
        </is>
      </c>
      <c r="H550" t="inlineStr">
        <is>
          <t>Reward</t>
        </is>
      </c>
      <c r="I550" t="inlineStr">
        <is>
          <t>Standard Season Pass</t>
        </is>
      </c>
      <c r="J550" t="inlineStr">
        <is>
          <t>https://www.fut.gg/evolutions/1924-wtss-journey-1-defender-sp-3/</t>
        </is>
      </c>
    </row>
    <row r="551">
      <c r="B551" t="inlineStr">
        <is>
          <t>Sub Stat</t>
        </is>
      </c>
      <c r="C551" t="inlineStr">
        <is>
          <t>Standing Tackle</t>
        </is>
      </c>
      <c r="D551" t="n">
        <v>30</v>
      </c>
      <c r="E551" t="n">
        <v>88</v>
      </c>
      <c r="F551" t="inlineStr">
        <is>
          <t>+30 Standing Tackle 88</t>
        </is>
      </c>
      <c r="G551" t="inlineStr">
        <is>
          <t>WTSS Journey 1 - Defender [SP 3] - EA SPORTS FC 26</t>
        </is>
      </c>
      <c r="H551" t="inlineStr">
        <is>
          <t>Reward</t>
        </is>
      </c>
      <c r="I551" t="inlineStr">
        <is>
          <t>Standard Season Pass</t>
        </is>
      </c>
      <c r="J551" t="inlineStr">
        <is>
          <t>https://www.fut.gg/evolutions/1924-wtss-journey-1-defender-sp-3/</t>
        </is>
      </c>
    </row>
    <row r="552">
      <c r="B552" t="inlineStr">
        <is>
          <t>Sub Stat</t>
        </is>
      </c>
      <c r="C552" t="inlineStr">
        <is>
          <t>Sliding Tackle</t>
        </is>
      </c>
      <c r="D552" t="n">
        <v>30</v>
      </c>
      <c r="E552" t="n">
        <v>86</v>
      </c>
      <c r="F552" t="inlineStr">
        <is>
          <t>+30 Sliding Tackle 86</t>
        </is>
      </c>
      <c r="G552" t="inlineStr">
        <is>
          <t>WTSS Journey 1 - Defender [SP 3] - EA SPORTS FC 26</t>
        </is>
      </c>
      <c r="H552" t="inlineStr">
        <is>
          <t>Reward</t>
        </is>
      </c>
      <c r="I552" t="inlineStr">
        <is>
          <t>Standard Season Pass</t>
        </is>
      </c>
      <c r="J552" t="inlineStr">
        <is>
          <t>https://www.fut.gg/evolutions/1924-wtss-journey-1-defender-sp-3/</t>
        </is>
      </c>
    </row>
    <row r="553">
      <c r="B553" t="inlineStr">
        <is>
          <t>Sub Stat</t>
        </is>
      </c>
      <c r="C553" t="inlineStr">
        <is>
          <t>Acceleration</t>
        </is>
      </c>
      <c r="D553" t="n">
        <v>30</v>
      </c>
      <c r="E553" t="n">
        <v>85</v>
      </c>
      <c r="F553" t="inlineStr">
        <is>
          <t>+30 Acceleration 85</t>
        </is>
      </c>
      <c r="G553" t="inlineStr">
        <is>
          <t>WTSS Journey 1 - Defender [SP 3] - EA SPORTS FC 26</t>
        </is>
      </c>
      <c r="H553" t="inlineStr">
        <is>
          <t>Reward</t>
        </is>
      </c>
      <c r="I553" t="inlineStr">
        <is>
          <t>Standard Season Pass</t>
        </is>
      </c>
      <c r="J553" t="inlineStr">
        <is>
          <t>https://www.fut.gg/evolutions/1924-wtss-journey-1-defender-sp-3/</t>
        </is>
      </c>
    </row>
    <row r="554">
      <c r="B554" t="inlineStr">
        <is>
          <t>Sub Stat</t>
        </is>
      </c>
      <c r="C554" t="inlineStr">
        <is>
          <t>Sprint Speed</t>
        </is>
      </c>
      <c r="D554" t="n">
        <v>30</v>
      </c>
      <c r="E554" t="n">
        <v>85</v>
      </c>
      <c r="F554" t="inlineStr">
        <is>
          <t>+30 Sprint Speed 85</t>
        </is>
      </c>
      <c r="G554" t="inlineStr">
        <is>
          <t>WTSS Journey 1 - Defender [SP 3] - EA SPORTS FC 26</t>
        </is>
      </c>
      <c r="H554" t="inlineStr">
        <is>
          <t>Reward</t>
        </is>
      </c>
      <c r="I554" t="inlineStr">
        <is>
          <t>Standard Season Pass</t>
        </is>
      </c>
      <c r="J554" t="inlineStr">
        <is>
          <t>https://www.fut.gg/evolutions/1924-wtss-journey-1-defender-sp-3/</t>
        </is>
      </c>
    </row>
    <row r="555">
      <c r="B555" t="inlineStr">
        <is>
          <t>Sub Stat</t>
        </is>
      </c>
      <c r="C555" t="inlineStr">
        <is>
          <t>Vision</t>
        </is>
      </c>
      <c r="D555" t="n">
        <v>30</v>
      </c>
      <c r="E555" t="n">
        <v>75</v>
      </c>
      <c r="F555" t="inlineStr">
        <is>
          <t>+30 Vision 75</t>
        </is>
      </c>
      <c r="G555" t="inlineStr">
        <is>
          <t>WTSS Journey 1 - Defender [SP 3] - EA SPORTS FC 26</t>
        </is>
      </c>
      <c r="H555" t="inlineStr">
        <is>
          <t>Reward</t>
        </is>
      </c>
      <c r="I555" t="inlineStr">
        <is>
          <t>Standard Season Pass</t>
        </is>
      </c>
      <c r="J555" t="inlineStr">
        <is>
          <t>https://www.fut.gg/evolutions/1924-wtss-journey-1-defender-sp-3/</t>
        </is>
      </c>
    </row>
    <row r="556">
      <c r="B556" t="inlineStr">
        <is>
          <t>Sub Stat</t>
        </is>
      </c>
      <c r="C556" t="inlineStr">
        <is>
          <t>Crossing</t>
        </is>
      </c>
      <c r="D556" t="n">
        <v>30</v>
      </c>
      <c r="E556" t="n">
        <v>75</v>
      </c>
      <c r="F556" t="inlineStr">
        <is>
          <t>+30 Crossing 75</t>
        </is>
      </c>
      <c r="G556" t="inlineStr">
        <is>
          <t>WTSS Journey 1 - Defender [SP 3] - EA SPORTS FC 26</t>
        </is>
      </c>
      <c r="H556" t="inlineStr">
        <is>
          <t>Reward</t>
        </is>
      </c>
      <c r="I556" t="inlineStr">
        <is>
          <t>Standard Season Pass</t>
        </is>
      </c>
      <c r="J556" t="inlineStr">
        <is>
          <t>https://www.fut.gg/evolutions/1924-wtss-journey-1-defender-sp-3/</t>
        </is>
      </c>
    </row>
    <row r="557">
      <c r="B557" t="inlineStr">
        <is>
          <t>Sub Stat</t>
        </is>
      </c>
      <c r="C557" t="inlineStr">
        <is>
          <t>Fk Accuracy</t>
        </is>
      </c>
      <c r="D557" t="n">
        <v>30</v>
      </c>
      <c r="E557" t="n">
        <v>65</v>
      </c>
      <c r="F557" t="inlineStr">
        <is>
          <t>+30 Fk Accuracy 65</t>
        </is>
      </c>
      <c r="G557" t="inlineStr">
        <is>
          <t>WTSS Journey 1 - Defender [SP 3] - EA SPORTS FC 26</t>
        </is>
      </c>
      <c r="H557" t="inlineStr">
        <is>
          <t>Reward</t>
        </is>
      </c>
      <c r="I557" t="inlineStr">
        <is>
          <t>Standard Season Pass</t>
        </is>
      </c>
      <c r="J557" t="inlineStr">
        <is>
          <t>https://www.fut.gg/evolutions/1924-wtss-journey-1-defender-sp-3/</t>
        </is>
      </c>
    </row>
    <row r="558">
      <c r="B558" t="inlineStr">
        <is>
          <t>Sub Stat</t>
        </is>
      </c>
      <c r="C558" t="inlineStr">
        <is>
          <t>Short Passing</t>
        </is>
      </c>
      <c r="D558" t="n">
        <v>30</v>
      </c>
      <c r="E558" t="n">
        <v>85</v>
      </c>
      <c r="F558" t="inlineStr">
        <is>
          <t>+30 Short Pass 85</t>
        </is>
      </c>
      <c r="G558" t="inlineStr">
        <is>
          <t>WTSS Journey 1 - Defender [SP 3] - EA SPORTS FC 26</t>
        </is>
      </c>
      <c r="H558" t="inlineStr">
        <is>
          <t>Reward</t>
        </is>
      </c>
      <c r="I558" t="inlineStr">
        <is>
          <t>Standard Season Pass</t>
        </is>
      </c>
      <c r="J558" t="inlineStr">
        <is>
          <t>https://www.fut.gg/evolutions/1924-wtss-journey-1-defender-sp-3/</t>
        </is>
      </c>
    </row>
    <row r="559">
      <c r="B559" t="inlineStr">
        <is>
          <t>Sub Stat</t>
        </is>
      </c>
      <c r="C559" t="inlineStr">
        <is>
          <t>Long Passing</t>
        </is>
      </c>
      <c r="D559" t="n">
        <v>30</v>
      </c>
      <c r="E559" t="n">
        <v>80</v>
      </c>
      <c r="F559" t="inlineStr">
        <is>
          <t>+30 Long Pass 80</t>
        </is>
      </c>
      <c r="G559" t="inlineStr">
        <is>
          <t>WTSS Journey 1 - Defender [SP 3] - EA SPORTS FC 26</t>
        </is>
      </c>
      <c r="H559" t="inlineStr">
        <is>
          <t>Reward</t>
        </is>
      </c>
      <c r="I559" t="inlineStr">
        <is>
          <t>Standard Season Pass</t>
        </is>
      </c>
      <c r="J559" t="inlineStr">
        <is>
          <t>https://www.fut.gg/evolutions/1924-wtss-journey-1-defender-sp-3/</t>
        </is>
      </c>
    </row>
    <row r="560">
      <c r="B560" t="inlineStr">
        <is>
          <t>Sub Stat</t>
        </is>
      </c>
      <c r="C560" t="inlineStr">
        <is>
          <t>Balance</t>
        </is>
      </c>
      <c r="D560" t="n">
        <v>15</v>
      </c>
      <c r="E560" t="n">
        <v>80</v>
      </c>
      <c r="F560" t="inlineStr">
        <is>
          <t>+15 Balance 80</t>
        </is>
      </c>
      <c r="G560" t="inlineStr">
        <is>
          <t>WTSS Journey 1 - Defender [SP 3] - EA SPORTS FC 26</t>
        </is>
      </c>
      <c r="H560" t="inlineStr">
        <is>
          <t>Reward</t>
        </is>
      </c>
      <c r="I560" t="inlineStr">
        <is>
          <t>Standard Season Pass</t>
        </is>
      </c>
      <c r="J560" t="inlineStr">
        <is>
          <t>https://www.fut.gg/evolutions/1924-wtss-journey-1-defender-sp-3/</t>
        </is>
      </c>
    </row>
    <row r="561">
      <c r="B561" t="inlineStr">
        <is>
          <t>Sub Stat</t>
        </is>
      </c>
      <c r="C561" t="inlineStr">
        <is>
          <t>Reactions</t>
        </is>
      </c>
      <c r="D561" t="n">
        <v>30</v>
      </c>
      <c r="E561" t="n">
        <v>88</v>
      </c>
      <c r="F561" t="inlineStr">
        <is>
          <t>+30 Reactions 88</t>
        </is>
      </c>
      <c r="G561" t="inlineStr">
        <is>
          <t>WTSS Journey 1 - Defender [SP 3] - EA SPORTS FC 26</t>
        </is>
      </c>
      <c r="H561" t="inlineStr">
        <is>
          <t>Reward</t>
        </is>
      </c>
      <c r="I561" t="inlineStr">
        <is>
          <t>Standard Season Pass</t>
        </is>
      </c>
      <c r="J561" t="inlineStr">
        <is>
          <t>https://www.fut.gg/evolutions/1924-wtss-journey-1-defender-sp-3/</t>
        </is>
      </c>
    </row>
    <row r="562">
      <c r="B562" t="inlineStr">
        <is>
          <t>Sub Stat</t>
        </is>
      </c>
      <c r="C562" t="inlineStr">
        <is>
          <t>Ball Control</t>
        </is>
      </c>
      <c r="D562" t="n">
        <v>15</v>
      </c>
      <c r="E562" t="n">
        <v>85</v>
      </c>
      <c r="F562" t="inlineStr">
        <is>
          <t>+15 Ball Control 85</t>
        </is>
      </c>
      <c r="G562" t="inlineStr">
        <is>
          <t>WTSS Journey 1 - Defender [SP 3] - EA SPORTS FC 26</t>
        </is>
      </c>
      <c r="H562" t="inlineStr">
        <is>
          <t>Reward</t>
        </is>
      </c>
      <c r="I562" t="inlineStr">
        <is>
          <t>Standard Season Pass</t>
        </is>
      </c>
      <c r="J562" t="inlineStr">
        <is>
          <t>https://www.fut.gg/evolutions/1924-wtss-journey-1-defender-sp-3/</t>
        </is>
      </c>
    </row>
    <row r="563">
      <c r="B563" t="inlineStr">
        <is>
          <t>Sub Stat</t>
        </is>
      </c>
      <c r="C563" t="inlineStr">
        <is>
          <t>Jumping</t>
        </is>
      </c>
      <c r="D563" t="n">
        <v>30</v>
      </c>
      <c r="E563" t="n">
        <v>80</v>
      </c>
      <c r="F563" t="inlineStr">
        <is>
          <t>+30 Jumping 80</t>
        </is>
      </c>
      <c r="G563" t="inlineStr">
        <is>
          <t>WTSS Journey 1 - Defender [SP 3] - EA SPORTS FC 26</t>
        </is>
      </c>
      <c r="H563" t="inlineStr">
        <is>
          <t>Reward</t>
        </is>
      </c>
      <c r="I563" t="inlineStr">
        <is>
          <t>Standard Season Pass</t>
        </is>
      </c>
      <c r="J563" t="inlineStr">
        <is>
          <t>https://www.fut.gg/evolutions/1924-wtss-journey-1-defender-sp-3/</t>
        </is>
      </c>
    </row>
    <row r="564">
      <c r="B564" t="inlineStr">
        <is>
          <t>Sub Stat</t>
        </is>
      </c>
      <c r="C564" t="inlineStr">
        <is>
          <t>Stamina</t>
        </is>
      </c>
      <c r="D564" t="n">
        <v>30</v>
      </c>
      <c r="E564" t="n">
        <v>85</v>
      </c>
      <c r="F564" t="inlineStr">
        <is>
          <t>+30 Stamina 85</t>
        </is>
      </c>
      <c r="G564" t="inlineStr">
        <is>
          <t>WTSS Journey 1 - Defender [SP 3] - EA SPORTS FC 26</t>
        </is>
      </c>
      <c r="H564" t="inlineStr">
        <is>
          <t>Reward</t>
        </is>
      </c>
      <c r="I564" t="inlineStr">
        <is>
          <t>Standard Season Pass</t>
        </is>
      </c>
      <c r="J564" t="inlineStr">
        <is>
          <t>https://www.fut.gg/evolutions/1924-wtss-journey-1-defender-sp-3/</t>
        </is>
      </c>
    </row>
    <row r="565">
      <c r="B565" t="inlineStr">
        <is>
          <t>Sub Stat</t>
        </is>
      </c>
      <c r="C565" t="inlineStr">
        <is>
          <t>Strength</t>
        </is>
      </c>
      <c r="D565" t="n">
        <v>30</v>
      </c>
      <c r="E565" t="n">
        <v>87</v>
      </c>
      <c r="F565" t="inlineStr">
        <is>
          <t>+30 Strength 87</t>
        </is>
      </c>
      <c r="G565" t="inlineStr">
        <is>
          <t>WTSS Journey 1 - Defender [SP 3] - EA SPORTS FC 26</t>
        </is>
      </c>
      <c r="H565" t="inlineStr">
        <is>
          <t>Reward</t>
        </is>
      </c>
      <c r="I565" t="inlineStr">
        <is>
          <t>Standard Season Pass</t>
        </is>
      </c>
      <c r="J565" t="inlineStr">
        <is>
          <t>https://www.fut.gg/evolutions/1924-wtss-journey-1-defender-sp-3/</t>
        </is>
      </c>
    </row>
    <row r="566">
      <c r="B566" t="inlineStr">
        <is>
          <t>Sub Stat</t>
        </is>
      </c>
      <c r="C566" t="inlineStr">
        <is>
          <t>Dribbling</t>
        </is>
      </c>
      <c r="D566" t="n">
        <v>15</v>
      </c>
      <c r="E566" t="n">
        <v>85</v>
      </c>
      <c r="F566" t="inlineStr">
        <is>
          <t>+15 Dribbling 85</t>
        </is>
      </c>
      <c r="G566" t="inlineStr">
        <is>
          <t>WTSS Journey 1 - Defender [SP 3] - EA SPORTS FC 26</t>
        </is>
      </c>
      <c r="H566" t="inlineStr">
        <is>
          <t>Reward</t>
        </is>
      </c>
      <c r="I566" t="inlineStr">
        <is>
          <t>Standard Season Pass</t>
        </is>
      </c>
      <c r="J566" t="inlineStr">
        <is>
          <t>https://www.fut.gg/evolutions/1924-wtss-journey-1-defender-sp-3/</t>
        </is>
      </c>
    </row>
    <row r="567">
      <c r="B567" t="inlineStr">
        <is>
          <t>Sub Stat</t>
        </is>
      </c>
      <c r="C567" t="inlineStr">
        <is>
          <t>Composure</t>
        </is>
      </c>
      <c r="D567" t="n">
        <v>30</v>
      </c>
      <c r="E567" t="n">
        <v>88</v>
      </c>
      <c r="F567" t="inlineStr">
        <is>
          <t>+30 Composure 88</t>
        </is>
      </c>
      <c r="G567" t="inlineStr">
        <is>
          <t>WTSS Journey 1 - Defender [SP 3] - EA SPORTS FC 26</t>
        </is>
      </c>
      <c r="H567" t="inlineStr">
        <is>
          <t>Reward</t>
        </is>
      </c>
      <c r="I567" t="inlineStr">
        <is>
          <t>Standard Season Pass</t>
        </is>
      </c>
      <c r="J567" t="inlineStr">
        <is>
          <t>https://www.fut.gg/evolutions/1924-wtss-journey-1-defender-sp-3/</t>
        </is>
      </c>
    </row>
    <row r="568">
      <c r="B568" t="inlineStr">
        <is>
          <t>Sub Stat</t>
        </is>
      </c>
      <c r="C568" t="inlineStr">
        <is>
          <t>Interceptions</t>
        </is>
      </c>
      <c r="D568" t="n">
        <v>30</v>
      </c>
      <c r="E568" t="n">
        <v>88</v>
      </c>
      <c r="F568" t="inlineStr">
        <is>
          <t>+30 Interceptions 88</t>
        </is>
      </c>
      <c r="G568" t="inlineStr">
        <is>
          <t>WTSS Journey 1 - Defender [SP 3] - EA SPORTS FC 26</t>
        </is>
      </c>
      <c r="H568" t="inlineStr">
        <is>
          <t>Reward</t>
        </is>
      </c>
      <c r="I568" t="inlineStr">
        <is>
          <t>Standard Season Pass</t>
        </is>
      </c>
      <c r="J568" t="inlineStr">
        <is>
          <t>https://www.fut.gg/evolutions/1924-wtss-journey-1-defender-sp-3/</t>
        </is>
      </c>
    </row>
    <row r="569">
      <c r="B569" t="inlineStr">
        <is>
          <t>Sub Stat</t>
        </is>
      </c>
      <c r="C569" t="inlineStr">
        <is>
          <t>Heading Accuracy</t>
        </is>
      </c>
      <c r="D569" t="n">
        <v>30</v>
      </c>
      <c r="E569" t="n">
        <v>87</v>
      </c>
      <c r="F569" t="inlineStr">
        <is>
          <t>+30 Heading Acc. 87</t>
        </is>
      </c>
      <c r="G569" t="inlineStr">
        <is>
          <t>WTSS Journey 1 - Defender [SP 3] - EA SPORTS FC 26</t>
        </is>
      </c>
      <c r="H569" t="inlineStr">
        <is>
          <t>Reward</t>
        </is>
      </c>
      <c r="I569" t="inlineStr">
        <is>
          <t>Standard Season Pass</t>
        </is>
      </c>
      <c r="J569" t="inlineStr">
        <is>
          <t>https://www.fut.gg/evolutions/1924-wtss-journey-1-defender-sp-3/</t>
        </is>
      </c>
    </row>
    <row r="570">
      <c r="B570" t="inlineStr">
        <is>
          <t>Sub Stat</t>
        </is>
      </c>
      <c r="C570" t="inlineStr">
        <is>
          <t>Aggression</t>
        </is>
      </c>
      <c r="D570" t="n">
        <v>30</v>
      </c>
      <c r="E570" t="n">
        <v>90</v>
      </c>
      <c r="F570" t="inlineStr">
        <is>
          <t>+30 Aggression 90</t>
        </is>
      </c>
      <c r="G570" t="inlineStr">
        <is>
          <t>WTSS Journey 1 - Defender [SP 3] - EA SPORTS FC 26</t>
        </is>
      </c>
      <c r="H570" t="inlineStr">
        <is>
          <t>Reward</t>
        </is>
      </c>
      <c r="I570" t="inlineStr">
        <is>
          <t>Standard Season Pass</t>
        </is>
      </c>
      <c r="J570" t="inlineStr">
        <is>
          <t>https://www.fut.gg/evolutions/1924-wtss-journey-1-defender-sp-3/</t>
        </is>
      </c>
    </row>
    <row r="571">
      <c r="B571" t="inlineStr">
        <is>
          <t>Face Stat</t>
        </is>
      </c>
      <c r="C571" t="inlineStr">
        <is>
          <t>OVR</t>
        </is>
      </c>
      <c r="D571" t="n">
        <v>30</v>
      </c>
      <c r="E571" t="n">
        <v>88</v>
      </c>
      <c r="F571" t="inlineStr">
        <is>
          <t>+30 OVR 88</t>
        </is>
      </c>
      <c r="G571" t="inlineStr">
        <is>
          <t>WTSS Journey 1 - Defender [SP 3] - EA SPORTS FC 26</t>
        </is>
      </c>
      <c r="H571" t="inlineStr">
        <is>
          <t>Reward</t>
        </is>
      </c>
      <c r="I571" t="inlineStr">
        <is>
          <t>Standard Season Pass</t>
        </is>
      </c>
      <c r="J571" t="inlineStr">
        <is>
          <t>https://www.fut.gg/evolutions/1924-wtss-journey-1-defender-sp-3/</t>
        </is>
      </c>
    </row>
    <row r="572">
      <c r="B572" t="inlineStr">
        <is>
          <t>Sub Stat</t>
        </is>
      </c>
      <c r="C572" t="inlineStr">
        <is>
          <t>Curve</t>
        </is>
      </c>
      <c r="D572" t="n">
        <v>30</v>
      </c>
      <c r="E572" t="n">
        <v>80</v>
      </c>
      <c r="F572" t="inlineStr">
        <is>
          <t>+30 Curve 80</t>
        </is>
      </c>
      <c r="G572" t="inlineStr">
        <is>
          <t>WTSS Journey 1 - Defender [SP 3] - EA SPORTS FC 26</t>
        </is>
      </c>
      <c r="H572" t="inlineStr">
        <is>
          <t>Reward</t>
        </is>
      </c>
      <c r="I572" t="inlineStr">
        <is>
          <t>Standard Season Pass</t>
        </is>
      </c>
      <c r="J572" t="inlineStr">
        <is>
          <t>https://www.fut.gg/evolutions/1924-wtss-journey-1-defender-sp-3/</t>
        </is>
      </c>
    </row>
    <row r="573">
      <c r="B573" t="inlineStr">
        <is>
          <t>Sub Stat</t>
        </is>
      </c>
      <c r="C573" t="inlineStr">
        <is>
          <t>Agility</t>
        </is>
      </c>
      <c r="D573" t="n">
        <v>15</v>
      </c>
      <c r="E573" t="n">
        <v>80</v>
      </c>
      <c r="F573" t="inlineStr">
        <is>
          <t>+15 Agility 80</t>
        </is>
      </c>
      <c r="G573" t="inlineStr">
        <is>
          <t>WTSS Journey 1 - Defender [SP 3] - EA SPORTS FC 26</t>
        </is>
      </c>
      <c r="H573" t="inlineStr">
        <is>
          <t>Reward</t>
        </is>
      </c>
      <c r="I573" t="inlineStr">
        <is>
          <t>Standard Season Pass</t>
        </is>
      </c>
      <c r="J573" t="inlineStr">
        <is>
          <t>https://www.fut.gg/evolutions/1924-wtss-journey-1-defender-sp-3/</t>
        </is>
      </c>
    </row>
    <row r="574">
      <c r="B574" t="inlineStr">
        <is>
          <t>Sub Stat</t>
        </is>
      </c>
      <c r="C574" t="inlineStr">
        <is>
          <t>Defensive Awareness</t>
        </is>
      </c>
      <c r="D574" t="n">
        <v>30</v>
      </c>
      <c r="E574" t="n">
        <v>87</v>
      </c>
      <c r="F574" t="inlineStr">
        <is>
          <t>+30 Defensive Awareness 87</t>
        </is>
      </c>
      <c r="G574" t="inlineStr">
        <is>
          <t>WTSS Journey 1 - Defender [SP 3] - EA SPORTS FC 26</t>
        </is>
      </c>
      <c r="H574" t="inlineStr">
        <is>
          <t>Reward</t>
        </is>
      </c>
      <c r="I574" t="inlineStr">
        <is>
          <t>Standard Season Pass</t>
        </is>
      </c>
      <c r="J574" t="inlineStr">
        <is>
          <t>https://www.fut.gg/evolutions/1924-wtss-journey-1-defender-sp-3/</t>
        </is>
      </c>
    </row>
    <row r="575">
      <c r="B575" t="inlineStr">
        <is>
          <t>Sub Stat</t>
        </is>
      </c>
      <c r="C575" t="inlineStr">
        <is>
          <t>Standing Tackle</t>
        </is>
      </c>
      <c r="D575" t="n">
        <v>30</v>
      </c>
      <c r="E575" t="n">
        <v>88</v>
      </c>
      <c r="F575" t="inlineStr">
        <is>
          <t>+30 Standing Tackle 88</t>
        </is>
      </c>
      <c r="G575" t="inlineStr">
        <is>
          <t>WTSS Journey 1 - Defender [SP 3] - EA SPORTS FC 26</t>
        </is>
      </c>
      <c r="H575" t="inlineStr">
        <is>
          <t>Reward</t>
        </is>
      </c>
      <c r="I575" t="inlineStr">
        <is>
          <t>Standard Season Pass</t>
        </is>
      </c>
      <c r="J575" t="inlineStr">
        <is>
          <t>https://www.fut.gg/evolutions/1924-wtss-journey-1-defender-sp-3/</t>
        </is>
      </c>
    </row>
    <row r="576">
      <c r="B576" t="inlineStr">
        <is>
          <t>Sub Stat</t>
        </is>
      </c>
      <c r="C576" t="inlineStr">
        <is>
          <t>Sliding Tackle</t>
        </is>
      </c>
      <c r="D576" t="n">
        <v>30</v>
      </c>
      <c r="E576" t="n">
        <v>86</v>
      </c>
      <c r="F576" t="inlineStr">
        <is>
          <t>+30 Sliding Tackle 86</t>
        </is>
      </c>
      <c r="G576" t="inlineStr">
        <is>
          <t>WTSS Journey 1 - Defender [SP 3] - EA SPORTS FC 26</t>
        </is>
      </c>
      <c r="H576" t="inlineStr">
        <is>
          <t>Reward</t>
        </is>
      </c>
      <c r="I576" t="inlineStr">
        <is>
          <t>Standard Season Pass</t>
        </is>
      </c>
      <c r="J576" t="inlineStr">
        <is>
          <t>https://www.fut.gg/evolutions/1924-wtss-journey-1-defender-sp-3/</t>
        </is>
      </c>
    </row>
    <row r="577">
      <c r="B577" t="inlineStr">
        <is>
          <t>Face Stat</t>
        </is>
      </c>
      <c r="C577" t="inlineStr">
        <is>
          <t>DEF</t>
        </is>
      </c>
      <c r="D577" t="n">
        <v>2</v>
      </c>
      <c r="E577" t="n">
        <v>92</v>
      </c>
      <c r="F577" t="inlineStr">
        <is>
          <t>+2 DEF 92</t>
        </is>
      </c>
      <c r="G577" t="inlineStr">
        <is>
          <t>Crunch Time - EA SPORTS FC 26</t>
        </is>
      </c>
      <c r="H577" t="inlineStr">
        <is>
          <t>Reward</t>
        </is>
      </c>
      <c r="I577" t="inlineStr">
        <is>
          <t>Objective</t>
        </is>
      </c>
      <c r="J577" t="inlineStr">
        <is>
          <t>https://www.fut.gg/evolutions/1903-crunch-time/</t>
        </is>
      </c>
    </row>
    <row r="578">
      <c r="B578" t="inlineStr">
        <is>
          <t>Face Stat</t>
        </is>
      </c>
      <c r="C578" t="inlineStr">
        <is>
          <t>OVR</t>
        </is>
      </c>
      <c r="D578" t="n">
        <v>1</v>
      </c>
      <c r="F578" t="inlineStr">
        <is>
          <t>+1 OVR</t>
        </is>
      </c>
      <c r="G578" t="inlineStr">
        <is>
          <t>All-Around Impact - EA SPORTS FC 26</t>
        </is>
      </c>
      <c r="H578" t="inlineStr">
        <is>
          <t>Reward</t>
        </is>
      </c>
      <c r="I578" t="inlineStr">
        <is>
          <t>Objective</t>
        </is>
      </c>
      <c r="J578" t="inlineStr">
        <is>
          <t>https://www.fut.gg/evolutions/1875-all-around-impact/</t>
        </is>
      </c>
    </row>
    <row r="579">
      <c r="B579" t="inlineStr">
        <is>
          <t>Face Stat</t>
        </is>
      </c>
      <c r="C579" t="inlineStr">
        <is>
          <t>PAC</t>
        </is>
      </c>
      <c r="D579" t="n">
        <v>2</v>
      </c>
      <c r="E579" t="n">
        <v>92</v>
      </c>
      <c r="F579" t="inlineStr">
        <is>
          <t>+2 PAC 92</t>
        </is>
      </c>
      <c r="G579" t="inlineStr">
        <is>
          <t>All-Around Impact - EA SPORTS FC 26</t>
        </is>
      </c>
      <c r="H579" t="inlineStr">
        <is>
          <t>Reward</t>
        </is>
      </c>
      <c r="I579" t="inlineStr">
        <is>
          <t>Objective</t>
        </is>
      </c>
      <c r="J579" t="inlineStr">
        <is>
          <t>https://www.fut.gg/evolutions/1875-all-around-impact/</t>
        </is>
      </c>
    </row>
    <row r="580">
      <c r="B580" t="inlineStr">
        <is>
          <t>Face Stat</t>
        </is>
      </c>
      <c r="C580" t="inlineStr">
        <is>
          <t>SHO</t>
        </is>
      </c>
      <c r="D580" t="n">
        <v>2</v>
      </c>
      <c r="E580" t="n">
        <v>91</v>
      </c>
      <c r="F580" t="inlineStr">
        <is>
          <t>+2 SHO 91</t>
        </is>
      </c>
      <c r="G580" t="inlineStr">
        <is>
          <t>All-Around Impact - EA SPORTS FC 26</t>
        </is>
      </c>
      <c r="H580" t="inlineStr">
        <is>
          <t>Reward</t>
        </is>
      </c>
      <c r="I580" t="inlineStr">
        <is>
          <t>Objective</t>
        </is>
      </c>
      <c r="J580" t="inlineStr">
        <is>
          <t>https://www.fut.gg/evolutions/1875-all-around-impact/</t>
        </is>
      </c>
    </row>
    <row r="581">
      <c r="B581" t="inlineStr">
        <is>
          <t>Face Stat</t>
        </is>
      </c>
      <c r="C581" t="inlineStr">
        <is>
          <t>PAS</t>
        </is>
      </c>
      <c r="D581" t="n">
        <v>2</v>
      </c>
      <c r="E581" t="n">
        <v>92</v>
      </c>
      <c r="F581" t="inlineStr">
        <is>
          <t>+2 PAS 92</t>
        </is>
      </c>
      <c r="G581" t="inlineStr">
        <is>
          <t>All-Around Impact - EA SPORTS FC 26</t>
        </is>
      </c>
      <c r="H581" t="inlineStr">
        <is>
          <t>Reward</t>
        </is>
      </c>
      <c r="I581" t="inlineStr">
        <is>
          <t>Objective</t>
        </is>
      </c>
      <c r="J581" t="inlineStr">
        <is>
          <t>https://www.fut.gg/evolutions/1875-all-around-impact/</t>
        </is>
      </c>
    </row>
    <row r="582">
      <c r="B582" t="inlineStr">
        <is>
          <t>Face Stat</t>
        </is>
      </c>
      <c r="C582" t="inlineStr">
        <is>
          <t>DRI</t>
        </is>
      </c>
      <c r="D582" t="n">
        <v>3</v>
      </c>
      <c r="E582" t="n">
        <v>93</v>
      </c>
      <c r="F582" t="inlineStr">
        <is>
          <t>+3 DRI 93</t>
        </is>
      </c>
      <c r="G582" t="inlineStr">
        <is>
          <t>All-Around Impact - EA SPORTS FC 26</t>
        </is>
      </c>
      <c r="H582" t="inlineStr">
        <is>
          <t>Reward</t>
        </is>
      </c>
      <c r="I582" t="inlineStr">
        <is>
          <t>Objective</t>
        </is>
      </c>
      <c r="J582" t="inlineStr">
        <is>
          <t>https://www.fut.gg/evolutions/1875-all-around-impact/</t>
        </is>
      </c>
    </row>
    <row r="583">
      <c r="B583" t="inlineStr">
        <is>
          <t>Face Stat</t>
        </is>
      </c>
      <c r="C583" t="inlineStr">
        <is>
          <t>DEF</t>
        </is>
      </c>
      <c r="D583" t="n">
        <v>2</v>
      </c>
      <c r="E583" t="n">
        <v>90</v>
      </c>
      <c r="F583" t="inlineStr">
        <is>
          <t>+2 DEF 90</t>
        </is>
      </c>
      <c r="G583" t="inlineStr">
        <is>
          <t>All-Around Impact - EA SPORTS FC 26</t>
        </is>
      </c>
      <c r="H583" t="inlineStr">
        <is>
          <t>Reward</t>
        </is>
      </c>
      <c r="I583" t="inlineStr">
        <is>
          <t>Objective</t>
        </is>
      </c>
      <c r="J583" t="inlineStr">
        <is>
          <t>https://www.fut.gg/evolutions/1875-all-around-impact/</t>
        </is>
      </c>
    </row>
    <row r="584">
      <c r="B584" t="inlineStr">
        <is>
          <t>Face Stat</t>
        </is>
      </c>
      <c r="C584" t="inlineStr">
        <is>
          <t>PHY</t>
        </is>
      </c>
      <c r="D584" t="n">
        <v>1</v>
      </c>
      <c r="E584" t="n">
        <v>89</v>
      </c>
      <c r="F584" t="inlineStr">
        <is>
          <t>+1 PHY 89</t>
        </is>
      </c>
      <c r="G584" t="inlineStr">
        <is>
          <t>All-Around Impact - EA SPORTS FC 26</t>
        </is>
      </c>
      <c r="H584" t="inlineStr">
        <is>
          <t>Reward</t>
        </is>
      </c>
      <c r="I584" t="inlineStr">
        <is>
          <t>Objective</t>
        </is>
      </c>
      <c r="J584" t="inlineStr">
        <is>
          <t>https://www.fut.gg/evolutions/1875-all-around-impact/</t>
        </is>
      </c>
    </row>
    <row r="585">
      <c r="B585" t="inlineStr">
        <is>
          <t>Face Stat</t>
        </is>
      </c>
      <c r="C585" t="inlineStr">
        <is>
          <t>OVR</t>
        </is>
      </c>
      <c r="D585" t="n">
        <v>1</v>
      </c>
      <c r="F585" t="inlineStr">
        <is>
          <t>+1 OVR</t>
        </is>
      </c>
      <c r="G585" t="inlineStr">
        <is>
          <t>All-Around Impact - EA SPORTS FC 26</t>
        </is>
      </c>
      <c r="H585" t="inlineStr">
        <is>
          <t>Reward</t>
        </is>
      </c>
      <c r="I585" t="inlineStr">
        <is>
          <t>Objective</t>
        </is>
      </c>
      <c r="J585" t="inlineStr">
        <is>
          <t>https://www.fut.gg/evolutions/1875-all-around-impact/</t>
        </is>
      </c>
    </row>
    <row r="586">
      <c r="B586" t="inlineStr">
        <is>
          <t>Face Stat</t>
        </is>
      </c>
      <c r="C586" t="inlineStr">
        <is>
          <t>PAC</t>
        </is>
      </c>
      <c r="D586" t="n">
        <v>2</v>
      </c>
      <c r="E586" t="n">
        <v>92</v>
      </c>
      <c r="F586" t="inlineStr">
        <is>
          <t>+2 PAC 92</t>
        </is>
      </c>
      <c r="G586" t="inlineStr">
        <is>
          <t>All-Around Impact - EA SPORTS FC 26</t>
        </is>
      </c>
      <c r="H586" t="inlineStr">
        <is>
          <t>Reward</t>
        </is>
      </c>
      <c r="I586" t="inlineStr">
        <is>
          <t>Objective</t>
        </is>
      </c>
      <c r="J586" t="inlineStr">
        <is>
          <t>https://www.fut.gg/evolutions/1875-all-around-impact/</t>
        </is>
      </c>
    </row>
    <row r="587">
      <c r="B587" t="inlineStr">
        <is>
          <t>Face Stat</t>
        </is>
      </c>
      <c r="C587" t="inlineStr">
        <is>
          <t>SHO</t>
        </is>
      </c>
      <c r="D587" t="n">
        <v>2</v>
      </c>
      <c r="E587" t="n">
        <v>91</v>
      </c>
      <c r="F587" t="inlineStr">
        <is>
          <t>+2 SHO 91</t>
        </is>
      </c>
      <c r="G587" t="inlineStr">
        <is>
          <t>All-Around Impact - EA SPORTS FC 26</t>
        </is>
      </c>
      <c r="H587" t="inlineStr">
        <is>
          <t>Reward</t>
        </is>
      </c>
      <c r="I587" t="inlineStr">
        <is>
          <t>Objective</t>
        </is>
      </c>
      <c r="J587" t="inlineStr">
        <is>
          <t>https://www.fut.gg/evolutions/1875-all-around-impact/</t>
        </is>
      </c>
    </row>
    <row r="588">
      <c r="B588" t="inlineStr">
        <is>
          <t>Face Stat</t>
        </is>
      </c>
      <c r="C588" t="inlineStr">
        <is>
          <t>PAS</t>
        </is>
      </c>
      <c r="D588" t="n">
        <v>2</v>
      </c>
      <c r="E588" t="n">
        <v>92</v>
      </c>
      <c r="F588" t="inlineStr">
        <is>
          <t>+2 PAS 92</t>
        </is>
      </c>
      <c r="G588" t="inlineStr">
        <is>
          <t>All-Around Impact - EA SPORTS FC 26</t>
        </is>
      </c>
      <c r="H588" t="inlineStr">
        <is>
          <t>Reward</t>
        </is>
      </c>
      <c r="I588" t="inlineStr">
        <is>
          <t>Objective</t>
        </is>
      </c>
      <c r="J588" t="inlineStr">
        <is>
          <t>https://www.fut.gg/evolutions/1875-all-around-impact/</t>
        </is>
      </c>
    </row>
    <row r="589">
      <c r="B589" t="inlineStr">
        <is>
          <t>Face Stat</t>
        </is>
      </c>
      <c r="C589" t="inlineStr">
        <is>
          <t>DRI</t>
        </is>
      </c>
      <c r="D589" t="n">
        <v>3</v>
      </c>
      <c r="E589" t="n">
        <v>93</v>
      </c>
      <c r="F589" t="inlineStr">
        <is>
          <t>+3 DRI 93</t>
        </is>
      </c>
      <c r="G589" t="inlineStr">
        <is>
          <t>All-Around Impact - EA SPORTS FC 26</t>
        </is>
      </c>
      <c r="H589" t="inlineStr">
        <is>
          <t>Reward</t>
        </is>
      </c>
      <c r="I589" t="inlineStr">
        <is>
          <t>Objective</t>
        </is>
      </c>
      <c r="J589" t="inlineStr">
        <is>
          <t>https://www.fut.gg/evolutions/1875-all-around-impact/</t>
        </is>
      </c>
    </row>
    <row r="590">
      <c r="B590" t="inlineStr">
        <is>
          <t>Face Stat</t>
        </is>
      </c>
      <c r="C590" t="inlineStr">
        <is>
          <t>DEF</t>
        </is>
      </c>
      <c r="D590" t="n">
        <v>2</v>
      </c>
      <c r="E590" t="n">
        <v>90</v>
      </c>
      <c r="F590" t="inlineStr">
        <is>
          <t>+2 DEF 90</t>
        </is>
      </c>
      <c r="G590" t="inlineStr">
        <is>
          <t>All-Around Impact - EA SPORTS FC 26</t>
        </is>
      </c>
      <c r="H590" t="inlineStr">
        <is>
          <t>Reward</t>
        </is>
      </c>
      <c r="I590" t="inlineStr">
        <is>
          <t>Objective</t>
        </is>
      </c>
      <c r="J590" t="inlineStr">
        <is>
          <t>https://www.fut.gg/evolutions/1875-all-around-impact/</t>
        </is>
      </c>
    </row>
    <row r="591">
      <c r="B591" t="inlineStr">
        <is>
          <t>Face Stat</t>
        </is>
      </c>
      <c r="C591" t="inlineStr">
        <is>
          <t>PHY</t>
        </is>
      </c>
      <c r="D591" t="n">
        <v>1</v>
      </c>
      <c r="E591" t="n">
        <v>89</v>
      </c>
      <c r="F591" t="inlineStr">
        <is>
          <t>+1 PHY 89</t>
        </is>
      </c>
      <c r="G591" t="inlineStr">
        <is>
          <t>All-Around Impact - EA SPORTS FC 26</t>
        </is>
      </c>
      <c r="H591" t="inlineStr">
        <is>
          <t>Reward</t>
        </is>
      </c>
      <c r="I591" t="inlineStr">
        <is>
          <t>Objective</t>
        </is>
      </c>
      <c r="J591" t="inlineStr">
        <is>
          <t>https://www.fut.gg/evolutions/1875-all-around-impact/</t>
        </is>
      </c>
    </row>
    <row r="592">
      <c r="B592" t="inlineStr">
        <is>
          <t>Skill</t>
        </is>
      </c>
      <c r="C592" t="inlineStr">
        <is>
          <t>SM</t>
        </is>
      </c>
      <c r="D592" t="n">
        <v>4</v>
      </c>
      <c r="E592" t="n">
        <v>5</v>
      </c>
      <c r="F592" t="inlineStr">
        <is>
          <t>+4 SM 5</t>
        </is>
      </c>
      <c r="G592" t="inlineStr">
        <is>
          <t>5 Star Skill Moves &amp; Weak Foot Upgrade - EA SPORTS FC 26</t>
        </is>
      </c>
      <c r="H592" t="inlineStr">
        <is>
          <t>Reward</t>
        </is>
      </c>
      <c r="I592" t="inlineStr">
        <is>
          <t>Objective</t>
        </is>
      </c>
      <c r="J592" t="inlineStr">
        <is>
          <t>https://www.fut.gg/evolutions/1807-5-star-skill-moves-weak-foot-upgrade/</t>
        </is>
      </c>
    </row>
    <row r="593">
      <c r="B593" t="inlineStr">
        <is>
          <t>Skill</t>
        </is>
      </c>
      <c r="C593" t="inlineStr">
        <is>
          <t>WF</t>
        </is>
      </c>
      <c r="D593" t="n">
        <v>4</v>
      </c>
      <c r="E593" t="n">
        <v>5</v>
      </c>
      <c r="F593" t="inlineStr">
        <is>
          <t>+4 WF 5</t>
        </is>
      </c>
      <c r="G593" t="inlineStr">
        <is>
          <t>5 Star Skill Moves &amp; Weak Foot Upgrade - EA SPORTS FC 26</t>
        </is>
      </c>
      <c r="H593" t="inlineStr">
        <is>
          <t>Reward</t>
        </is>
      </c>
      <c r="I593" t="inlineStr">
        <is>
          <t>Objective</t>
        </is>
      </c>
      <c r="J593" t="inlineStr">
        <is>
          <t>https://www.fut.gg/evolutions/1807-5-star-skill-moves-weak-foot-upgrade/</t>
        </is>
      </c>
    </row>
    <row r="594">
      <c r="B594" t="inlineStr">
        <is>
          <t>Skill</t>
        </is>
      </c>
      <c r="C594" t="inlineStr">
        <is>
          <t>SM</t>
        </is>
      </c>
      <c r="D594" t="n">
        <v>4</v>
      </c>
      <c r="E594" t="n">
        <v>5</v>
      </c>
      <c r="F594" t="inlineStr">
        <is>
          <t>+4 SM 5</t>
        </is>
      </c>
      <c r="G594" t="inlineStr">
        <is>
          <t>5 Star Skill Moves &amp; Weak Foot Upgrade - EA SPORTS FC 26</t>
        </is>
      </c>
      <c r="H594" t="inlineStr">
        <is>
          <t>Reward</t>
        </is>
      </c>
      <c r="I594" t="inlineStr">
        <is>
          <t>Objective</t>
        </is>
      </c>
      <c r="J594" t="inlineStr">
        <is>
          <t>https://www.fut.gg/evolutions/1807-5-star-skill-moves-weak-foot-upgrade/</t>
        </is>
      </c>
    </row>
    <row r="595">
      <c r="B595" t="inlineStr">
        <is>
          <t>Skill</t>
        </is>
      </c>
      <c r="C595" t="inlineStr">
        <is>
          <t>WF</t>
        </is>
      </c>
      <c r="D595" t="n">
        <v>4</v>
      </c>
      <c r="E595" t="n">
        <v>5</v>
      </c>
      <c r="F595" t="inlineStr">
        <is>
          <t>+4 WF 5</t>
        </is>
      </c>
      <c r="G595" t="inlineStr">
        <is>
          <t>5 Star Skill Moves &amp; Weak Foot Upgrade - EA SPORTS FC 26</t>
        </is>
      </c>
      <c r="H595" t="inlineStr">
        <is>
          <t>Reward</t>
        </is>
      </c>
      <c r="I595" t="inlineStr">
        <is>
          <t>Objective</t>
        </is>
      </c>
      <c r="J595" t="inlineStr">
        <is>
          <t>https://www.fut.gg/evolutions/1807-5-star-skill-moves-weak-foot-upgrade/</t>
        </is>
      </c>
    </row>
    <row r="596">
      <c r="B596" t="inlineStr">
        <is>
          <t>Skill</t>
        </is>
      </c>
      <c r="C596" t="inlineStr">
        <is>
          <t>WF</t>
        </is>
      </c>
      <c r="D596" t="n">
        <v>4</v>
      </c>
      <c r="E596" t="n">
        <v>5</v>
      </c>
      <c r="F596" t="inlineStr">
        <is>
          <t>+4 WF 5</t>
        </is>
      </c>
      <c r="G596" t="inlineStr">
        <is>
          <t>5 Star Weak Foot Upgrade - EA SPORTS FC 26</t>
        </is>
      </c>
      <c r="H596" t="inlineStr">
        <is>
          <t>Reward</t>
        </is>
      </c>
      <c r="I596" t="inlineStr">
        <is>
          <t>Objective</t>
        </is>
      </c>
      <c r="J596" t="inlineStr">
        <is>
          <t>https://www.fut.gg/evolutions/1803-5-star-weak-foot-upgrade/</t>
        </is>
      </c>
    </row>
    <row r="597">
      <c r="B597" t="inlineStr">
        <is>
          <t>Skill</t>
        </is>
      </c>
      <c r="C597" t="inlineStr">
        <is>
          <t>WF</t>
        </is>
      </c>
      <c r="D597" t="n">
        <v>4</v>
      </c>
      <c r="E597" t="n">
        <v>5</v>
      </c>
      <c r="F597" t="inlineStr">
        <is>
          <t>+4 WF 5</t>
        </is>
      </c>
      <c r="G597" t="inlineStr">
        <is>
          <t>5 Star Weak Foot Upgrade - EA SPORTS FC 26</t>
        </is>
      </c>
      <c r="H597" t="inlineStr">
        <is>
          <t>Reward</t>
        </is>
      </c>
      <c r="I597" t="inlineStr">
        <is>
          <t>Objective</t>
        </is>
      </c>
      <c r="J597" t="inlineStr">
        <is>
          <t>https://www.fut.gg/evolutions/1803-5-star-weak-foot-upgrade/</t>
        </is>
      </c>
    </row>
    <row r="598">
      <c r="B598" t="inlineStr">
        <is>
          <t>Skill</t>
        </is>
      </c>
      <c r="C598" t="inlineStr">
        <is>
          <t>SM</t>
        </is>
      </c>
      <c r="D598" t="n">
        <v>4</v>
      </c>
      <c r="E598" t="n">
        <v>5</v>
      </c>
      <c r="F598" t="inlineStr">
        <is>
          <t>+4 SM 5</t>
        </is>
      </c>
      <c r="G598" t="inlineStr">
        <is>
          <t>5 Star Skill Moves Upgrade - EA SPORTS FC 26</t>
        </is>
      </c>
      <c r="H598" t="inlineStr">
        <is>
          <t>Reward</t>
        </is>
      </c>
      <c r="I598" t="inlineStr">
        <is>
          <t>Objective</t>
        </is>
      </c>
      <c r="J598" t="inlineStr">
        <is>
          <t>https://www.fut.gg/evolutions/1802-5-star-skill-moves-upgrade/</t>
        </is>
      </c>
    </row>
    <row r="599">
      <c r="B599" t="inlineStr">
        <is>
          <t>Skill</t>
        </is>
      </c>
      <c r="C599" t="inlineStr">
        <is>
          <t>SM</t>
        </is>
      </c>
      <c r="D599" t="n">
        <v>4</v>
      </c>
      <c r="E599" t="n">
        <v>5</v>
      </c>
      <c r="F599" t="inlineStr">
        <is>
          <t>+4 SM 5</t>
        </is>
      </c>
      <c r="G599" t="inlineStr">
        <is>
          <t>5 Star Skill Moves Upgrade - EA SPORTS FC 26</t>
        </is>
      </c>
      <c r="H599" t="inlineStr">
        <is>
          <t>Reward</t>
        </is>
      </c>
      <c r="I599" t="inlineStr">
        <is>
          <t>Objective</t>
        </is>
      </c>
      <c r="J599" t="inlineStr">
        <is>
          <t>https://www.fut.gg/evolutions/1802-5-star-skill-moves-upgrade/</t>
        </is>
      </c>
    </row>
    <row r="600">
      <c r="B600" t="inlineStr">
        <is>
          <t>Face Stat</t>
        </is>
      </c>
      <c r="C600" t="inlineStr">
        <is>
          <t>OVR</t>
        </is>
      </c>
      <c r="D600" t="n">
        <v>2</v>
      </c>
      <c r="E600" t="n">
        <v>87</v>
      </c>
      <c r="F600" t="inlineStr">
        <is>
          <t>+2 OVR 87</t>
        </is>
      </c>
      <c r="G600" t="inlineStr">
        <is>
          <t>Make Your Idol - Attacker 1 [SP 3] - EA SPORTS FC 26</t>
        </is>
      </c>
      <c r="H600" t="inlineStr">
        <is>
          <t>Reward</t>
        </is>
      </c>
      <c r="I600" t="inlineStr">
        <is>
          <t>Standard Season Pass</t>
        </is>
      </c>
      <c r="J600" t="inlineStr">
        <is>
          <t>https://www.fut.gg/evolutions/1788-make-your-idol-attacker-1-sp-3/</t>
        </is>
      </c>
    </row>
    <row r="601">
      <c r="B601" t="inlineStr">
        <is>
          <t>Skill</t>
        </is>
      </c>
      <c r="C601" t="inlineStr">
        <is>
          <t>SM</t>
        </is>
      </c>
      <c r="D601" t="n">
        <v>3</v>
      </c>
      <c r="E601" t="n">
        <v>4</v>
      </c>
      <c r="F601" t="inlineStr">
        <is>
          <t>+3 SM 4</t>
        </is>
      </c>
      <c r="G601" t="inlineStr">
        <is>
          <t>Make Your Idol - Attacker 1 [SP 3] - EA SPORTS FC 26</t>
        </is>
      </c>
      <c r="H601" t="inlineStr">
        <is>
          <t>Reward</t>
        </is>
      </c>
      <c r="I601" t="inlineStr">
        <is>
          <t>Standard Season Pass</t>
        </is>
      </c>
      <c r="J601" t="inlineStr">
        <is>
          <t>https://www.fut.gg/evolutions/1788-make-your-idol-attacker-1-sp-3/</t>
        </is>
      </c>
    </row>
    <row r="602">
      <c r="B602" t="inlineStr">
        <is>
          <t>Skill</t>
        </is>
      </c>
      <c r="C602" t="inlineStr">
        <is>
          <t>WF</t>
        </is>
      </c>
      <c r="D602" t="n">
        <v>3</v>
      </c>
      <c r="E602" t="n">
        <v>4</v>
      </c>
      <c r="F602" t="inlineStr">
        <is>
          <t>+3 WF 4</t>
        </is>
      </c>
      <c r="G602" t="inlineStr">
        <is>
          <t>Make Your Idol - Attacker 1 [SP 3] - EA SPORTS FC 26</t>
        </is>
      </c>
      <c r="H602" t="inlineStr">
        <is>
          <t>Reward</t>
        </is>
      </c>
      <c r="I602" t="inlineStr">
        <is>
          <t>Standard Season Pass</t>
        </is>
      </c>
      <c r="J602" t="inlineStr">
        <is>
          <t>https://www.fut.gg/evolutions/1788-make-your-idol-attacker-1-sp-3/</t>
        </is>
      </c>
    </row>
    <row r="603">
      <c r="B603" t="inlineStr">
        <is>
          <t>Sub Stat</t>
        </is>
      </c>
      <c r="C603" t="inlineStr">
        <is>
          <t>Acceleration</t>
        </is>
      </c>
      <c r="D603" t="n">
        <v>30</v>
      </c>
      <c r="E603" t="n">
        <v>88</v>
      </c>
      <c r="F603" t="inlineStr">
        <is>
          <t>+30 Acceleration 88</t>
        </is>
      </c>
      <c r="G603" t="inlineStr">
        <is>
          <t>Make Your Idol - Attacker 1 [SP 3] - EA SPORTS FC 26</t>
        </is>
      </c>
      <c r="H603" t="inlineStr">
        <is>
          <t>Reward</t>
        </is>
      </c>
      <c r="I603" t="inlineStr">
        <is>
          <t>Standard Season Pass</t>
        </is>
      </c>
      <c r="J603" t="inlineStr">
        <is>
          <t>https://www.fut.gg/evolutions/1788-make-your-idol-attacker-1-sp-3/</t>
        </is>
      </c>
    </row>
    <row r="604">
      <c r="B604" t="inlineStr">
        <is>
          <t>Sub Stat</t>
        </is>
      </c>
      <c r="C604" t="inlineStr">
        <is>
          <t>Shot Power</t>
        </is>
      </c>
      <c r="D604" t="n">
        <v>30</v>
      </c>
      <c r="E604" t="n">
        <v>87</v>
      </c>
      <c r="F604" t="inlineStr">
        <is>
          <t>+30 Shot Power 87</t>
        </is>
      </c>
      <c r="G604" t="inlineStr">
        <is>
          <t>Make Your Idol - Attacker 1 [SP 3] - EA SPORTS FC 26</t>
        </is>
      </c>
      <c r="H604" t="inlineStr">
        <is>
          <t>Reward</t>
        </is>
      </c>
      <c r="I604" t="inlineStr">
        <is>
          <t>Standard Season Pass</t>
        </is>
      </c>
      <c r="J604" t="inlineStr">
        <is>
          <t>https://www.fut.gg/evolutions/1788-make-your-idol-attacker-1-sp-3/</t>
        </is>
      </c>
    </row>
    <row r="605">
      <c r="B605" t="inlineStr">
        <is>
          <t>Sub Stat</t>
        </is>
      </c>
      <c r="C605" t="inlineStr">
        <is>
          <t>Long Shots</t>
        </is>
      </c>
      <c r="D605" t="n">
        <v>30</v>
      </c>
      <c r="E605" t="n">
        <v>86</v>
      </c>
      <c r="F605" t="inlineStr">
        <is>
          <t>+30 Long Shots 86</t>
        </is>
      </c>
      <c r="G605" t="inlineStr">
        <is>
          <t>Make Your Idol - Attacker 1 [SP 3] - EA SPORTS FC 26</t>
        </is>
      </c>
      <c r="H605" t="inlineStr">
        <is>
          <t>Reward</t>
        </is>
      </c>
      <c r="I605" t="inlineStr">
        <is>
          <t>Standard Season Pass</t>
        </is>
      </c>
      <c r="J605" t="inlineStr">
        <is>
          <t>https://www.fut.gg/evolutions/1788-make-your-idol-attacker-1-sp-3/</t>
        </is>
      </c>
    </row>
    <row r="606">
      <c r="B606" t="inlineStr">
        <is>
          <t>Sub Stat</t>
        </is>
      </c>
      <c r="C606" t="inlineStr">
        <is>
          <t>Volleys</t>
        </is>
      </c>
      <c r="D606" t="n">
        <v>30</v>
      </c>
      <c r="E606" t="n">
        <v>85</v>
      </c>
      <c r="F606" t="inlineStr">
        <is>
          <t>+30 Volleys 85</t>
        </is>
      </c>
      <c r="G606" t="inlineStr">
        <is>
          <t>Make Your Idol - Attacker 1 [SP 3] - EA SPORTS FC 26</t>
        </is>
      </c>
      <c r="H606" t="inlineStr">
        <is>
          <t>Reward</t>
        </is>
      </c>
      <c r="I606" t="inlineStr">
        <is>
          <t>Standard Season Pass</t>
        </is>
      </c>
      <c r="J606" t="inlineStr">
        <is>
          <t>https://www.fut.gg/evolutions/1788-make-your-idol-attacker-1-sp-3/</t>
        </is>
      </c>
    </row>
    <row r="607">
      <c r="B607" t="inlineStr">
        <is>
          <t>Sub Stat</t>
        </is>
      </c>
      <c r="C607" t="inlineStr">
        <is>
          <t>Balance</t>
        </is>
      </c>
      <c r="D607" t="n">
        <v>30</v>
      </c>
      <c r="E607" t="n">
        <v>88</v>
      </c>
      <c r="F607" t="inlineStr">
        <is>
          <t>+30 Balance 88</t>
        </is>
      </c>
      <c r="G607" t="inlineStr">
        <is>
          <t>Make Your Idol - Attacker 1 [SP 3] - EA SPORTS FC 26</t>
        </is>
      </c>
      <c r="H607" t="inlineStr">
        <is>
          <t>Reward</t>
        </is>
      </c>
      <c r="I607" t="inlineStr">
        <is>
          <t>Standard Season Pass</t>
        </is>
      </c>
      <c r="J607" t="inlineStr">
        <is>
          <t>https://www.fut.gg/evolutions/1788-make-your-idol-attacker-1-sp-3/</t>
        </is>
      </c>
    </row>
    <row r="608">
      <c r="B608" t="inlineStr">
        <is>
          <t>Sub Stat</t>
        </is>
      </c>
      <c r="C608" t="inlineStr">
        <is>
          <t>Sprint Speed</t>
        </is>
      </c>
      <c r="D608" t="n">
        <v>30</v>
      </c>
      <c r="E608" t="n">
        <v>89</v>
      </c>
      <c r="F608" t="inlineStr">
        <is>
          <t>+30 Sprint Speed 89</t>
        </is>
      </c>
      <c r="G608" t="inlineStr">
        <is>
          <t>Make Your Idol - Attacker 1 [SP 3] - EA SPORTS FC 26</t>
        </is>
      </c>
      <c r="H608" t="inlineStr">
        <is>
          <t>Reward</t>
        </is>
      </c>
      <c r="I608" t="inlineStr">
        <is>
          <t>Standard Season Pass</t>
        </is>
      </c>
      <c r="J608" t="inlineStr">
        <is>
          <t>https://www.fut.gg/evolutions/1788-make-your-idol-attacker-1-sp-3/</t>
        </is>
      </c>
    </row>
    <row r="609">
      <c r="B609" t="inlineStr">
        <is>
          <t>Sub Stat</t>
        </is>
      </c>
      <c r="C609" t="inlineStr">
        <is>
          <t>Positioning</t>
        </is>
      </c>
      <c r="D609" t="n">
        <v>30</v>
      </c>
      <c r="E609" t="n">
        <v>87</v>
      </c>
      <c r="F609" t="inlineStr">
        <is>
          <t>+30 Positioning 87</t>
        </is>
      </c>
      <c r="G609" t="inlineStr">
        <is>
          <t>Make Your Idol - Attacker 1 [SP 3] - EA SPORTS FC 26</t>
        </is>
      </c>
      <c r="H609" t="inlineStr">
        <is>
          <t>Reward</t>
        </is>
      </c>
      <c r="I609" t="inlineStr">
        <is>
          <t>Standard Season Pass</t>
        </is>
      </c>
      <c r="J609" t="inlineStr">
        <is>
          <t>https://www.fut.gg/evolutions/1788-make-your-idol-attacker-1-sp-3/</t>
        </is>
      </c>
    </row>
    <row r="610">
      <c r="B610" t="inlineStr">
        <is>
          <t>Sub Stat</t>
        </is>
      </c>
      <c r="C610" t="inlineStr">
        <is>
          <t>Finishing</t>
        </is>
      </c>
      <c r="D610" t="n">
        <v>30</v>
      </c>
      <c r="E610" t="n">
        <v>87</v>
      </c>
      <c r="F610" t="inlineStr">
        <is>
          <t>+30 Finishing 87</t>
        </is>
      </c>
      <c r="G610" t="inlineStr">
        <is>
          <t>Make Your Idol - Attacker 1 [SP 3] - EA SPORTS FC 26</t>
        </is>
      </c>
      <c r="H610" t="inlineStr">
        <is>
          <t>Reward</t>
        </is>
      </c>
      <c r="I610" t="inlineStr">
        <is>
          <t>Standard Season Pass</t>
        </is>
      </c>
      <c r="J610" t="inlineStr">
        <is>
          <t>https://www.fut.gg/evolutions/1788-make-your-idol-attacker-1-sp-3/</t>
        </is>
      </c>
    </row>
    <row r="611">
      <c r="B611" t="inlineStr">
        <is>
          <t>Sub Stat</t>
        </is>
      </c>
      <c r="C611" t="inlineStr">
        <is>
          <t>Penalties</t>
        </is>
      </c>
      <c r="D611" t="n">
        <v>30</v>
      </c>
      <c r="E611" t="n">
        <v>85</v>
      </c>
      <c r="F611" t="inlineStr">
        <is>
          <t>+30 Penalties 85</t>
        </is>
      </c>
      <c r="G611" t="inlineStr">
        <is>
          <t>Make Your Idol - Attacker 1 [SP 3] - EA SPORTS FC 26</t>
        </is>
      </c>
      <c r="H611" t="inlineStr">
        <is>
          <t>Reward</t>
        </is>
      </c>
      <c r="I611" t="inlineStr">
        <is>
          <t>Standard Season Pass</t>
        </is>
      </c>
      <c r="J611" t="inlineStr">
        <is>
          <t>https://www.fut.gg/evolutions/1788-make-your-idol-attacker-1-sp-3/</t>
        </is>
      </c>
    </row>
    <row r="612">
      <c r="B612" t="inlineStr">
        <is>
          <t>Sub Stat</t>
        </is>
      </c>
      <c r="C612" t="inlineStr">
        <is>
          <t>Vision</t>
        </is>
      </c>
      <c r="D612" t="n">
        <v>30</v>
      </c>
      <c r="E612" t="n">
        <v>87</v>
      </c>
      <c r="F612" t="inlineStr">
        <is>
          <t>+30 Vision 87</t>
        </is>
      </c>
      <c r="G612" t="inlineStr">
        <is>
          <t>Make Your Idol - Attacker 1 [SP 3] - EA SPORTS FC 26</t>
        </is>
      </c>
      <c r="H612" t="inlineStr">
        <is>
          <t>Reward</t>
        </is>
      </c>
      <c r="I612" t="inlineStr">
        <is>
          <t>Standard Season Pass</t>
        </is>
      </c>
      <c r="J612" t="inlineStr">
        <is>
          <t>https://www.fut.gg/evolutions/1788-make-your-idol-attacker-1-sp-3/</t>
        </is>
      </c>
    </row>
    <row r="613">
      <c r="B613" t="inlineStr">
        <is>
          <t>Sub Stat</t>
        </is>
      </c>
      <c r="C613" t="inlineStr">
        <is>
          <t>Dribbling</t>
        </is>
      </c>
      <c r="D613" t="n">
        <v>30</v>
      </c>
      <c r="E613" t="n">
        <v>87</v>
      </c>
      <c r="F613" t="inlineStr">
        <is>
          <t>+30 Dribbling 87</t>
        </is>
      </c>
      <c r="G613" t="inlineStr">
        <is>
          <t>Make Your Idol - Attacker 1 [SP 3] - EA SPORTS FC 26</t>
        </is>
      </c>
      <c r="H613" t="inlineStr">
        <is>
          <t>Reward</t>
        </is>
      </c>
      <c r="I613" t="inlineStr">
        <is>
          <t>Standard Season Pass</t>
        </is>
      </c>
      <c r="J613" t="inlineStr">
        <is>
          <t>https://www.fut.gg/evolutions/1788-make-your-idol-attacker-1-sp-3/</t>
        </is>
      </c>
    </row>
    <row r="614">
      <c r="B614" t="inlineStr">
        <is>
          <t>Sub Stat</t>
        </is>
      </c>
      <c r="C614" t="inlineStr">
        <is>
          <t>Composure</t>
        </is>
      </c>
      <c r="D614" t="n">
        <v>30</v>
      </c>
      <c r="E614" t="n">
        <v>87</v>
      </c>
      <c r="F614" t="inlineStr">
        <is>
          <t>+30 Composure 87</t>
        </is>
      </c>
      <c r="G614" t="inlineStr">
        <is>
          <t>Make Your Idol - Attacker 1 [SP 3] - EA SPORTS FC 26</t>
        </is>
      </c>
      <c r="H614" t="inlineStr">
        <is>
          <t>Reward</t>
        </is>
      </c>
      <c r="I614" t="inlineStr">
        <is>
          <t>Standard Season Pass</t>
        </is>
      </c>
      <c r="J614" t="inlineStr">
        <is>
          <t>https://www.fut.gg/evolutions/1788-make-your-idol-attacker-1-sp-3/</t>
        </is>
      </c>
    </row>
    <row r="615">
      <c r="B615" t="inlineStr">
        <is>
          <t>Sub Stat</t>
        </is>
      </c>
      <c r="C615" t="inlineStr">
        <is>
          <t>Ball Control</t>
        </is>
      </c>
      <c r="D615" t="n">
        <v>30</v>
      </c>
      <c r="E615" t="n">
        <v>87</v>
      </c>
      <c r="F615" t="inlineStr">
        <is>
          <t>+30 Ball Control 87</t>
        </is>
      </c>
      <c r="G615" t="inlineStr">
        <is>
          <t>Make Your Idol - Attacker 1 [SP 3] - EA SPORTS FC 26</t>
        </is>
      </c>
      <c r="H615" t="inlineStr">
        <is>
          <t>Reward</t>
        </is>
      </c>
      <c r="I615" t="inlineStr">
        <is>
          <t>Standard Season Pass</t>
        </is>
      </c>
      <c r="J615" t="inlineStr">
        <is>
          <t>https://www.fut.gg/evolutions/1788-make-your-idol-attacker-1-sp-3/</t>
        </is>
      </c>
    </row>
    <row r="616">
      <c r="B616" t="inlineStr">
        <is>
          <t>Sub Stat</t>
        </is>
      </c>
      <c r="C616" t="inlineStr">
        <is>
          <t>Reactions</t>
        </is>
      </c>
      <c r="D616" t="n">
        <v>30</v>
      </c>
      <c r="E616" t="n">
        <v>87</v>
      </c>
      <c r="F616" t="inlineStr">
        <is>
          <t>+30 Reactions 87</t>
        </is>
      </c>
      <c r="G616" t="inlineStr">
        <is>
          <t>Make Your Idol - Attacker 1 [SP 3] - EA SPORTS FC 26</t>
        </is>
      </c>
      <c r="H616" t="inlineStr">
        <is>
          <t>Reward</t>
        </is>
      </c>
      <c r="I616" t="inlineStr">
        <is>
          <t>Standard Season Pass</t>
        </is>
      </c>
      <c r="J616" t="inlineStr">
        <is>
          <t>https://www.fut.gg/evolutions/1788-make-your-idol-attacker-1-sp-3/</t>
        </is>
      </c>
    </row>
    <row r="617">
      <c r="B617" t="inlineStr">
        <is>
          <t>Sub Stat</t>
        </is>
      </c>
      <c r="C617" t="inlineStr">
        <is>
          <t>Crossing</t>
        </is>
      </c>
      <c r="D617" t="n">
        <v>30</v>
      </c>
      <c r="E617" t="n">
        <v>82</v>
      </c>
      <c r="F617" t="inlineStr">
        <is>
          <t>+30 Crossing 82</t>
        </is>
      </c>
      <c r="G617" t="inlineStr">
        <is>
          <t>Make Your Idol - Attacker 1 [SP 3] - EA SPORTS FC 26</t>
        </is>
      </c>
      <c r="H617" t="inlineStr">
        <is>
          <t>Reward</t>
        </is>
      </c>
      <c r="I617" t="inlineStr">
        <is>
          <t>Standard Season Pass</t>
        </is>
      </c>
      <c r="J617" t="inlineStr">
        <is>
          <t>https://www.fut.gg/evolutions/1788-make-your-idol-attacker-1-sp-3/</t>
        </is>
      </c>
    </row>
    <row r="618">
      <c r="B618" t="inlineStr">
        <is>
          <t>Sub Stat</t>
        </is>
      </c>
      <c r="C618" t="inlineStr">
        <is>
          <t>Fk Accuracy</t>
        </is>
      </c>
      <c r="D618" t="n">
        <v>30</v>
      </c>
      <c r="E618" t="n">
        <v>85</v>
      </c>
      <c r="F618" t="inlineStr">
        <is>
          <t>+30 Fk Accuracy 85</t>
        </is>
      </c>
      <c r="G618" t="inlineStr">
        <is>
          <t>Make Your Idol - Attacker 1 [SP 3] - EA SPORTS FC 26</t>
        </is>
      </c>
      <c r="H618" t="inlineStr">
        <is>
          <t>Reward</t>
        </is>
      </c>
      <c r="I618" t="inlineStr">
        <is>
          <t>Standard Season Pass</t>
        </is>
      </c>
      <c r="J618" t="inlineStr">
        <is>
          <t>https://www.fut.gg/evolutions/1788-make-your-idol-attacker-1-sp-3/</t>
        </is>
      </c>
    </row>
    <row r="619">
      <c r="B619" t="inlineStr">
        <is>
          <t>Sub Stat</t>
        </is>
      </c>
      <c r="C619" t="inlineStr">
        <is>
          <t>Short Passing</t>
        </is>
      </c>
      <c r="D619" t="n">
        <v>30</v>
      </c>
      <c r="E619" t="n">
        <v>87</v>
      </c>
      <c r="F619" t="inlineStr">
        <is>
          <t>+30 Short Pass 87</t>
        </is>
      </c>
      <c r="G619" t="inlineStr">
        <is>
          <t>Make Your Idol - Attacker 1 [SP 3] - EA SPORTS FC 26</t>
        </is>
      </c>
      <c r="H619" t="inlineStr">
        <is>
          <t>Reward</t>
        </is>
      </c>
      <c r="I619" t="inlineStr">
        <is>
          <t>Standard Season Pass</t>
        </is>
      </c>
      <c r="J619" t="inlineStr">
        <is>
          <t>https://www.fut.gg/evolutions/1788-make-your-idol-attacker-1-sp-3/</t>
        </is>
      </c>
    </row>
    <row r="620">
      <c r="B620" t="inlineStr">
        <is>
          <t>Sub Stat</t>
        </is>
      </c>
      <c r="C620" t="inlineStr">
        <is>
          <t>Long Passing</t>
        </is>
      </c>
      <c r="D620" t="n">
        <v>30</v>
      </c>
      <c r="E620" t="n">
        <v>87</v>
      </c>
      <c r="F620" t="inlineStr">
        <is>
          <t>+30 Long Pass 87</t>
        </is>
      </c>
      <c r="G620" t="inlineStr">
        <is>
          <t>Make Your Idol - Attacker 1 [SP 3] - EA SPORTS FC 26</t>
        </is>
      </c>
      <c r="H620" t="inlineStr">
        <is>
          <t>Reward</t>
        </is>
      </c>
      <c r="I620" t="inlineStr">
        <is>
          <t>Standard Season Pass</t>
        </is>
      </c>
      <c r="J620" t="inlineStr">
        <is>
          <t>https://www.fut.gg/evolutions/1788-make-your-idol-attacker-1-sp-3/</t>
        </is>
      </c>
    </row>
    <row r="621">
      <c r="B621" t="inlineStr">
        <is>
          <t>Sub Stat</t>
        </is>
      </c>
      <c r="C621" t="inlineStr">
        <is>
          <t>Curve</t>
        </is>
      </c>
      <c r="D621" t="n">
        <v>30</v>
      </c>
      <c r="E621" t="n">
        <v>86</v>
      </c>
      <c r="F621" t="inlineStr">
        <is>
          <t>+30 Curve 86</t>
        </is>
      </c>
      <c r="G621" t="inlineStr">
        <is>
          <t>Make Your Idol - Attacker 1 [SP 3] - EA SPORTS FC 26</t>
        </is>
      </c>
      <c r="H621" t="inlineStr">
        <is>
          <t>Reward</t>
        </is>
      </c>
      <c r="I621" t="inlineStr">
        <is>
          <t>Standard Season Pass</t>
        </is>
      </c>
      <c r="J621" t="inlineStr">
        <is>
          <t>https://www.fut.gg/evolutions/1788-make-your-idol-attacker-1-sp-3/</t>
        </is>
      </c>
    </row>
    <row r="622">
      <c r="B622" t="inlineStr">
        <is>
          <t>Sub Stat</t>
        </is>
      </c>
      <c r="C622" t="inlineStr">
        <is>
          <t>Agility</t>
        </is>
      </c>
      <c r="D622" t="n">
        <v>30</v>
      </c>
      <c r="E622" t="n">
        <v>87</v>
      </c>
      <c r="F622" t="inlineStr">
        <is>
          <t>+30 Agility 87</t>
        </is>
      </c>
      <c r="G622" t="inlineStr">
        <is>
          <t>Make Your Idol - Attacker 1 [SP 3] - EA SPORTS FC 26</t>
        </is>
      </c>
      <c r="H622" t="inlineStr">
        <is>
          <t>Reward</t>
        </is>
      </c>
      <c r="I622" t="inlineStr">
        <is>
          <t>Standard Season Pass</t>
        </is>
      </c>
      <c r="J622" t="inlineStr">
        <is>
          <t>https://www.fut.gg/evolutions/1788-make-your-idol-attacker-1-sp-3/</t>
        </is>
      </c>
    </row>
    <row r="623">
      <c r="B623" t="inlineStr">
        <is>
          <t>Face Stat</t>
        </is>
      </c>
      <c r="C623" t="inlineStr">
        <is>
          <t>OVR</t>
        </is>
      </c>
      <c r="D623" t="n">
        <v>2</v>
      </c>
      <c r="E623" t="n">
        <v>87</v>
      </c>
      <c r="F623" t="inlineStr">
        <is>
          <t>+2 OVR 87</t>
        </is>
      </c>
      <c r="G623" t="inlineStr">
        <is>
          <t>Make Your Idol - Attacker 1 [SP 3] - EA SPORTS FC 26</t>
        </is>
      </c>
      <c r="H623" t="inlineStr">
        <is>
          <t>Reward</t>
        </is>
      </c>
      <c r="I623" t="inlineStr">
        <is>
          <t>Standard Season Pass</t>
        </is>
      </c>
      <c r="J623" t="inlineStr">
        <is>
          <t>https://www.fut.gg/evolutions/1788-make-your-idol-attacker-1-sp-3/</t>
        </is>
      </c>
    </row>
    <row r="624">
      <c r="B624" t="inlineStr">
        <is>
          <t>Sub Stat</t>
        </is>
      </c>
      <c r="C624" t="inlineStr">
        <is>
          <t>Acceleration</t>
        </is>
      </c>
      <c r="D624" t="n">
        <v>30</v>
      </c>
      <c r="E624" t="n">
        <v>88</v>
      </c>
      <c r="F624" t="inlineStr">
        <is>
          <t>+30 Acceleration 88</t>
        </is>
      </c>
      <c r="G624" t="inlineStr">
        <is>
          <t>Make Your Idol - Attacker 1 [SP 3] - EA SPORTS FC 26</t>
        </is>
      </c>
      <c r="H624" t="inlineStr">
        <is>
          <t>Reward</t>
        </is>
      </c>
      <c r="I624" t="inlineStr">
        <is>
          <t>Standard Season Pass</t>
        </is>
      </c>
      <c r="J624" t="inlineStr">
        <is>
          <t>https://www.fut.gg/evolutions/1788-make-your-idol-attacker-1-sp-3/</t>
        </is>
      </c>
    </row>
    <row r="625">
      <c r="B625" t="inlineStr">
        <is>
          <t>Sub Stat</t>
        </is>
      </c>
      <c r="C625" t="inlineStr">
        <is>
          <t>Shot Power</t>
        </is>
      </c>
      <c r="D625" t="n">
        <v>30</v>
      </c>
      <c r="E625" t="n">
        <v>87</v>
      </c>
      <c r="F625" t="inlineStr">
        <is>
          <t>+30 Shot Power 87</t>
        </is>
      </c>
      <c r="G625" t="inlineStr">
        <is>
          <t>Make Your Idol - Attacker 1 [SP 3] - EA SPORTS FC 26</t>
        </is>
      </c>
      <c r="H625" t="inlineStr">
        <is>
          <t>Reward</t>
        </is>
      </c>
      <c r="I625" t="inlineStr">
        <is>
          <t>Standard Season Pass</t>
        </is>
      </c>
      <c r="J625" t="inlineStr">
        <is>
          <t>https://www.fut.gg/evolutions/1788-make-your-idol-attacker-1-sp-3/</t>
        </is>
      </c>
    </row>
    <row r="626">
      <c r="B626" t="inlineStr">
        <is>
          <t>Sub Stat</t>
        </is>
      </c>
      <c r="C626" t="inlineStr">
        <is>
          <t>Long Shots</t>
        </is>
      </c>
      <c r="D626" t="n">
        <v>30</v>
      </c>
      <c r="E626" t="n">
        <v>86</v>
      </c>
      <c r="F626" t="inlineStr">
        <is>
          <t>+30 Long Shots 86</t>
        </is>
      </c>
      <c r="G626" t="inlineStr">
        <is>
          <t>Make Your Idol - Attacker 1 [SP 3] - EA SPORTS FC 26</t>
        </is>
      </c>
      <c r="H626" t="inlineStr">
        <is>
          <t>Reward</t>
        </is>
      </c>
      <c r="I626" t="inlineStr">
        <is>
          <t>Standard Season Pass</t>
        </is>
      </c>
      <c r="J626" t="inlineStr">
        <is>
          <t>https://www.fut.gg/evolutions/1788-make-your-idol-attacker-1-sp-3/</t>
        </is>
      </c>
    </row>
    <row r="627">
      <c r="B627" t="inlineStr">
        <is>
          <t>Sub Stat</t>
        </is>
      </c>
      <c r="C627" t="inlineStr">
        <is>
          <t>Volleys</t>
        </is>
      </c>
      <c r="D627" t="n">
        <v>30</v>
      </c>
      <c r="E627" t="n">
        <v>85</v>
      </c>
      <c r="F627" t="inlineStr">
        <is>
          <t>+30 Volleys 85</t>
        </is>
      </c>
      <c r="G627" t="inlineStr">
        <is>
          <t>Make Your Idol - Attacker 1 [SP 3] - EA SPORTS FC 26</t>
        </is>
      </c>
      <c r="H627" t="inlineStr">
        <is>
          <t>Reward</t>
        </is>
      </c>
      <c r="I627" t="inlineStr">
        <is>
          <t>Standard Season Pass</t>
        </is>
      </c>
      <c r="J627" t="inlineStr">
        <is>
          <t>https://www.fut.gg/evolutions/1788-make-your-idol-attacker-1-sp-3/</t>
        </is>
      </c>
    </row>
    <row r="628">
      <c r="B628" t="inlineStr">
        <is>
          <t>Sub Stat</t>
        </is>
      </c>
      <c r="C628" t="inlineStr">
        <is>
          <t>Balance</t>
        </is>
      </c>
      <c r="D628" t="n">
        <v>30</v>
      </c>
      <c r="E628" t="n">
        <v>88</v>
      </c>
      <c r="F628" t="inlineStr">
        <is>
          <t>+30 Balance 88</t>
        </is>
      </c>
      <c r="G628" t="inlineStr">
        <is>
          <t>Make Your Idol - Attacker 1 [SP 3] - EA SPORTS FC 26</t>
        </is>
      </c>
      <c r="H628" t="inlineStr">
        <is>
          <t>Reward</t>
        </is>
      </c>
      <c r="I628" t="inlineStr">
        <is>
          <t>Standard Season Pass</t>
        </is>
      </c>
      <c r="J628" t="inlineStr">
        <is>
          <t>https://www.fut.gg/evolutions/1788-make-your-idol-attacker-1-sp-3/</t>
        </is>
      </c>
    </row>
    <row r="629">
      <c r="B629" t="inlineStr">
        <is>
          <t>Face Stat</t>
        </is>
      </c>
      <c r="C629" t="inlineStr">
        <is>
          <t>OVR</t>
        </is>
      </c>
      <c r="D629" t="n">
        <v>2</v>
      </c>
      <c r="E629" t="n">
        <v>87</v>
      </c>
      <c r="F629" t="inlineStr">
        <is>
          <t>+2 OVR 87</t>
        </is>
      </c>
      <c r="G629" t="inlineStr">
        <is>
          <t>Make Your Idol - Midfielder 1 [SP 3] - EA SPORTS FC 26</t>
        </is>
      </c>
      <c r="H629" t="inlineStr">
        <is>
          <t>Reward</t>
        </is>
      </c>
      <c r="I629" t="inlineStr">
        <is>
          <t>Standard Season Pass</t>
        </is>
      </c>
      <c r="J629" t="inlineStr">
        <is>
          <t>https://www.fut.gg/evolutions/1787-make-your-idol-midfielder-1-sp-3/</t>
        </is>
      </c>
    </row>
    <row r="630">
      <c r="B630" t="inlineStr">
        <is>
          <t>Skill</t>
        </is>
      </c>
      <c r="C630" t="inlineStr">
        <is>
          <t>SM</t>
        </is>
      </c>
      <c r="D630" t="n">
        <v>3</v>
      </c>
      <c r="E630" t="n">
        <v>4</v>
      </c>
      <c r="F630" t="inlineStr">
        <is>
          <t>+3 SM 4</t>
        </is>
      </c>
      <c r="G630" t="inlineStr">
        <is>
          <t>Make Your Idol - Midfielder 1 [SP 3] - EA SPORTS FC 26</t>
        </is>
      </c>
      <c r="H630" t="inlineStr">
        <is>
          <t>Reward</t>
        </is>
      </c>
      <c r="I630" t="inlineStr">
        <is>
          <t>Standard Season Pass</t>
        </is>
      </c>
      <c r="J630" t="inlineStr">
        <is>
          <t>https://www.fut.gg/evolutions/1787-make-your-idol-midfielder-1-sp-3/</t>
        </is>
      </c>
    </row>
    <row r="631">
      <c r="B631" t="inlineStr">
        <is>
          <t>Skill</t>
        </is>
      </c>
      <c r="C631" t="inlineStr">
        <is>
          <t>WF</t>
        </is>
      </c>
      <c r="D631" t="n">
        <v>3</v>
      </c>
      <c r="E631" t="n">
        <v>4</v>
      </c>
      <c r="F631" t="inlineStr">
        <is>
          <t>+3 WF 4</t>
        </is>
      </c>
      <c r="G631" t="inlineStr">
        <is>
          <t>Make Your Idol - Midfielder 1 [SP 3] - EA SPORTS FC 26</t>
        </is>
      </c>
      <c r="H631" t="inlineStr">
        <is>
          <t>Reward</t>
        </is>
      </c>
      <c r="I631" t="inlineStr">
        <is>
          <t>Standard Season Pass</t>
        </is>
      </c>
      <c r="J631" t="inlineStr">
        <is>
          <t>https://www.fut.gg/evolutions/1787-make-your-idol-midfielder-1-sp-3/</t>
        </is>
      </c>
    </row>
    <row r="632">
      <c r="B632" t="inlineStr">
        <is>
          <t>Sub Stat</t>
        </is>
      </c>
      <c r="C632" t="inlineStr">
        <is>
          <t>Vision</t>
        </is>
      </c>
      <c r="D632" t="n">
        <v>30</v>
      </c>
      <c r="E632" t="n">
        <v>89</v>
      </c>
      <c r="F632" t="inlineStr">
        <is>
          <t>+30 Vision 89</t>
        </is>
      </c>
      <c r="G632" t="inlineStr">
        <is>
          <t>Make Your Idol - Midfielder 1 [SP 3] - EA SPORTS FC 26</t>
        </is>
      </c>
      <c r="H632" t="inlineStr">
        <is>
          <t>Reward</t>
        </is>
      </c>
      <c r="I632" t="inlineStr">
        <is>
          <t>Standard Season Pass</t>
        </is>
      </c>
      <c r="J632" t="inlineStr">
        <is>
          <t>https://www.fut.gg/evolutions/1787-make-your-idol-midfielder-1-sp-3/</t>
        </is>
      </c>
    </row>
    <row r="633">
      <c r="B633" t="inlineStr">
        <is>
          <t>Sub Stat</t>
        </is>
      </c>
      <c r="C633" t="inlineStr">
        <is>
          <t>Crossing</t>
        </is>
      </c>
      <c r="D633" t="n">
        <v>30</v>
      </c>
      <c r="E633" t="n">
        <v>86</v>
      </c>
      <c r="F633" t="inlineStr">
        <is>
          <t>+30 Crossing 86</t>
        </is>
      </c>
      <c r="G633" t="inlineStr">
        <is>
          <t>Make Your Idol - Midfielder 1 [SP 3] - EA SPORTS FC 26</t>
        </is>
      </c>
      <c r="H633" t="inlineStr">
        <is>
          <t>Reward</t>
        </is>
      </c>
      <c r="I633" t="inlineStr">
        <is>
          <t>Standard Season Pass</t>
        </is>
      </c>
      <c r="J633" t="inlineStr">
        <is>
          <t>https://www.fut.gg/evolutions/1787-make-your-idol-midfielder-1-sp-3/</t>
        </is>
      </c>
    </row>
    <row r="634">
      <c r="B634" t="inlineStr">
        <is>
          <t>Sub Stat</t>
        </is>
      </c>
      <c r="C634" t="inlineStr">
        <is>
          <t>Fk Accuracy</t>
        </is>
      </c>
      <c r="D634" t="n">
        <v>30</v>
      </c>
      <c r="E634" t="n">
        <v>89</v>
      </c>
      <c r="F634" t="inlineStr">
        <is>
          <t>+30 Fk Accuracy 89</t>
        </is>
      </c>
      <c r="G634" t="inlineStr">
        <is>
          <t>Make Your Idol - Midfielder 1 [SP 3] - EA SPORTS FC 26</t>
        </is>
      </c>
      <c r="H634" t="inlineStr">
        <is>
          <t>Reward</t>
        </is>
      </c>
      <c r="I634" t="inlineStr">
        <is>
          <t>Standard Season Pass</t>
        </is>
      </c>
      <c r="J634" t="inlineStr">
        <is>
          <t>https://www.fut.gg/evolutions/1787-make-your-idol-midfielder-1-sp-3/</t>
        </is>
      </c>
    </row>
    <row r="635">
      <c r="B635" t="inlineStr">
        <is>
          <t>Sub Stat</t>
        </is>
      </c>
      <c r="C635" t="inlineStr">
        <is>
          <t>Short Passing</t>
        </is>
      </c>
      <c r="D635" t="n">
        <v>30</v>
      </c>
      <c r="E635" t="n">
        <v>87</v>
      </c>
      <c r="F635" t="inlineStr">
        <is>
          <t>+30 Short Pass 87</t>
        </is>
      </c>
      <c r="G635" t="inlineStr">
        <is>
          <t>Make Your Idol - Midfielder 1 [SP 3] - EA SPORTS FC 26</t>
        </is>
      </c>
      <c r="H635" t="inlineStr">
        <is>
          <t>Reward</t>
        </is>
      </c>
      <c r="I635" t="inlineStr">
        <is>
          <t>Standard Season Pass</t>
        </is>
      </c>
      <c r="J635" t="inlineStr">
        <is>
          <t>https://www.fut.gg/evolutions/1787-make-your-idol-midfielder-1-sp-3/</t>
        </is>
      </c>
    </row>
    <row r="636">
      <c r="B636" t="inlineStr">
        <is>
          <t>Sub Stat</t>
        </is>
      </c>
      <c r="C636" t="inlineStr">
        <is>
          <t>Long Passing</t>
        </is>
      </c>
      <c r="D636" t="n">
        <v>30</v>
      </c>
      <c r="E636" t="n">
        <v>89</v>
      </c>
      <c r="F636" t="inlineStr">
        <is>
          <t>+30 Long Pass 89</t>
        </is>
      </c>
      <c r="G636" t="inlineStr">
        <is>
          <t>Make Your Idol - Midfielder 1 [SP 3] - EA SPORTS FC 26</t>
        </is>
      </c>
      <c r="H636" t="inlineStr">
        <is>
          <t>Reward</t>
        </is>
      </c>
      <c r="I636" t="inlineStr">
        <is>
          <t>Standard Season Pass</t>
        </is>
      </c>
      <c r="J636" t="inlineStr">
        <is>
          <t>https://www.fut.gg/evolutions/1787-make-your-idol-midfielder-1-sp-3/</t>
        </is>
      </c>
    </row>
    <row r="637">
      <c r="B637" t="inlineStr">
        <is>
          <t>Sub Stat</t>
        </is>
      </c>
      <c r="C637" t="inlineStr">
        <is>
          <t>Acceleration</t>
        </is>
      </c>
      <c r="D637" t="n">
        <v>30</v>
      </c>
      <c r="E637" t="n">
        <v>85</v>
      </c>
      <c r="F637" t="inlineStr">
        <is>
          <t>+30 Acceleration 85</t>
        </is>
      </c>
      <c r="G637" t="inlineStr">
        <is>
          <t>Make Your Idol - Midfielder 1 [SP 3] - EA SPORTS FC 26</t>
        </is>
      </c>
      <c r="H637" t="inlineStr">
        <is>
          <t>Reward</t>
        </is>
      </c>
      <c r="I637" t="inlineStr">
        <is>
          <t>Standard Season Pass</t>
        </is>
      </c>
      <c r="J637" t="inlineStr">
        <is>
          <t>https://www.fut.gg/evolutions/1787-make-your-idol-midfielder-1-sp-3/</t>
        </is>
      </c>
    </row>
    <row r="638">
      <c r="B638" t="inlineStr">
        <is>
          <t>Sub Stat</t>
        </is>
      </c>
      <c r="C638" t="inlineStr">
        <is>
          <t>Sprint Speed</t>
        </is>
      </c>
      <c r="D638" t="n">
        <v>30</v>
      </c>
      <c r="E638" t="n">
        <v>85</v>
      </c>
      <c r="F638" t="inlineStr">
        <is>
          <t>+30 Sprint Speed 85</t>
        </is>
      </c>
      <c r="G638" t="inlineStr">
        <is>
          <t>Make Your Idol - Midfielder 1 [SP 3] - EA SPORTS FC 26</t>
        </is>
      </c>
      <c r="H638" t="inlineStr">
        <is>
          <t>Reward</t>
        </is>
      </c>
      <c r="I638" t="inlineStr">
        <is>
          <t>Standard Season Pass</t>
        </is>
      </c>
      <c r="J638" t="inlineStr">
        <is>
          <t>https://www.fut.gg/evolutions/1787-make-your-idol-midfielder-1-sp-3/</t>
        </is>
      </c>
    </row>
    <row r="639">
      <c r="B639" t="inlineStr">
        <is>
          <t>Sub Stat</t>
        </is>
      </c>
      <c r="C639" t="inlineStr">
        <is>
          <t>Curve</t>
        </is>
      </c>
      <c r="D639" t="n">
        <v>30</v>
      </c>
      <c r="E639" t="n">
        <v>88</v>
      </c>
      <c r="F639" t="inlineStr">
        <is>
          <t>+30 Curve 88</t>
        </is>
      </c>
      <c r="G639" t="inlineStr">
        <is>
          <t>Make Your Idol - Midfielder 1 [SP 3] - EA SPORTS FC 26</t>
        </is>
      </c>
      <c r="H639" t="inlineStr">
        <is>
          <t>Reward</t>
        </is>
      </c>
      <c r="I639" t="inlineStr">
        <is>
          <t>Standard Season Pass</t>
        </is>
      </c>
      <c r="J639" t="inlineStr">
        <is>
          <t>https://www.fut.gg/evolutions/1787-make-your-idol-midfielder-1-sp-3/</t>
        </is>
      </c>
    </row>
    <row r="640">
      <c r="B640" t="inlineStr">
        <is>
          <t>Sub Stat</t>
        </is>
      </c>
      <c r="C640" t="inlineStr">
        <is>
          <t>Agility</t>
        </is>
      </c>
      <c r="D640" t="n">
        <v>30</v>
      </c>
      <c r="E640" t="n">
        <v>89</v>
      </c>
      <c r="F640" t="inlineStr">
        <is>
          <t>+30 Agility 89</t>
        </is>
      </c>
      <c r="G640" t="inlineStr">
        <is>
          <t>Make Your Idol - Midfielder 1 [SP 3] - EA SPORTS FC 26</t>
        </is>
      </c>
      <c r="H640" t="inlineStr">
        <is>
          <t>Reward</t>
        </is>
      </c>
      <c r="I640" t="inlineStr">
        <is>
          <t>Standard Season Pass</t>
        </is>
      </c>
      <c r="J640" t="inlineStr">
        <is>
          <t>https://www.fut.gg/evolutions/1787-make-your-idol-midfielder-1-sp-3/</t>
        </is>
      </c>
    </row>
    <row r="641">
      <c r="B641" t="inlineStr">
        <is>
          <t>Sub Stat</t>
        </is>
      </c>
      <c r="C641" t="inlineStr">
        <is>
          <t>Reactions</t>
        </is>
      </c>
      <c r="D641" t="n">
        <v>30</v>
      </c>
      <c r="E641" t="n">
        <v>85</v>
      </c>
      <c r="F641" t="inlineStr">
        <is>
          <t>+30 Reactions 85</t>
        </is>
      </c>
      <c r="G641" t="inlineStr">
        <is>
          <t>Make Your Idol - Midfielder 1 [SP 3] - EA SPORTS FC 26</t>
        </is>
      </c>
      <c r="H641" t="inlineStr">
        <is>
          <t>Reward</t>
        </is>
      </c>
      <c r="I641" t="inlineStr">
        <is>
          <t>Standard Season Pass</t>
        </is>
      </c>
      <c r="J641" t="inlineStr">
        <is>
          <t>https://www.fut.gg/evolutions/1787-make-your-idol-midfielder-1-sp-3/</t>
        </is>
      </c>
    </row>
    <row r="642">
      <c r="B642" t="inlineStr">
        <is>
          <t>Sub Stat</t>
        </is>
      </c>
      <c r="C642" t="inlineStr">
        <is>
          <t>Dribbling</t>
        </is>
      </c>
      <c r="D642" t="n">
        <v>30</v>
      </c>
      <c r="E642" t="n">
        <v>87</v>
      </c>
      <c r="F642" t="inlineStr">
        <is>
          <t>+30 Dribbling 87</t>
        </is>
      </c>
      <c r="G642" t="inlineStr">
        <is>
          <t>Make Your Idol - Midfielder 1 [SP 3] - EA SPORTS FC 26</t>
        </is>
      </c>
      <c r="H642" t="inlineStr">
        <is>
          <t>Reward</t>
        </is>
      </c>
      <c r="I642" t="inlineStr">
        <is>
          <t>Standard Season Pass</t>
        </is>
      </c>
      <c r="J642" t="inlineStr">
        <is>
          <t>https://www.fut.gg/evolutions/1787-make-your-idol-midfielder-1-sp-3/</t>
        </is>
      </c>
    </row>
    <row r="643">
      <c r="B643" t="inlineStr">
        <is>
          <t>Sub Stat</t>
        </is>
      </c>
      <c r="C643" t="inlineStr">
        <is>
          <t>Standing Tackle</t>
        </is>
      </c>
      <c r="D643" t="n">
        <v>30</v>
      </c>
      <c r="E643" t="n">
        <v>82</v>
      </c>
      <c r="F643" t="inlineStr">
        <is>
          <t>+30 Standing Tackle 82</t>
        </is>
      </c>
      <c r="G643" t="inlineStr">
        <is>
          <t>Make Your Idol - Midfielder 1 [SP 3] - EA SPORTS FC 26</t>
        </is>
      </c>
      <c r="H643" t="inlineStr">
        <is>
          <t>Reward</t>
        </is>
      </c>
      <c r="I643" t="inlineStr">
        <is>
          <t>Standard Season Pass</t>
        </is>
      </c>
      <c r="J643" t="inlineStr">
        <is>
          <t>https://www.fut.gg/evolutions/1787-make-your-idol-midfielder-1-sp-3/</t>
        </is>
      </c>
    </row>
    <row r="644">
      <c r="B644" t="inlineStr">
        <is>
          <t>Sub Stat</t>
        </is>
      </c>
      <c r="C644" t="inlineStr">
        <is>
          <t>Stamina</t>
        </is>
      </c>
      <c r="D644" t="n">
        <v>30</v>
      </c>
      <c r="E644" t="n">
        <v>85</v>
      </c>
      <c r="F644" t="inlineStr">
        <is>
          <t>+30 Stamina 85</t>
        </is>
      </c>
      <c r="G644" t="inlineStr">
        <is>
          <t>Make Your Idol - Midfielder 1 [SP 3] - EA SPORTS FC 26</t>
        </is>
      </c>
      <c r="H644" t="inlineStr">
        <is>
          <t>Reward</t>
        </is>
      </c>
      <c r="I644" t="inlineStr">
        <is>
          <t>Standard Season Pass</t>
        </is>
      </c>
      <c r="J644" t="inlineStr">
        <is>
          <t>https://www.fut.gg/evolutions/1787-make-your-idol-midfielder-1-sp-3/</t>
        </is>
      </c>
    </row>
    <row r="645">
      <c r="B645" t="inlineStr">
        <is>
          <t>Sub Stat</t>
        </is>
      </c>
      <c r="C645" t="inlineStr">
        <is>
          <t>Strength</t>
        </is>
      </c>
      <c r="D645" t="n">
        <v>30</v>
      </c>
      <c r="E645" t="n">
        <v>83</v>
      </c>
      <c r="F645" t="inlineStr">
        <is>
          <t>+30 Strength 83</t>
        </is>
      </c>
      <c r="G645" t="inlineStr">
        <is>
          <t>Make Your Idol - Midfielder 1 [SP 3] - EA SPORTS FC 26</t>
        </is>
      </c>
      <c r="H645" t="inlineStr">
        <is>
          <t>Reward</t>
        </is>
      </c>
      <c r="I645" t="inlineStr">
        <is>
          <t>Standard Season Pass</t>
        </is>
      </c>
      <c r="J645" t="inlineStr">
        <is>
          <t>https://www.fut.gg/evolutions/1787-make-your-idol-midfielder-1-sp-3/</t>
        </is>
      </c>
    </row>
    <row r="646">
      <c r="B646" t="inlineStr">
        <is>
          <t>Sub Stat</t>
        </is>
      </c>
      <c r="C646" t="inlineStr">
        <is>
          <t>Aggression</t>
        </is>
      </c>
      <c r="D646" t="n">
        <v>30</v>
      </c>
      <c r="E646" t="n">
        <v>85</v>
      </c>
      <c r="F646" t="inlineStr">
        <is>
          <t>+30 Aggression 85</t>
        </is>
      </c>
      <c r="G646" t="inlineStr">
        <is>
          <t>Make Your Idol - Midfielder 1 [SP 3] - EA SPORTS FC 26</t>
        </is>
      </c>
      <c r="H646" t="inlineStr">
        <is>
          <t>Reward</t>
        </is>
      </c>
      <c r="I646" t="inlineStr">
        <is>
          <t>Standard Season Pass</t>
        </is>
      </c>
      <c r="J646" t="inlineStr">
        <is>
          <t>https://www.fut.gg/evolutions/1787-make-your-idol-midfielder-1-sp-3/</t>
        </is>
      </c>
    </row>
    <row r="647">
      <c r="B647" t="inlineStr">
        <is>
          <t>Sub Stat</t>
        </is>
      </c>
      <c r="C647" t="inlineStr">
        <is>
          <t>Ball Control</t>
        </is>
      </c>
      <c r="D647" t="n">
        <v>30</v>
      </c>
      <c r="E647" t="n">
        <v>87</v>
      </c>
      <c r="F647" t="inlineStr">
        <is>
          <t>+30 Ball Control 87</t>
        </is>
      </c>
      <c r="G647" t="inlineStr">
        <is>
          <t>Make Your Idol - Midfielder 1 [SP 3] - EA SPORTS FC 26</t>
        </is>
      </c>
      <c r="H647" t="inlineStr">
        <is>
          <t>Reward</t>
        </is>
      </c>
      <c r="I647" t="inlineStr">
        <is>
          <t>Standard Season Pass</t>
        </is>
      </c>
      <c r="J647" t="inlineStr">
        <is>
          <t>https://www.fut.gg/evolutions/1787-make-your-idol-midfielder-1-sp-3/</t>
        </is>
      </c>
    </row>
    <row r="648">
      <c r="B648" t="inlineStr">
        <is>
          <t>Sub Stat</t>
        </is>
      </c>
      <c r="C648" t="inlineStr">
        <is>
          <t>Defensive Awareness</t>
        </is>
      </c>
      <c r="D648" t="n">
        <v>30</v>
      </c>
      <c r="E648" t="n">
        <v>85</v>
      </c>
      <c r="F648" t="inlineStr">
        <is>
          <t>+30 Defensive Awareness 85</t>
        </is>
      </c>
      <c r="G648" t="inlineStr">
        <is>
          <t>Make Your Idol - Midfielder 1 [SP 3] - EA SPORTS FC 26</t>
        </is>
      </c>
      <c r="H648" t="inlineStr">
        <is>
          <t>Reward</t>
        </is>
      </c>
      <c r="I648" t="inlineStr">
        <is>
          <t>Standard Season Pass</t>
        </is>
      </c>
      <c r="J648" t="inlineStr">
        <is>
          <t>https://www.fut.gg/evolutions/1787-make-your-idol-midfielder-1-sp-3/</t>
        </is>
      </c>
    </row>
    <row r="649">
      <c r="B649" t="inlineStr">
        <is>
          <t>Sub Stat</t>
        </is>
      </c>
      <c r="C649" t="inlineStr">
        <is>
          <t>Sliding Tackle</t>
        </is>
      </c>
      <c r="D649" t="n">
        <v>30</v>
      </c>
      <c r="E649" t="n">
        <v>82</v>
      </c>
      <c r="F649" t="inlineStr">
        <is>
          <t>+30 Sliding Tackle 82</t>
        </is>
      </c>
      <c r="G649" t="inlineStr">
        <is>
          <t>Make Your Idol - Midfielder 1 [SP 3] - EA SPORTS FC 26</t>
        </is>
      </c>
      <c r="H649" t="inlineStr">
        <is>
          <t>Reward</t>
        </is>
      </c>
      <c r="I649" t="inlineStr">
        <is>
          <t>Standard Season Pass</t>
        </is>
      </c>
      <c r="J649" t="inlineStr">
        <is>
          <t>https://www.fut.gg/evolutions/1787-make-your-idol-midfielder-1-sp-3/</t>
        </is>
      </c>
    </row>
    <row r="650">
      <c r="B650" t="inlineStr">
        <is>
          <t>Sub Stat</t>
        </is>
      </c>
      <c r="C650" t="inlineStr">
        <is>
          <t>Jumping</t>
        </is>
      </c>
      <c r="D650" t="n">
        <v>30</v>
      </c>
      <c r="E650" t="n">
        <v>80</v>
      </c>
      <c r="F650" t="inlineStr">
        <is>
          <t>+30 Jumping 80</t>
        </is>
      </c>
      <c r="G650" t="inlineStr">
        <is>
          <t>Make Your Idol - Midfielder 1 [SP 3] - EA SPORTS FC 26</t>
        </is>
      </c>
      <c r="H650" t="inlineStr">
        <is>
          <t>Reward</t>
        </is>
      </c>
      <c r="I650" t="inlineStr">
        <is>
          <t>Standard Season Pass</t>
        </is>
      </c>
      <c r="J650" t="inlineStr">
        <is>
          <t>https://www.fut.gg/evolutions/1787-make-your-idol-midfielder-1-sp-3/</t>
        </is>
      </c>
    </row>
    <row r="651">
      <c r="B651" t="inlineStr">
        <is>
          <t>Sub Stat</t>
        </is>
      </c>
      <c r="C651" t="inlineStr">
        <is>
          <t>Composure</t>
        </is>
      </c>
      <c r="D651" t="n">
        <v>30</v>
      </c>
      <c r="E651" t="n">
        <v>86</v>
      </c>
      <c r="F651" t="inlineStr">
        <is>
          <t>+30 Composure 86</t>
        </is>
      </c>
      <c r="G651" t="inlineStr">
        <is>
          <t>Make Your Idol - Midfielder 1 [SP 3] - EA SPORTS FC 26</t>
        </is>
      </c>
      <c r="H651" t="inlineStr">
        <is>
          <t>Reward</t>
        </is>
      </c>
      <c r="I651" t="inlineStr">
        <is>
          <t>Standard Season Pass</t>
        </is>
      </c>
      <c r="J651" t="inlineStr">
        <is>
          <t>https://www.fut.gg/evolutions/1787-make-your-idol-midfielder-1-sp-3/</t>
        </is>
      </c>
    </row>
    <row r="652">
      <c r="B652" t="inlineStr">
        <is>
          <t>Sub Stat</t>
        </is>
      </c>
      <c r="C652" t="inlineStr">
        <is>
          <t>Interceptions</t>
        </is>
      </c>
      <c r="D652" t="n">
        <v>30</v>
      </c>
      <c r="E652" t="n">
        <v>82</v>
      </c>
      <c r="F652" t="inlineStr">
        <is>
          <t>+30 Interceptions 82</t>
        </is>
      </c>
      <c r="G652" t="inlineStr">
        <is>
          <t>Make Your Idol - Midfielder 1 [SP 3] - EA SPORTS FC 26</t>
        </is>
      </c>
      <c r="H652" t="inlineStr">
        <is>
          <t>Reward</t>
        </is>
      </c>
      <c r="I652" t="inlineStr">
        <is>
          <t>Standard Season Pass</t>
        </is>
      </c>
      <c r="J652" t="inlineStr">
        <is>
          <t>https://www.fut.gg/evolutions/1787-make-your-idol-midfielder-1-sp-3/</t>
        </is>
      </c>
    </row>
    <row r="653">
      <c r="B653" t="inlineStr">
        <is>
          <t>Sub Stat</t>
        </is>
      </c>
      <c r="C653" t="inlineStr">
        <is>
          <t>Heading Accuracy</t>
        </is>
      </c>
      <c r="D653" t="n">
        <v>30</v>
      </c>
      <c r="E653" t="n">
        <v>85</v>
      </c>
      <c r="F653" t="inlineStr">
        <is>
          <t>+30 Heading Acc. 85</t>
        </is>
      </c>
      <c r="G653" t="inlineStr">
        <is>
          <t>Make Your Idol - Midfielder 1 [SP 3] - EA SPORTS FC 26</t>
        </is>
      </c>
      <c r="H653" t="inlineStr">
        <is>
          <t>Reward</t>
        </is>
      </c>
      <c r="I653" t="inlineStr">
        <is>
          <t>Standard Season Pass</t>
        </is>
      </c>
      <c r="J653" t="inlineStr">
        <is>
          <t>https://www.fut.gg/evolutions/1787-make-your-idol-midfielder-1-sp-3/</t>
        </is>
      </c>
    </row>
    <row r="654">
      <c r="B654" t="inlineStr">
        <is>
          <t>Sub Stat</t>
        </is>
      </c>
      <c r="C654" t="inlineStr">
        <is>
          <t>Balance</t>
        </is>
      </c>
      <c r="D654" t="n">
        <v>30</v>
      </c>
      <c r="E654" t="n">
        <v>89</v>
      </c>
      <c r="F654" t="inlineStr">
        <is>
          <t>+30 Balance 89</t>
        </is>
      </c>
      <c r="G654" t="inlineStr">
        <is>
          <t>Make Your Idol - Midfielder 1 [SP 3] - EA SPORTS FC 26</t>
        </is>
      </c>
      <c r="H654" t="inlineStr">
        <is>
          <t>Reward</t>
        </is>
      </c>
      <c r="I654" t="inlineStr">
        <is>
          <t>Standard Season Pass</t>
        </is>
      </c>
      <c r="J654" t="inlineStr">
        <is>
          <t>https://www.fut.gg/evolutions/1787-make-your-idol-midfielder-1-sp-3/</t>
        </is>
      </c>
    </row>
    <row r="655">
      <c r="B655" t="inlineStr">
        <is>
          <t>Face Stat</t>
        </is>
      </c>
      <c r="C655" t="inlineStr">
        <is>
          <t>OVR</t>
        </is>
      </c>
      <c r="D655" t="n">
        <v>2</v>
      </c>
      <c r="E655" t="n">
        <v>87</v>
      </c>
      <c r="F655" t="inlineStr">
        <is>
          <t>+2 OVR 87</t>
        </is>
      </c>
      <c r="G655" t="inlineStr">
        <is>
          <t>Make Your Idol - Midfielder 1 [SP 3] - EA SPORTS FC 26</t>
        </is>
      </c>
      <c r="H655" t="inlineStr">
        <is>
          <t>Reward</t>
        </is>
      </c>
      <c r="I655" t="inlineStr">
        <is>
          <t>Standard Season Pass</t>
        </is>
      </c>
      <c r="J655" t="inlineStr">
        <is>
          <t>https://www.fut.gg/evolutions/1787-make-your-idol-midfielder-1-sp-3/</t>
        </is>
      </c>
    </row>
    <row r="656">
      <c r="B656" t="inlineStr">
        <is>
          <t>Sub Stat</t>
        </is>
      </c>
      <c r="C656" t="inlineStr">
        <is>
          <t>Vision</t>
        </is>
      </c>
      <c r="D656" t="n">
        <v>30</v>
      </c>
      <c r="E656" t="n">
        <v>89</v>
      </c>
      <c r="F656" t="inlineStr">
        <is>
          <t>+30 Vision 89</t>
        </is>
      </c>
      <c r="G656" t="inlineStr">
        <is>
          <t>Make Your Idol - Midfielder 1 [SP 3] - EA SPORTS FC 26</t>
        </is>
      </c>
      <c r="H656" t="inlineStr">
        <is>
          <t>Reward</t>
        </is>
      </c>
      <c r="I656" t="inlineStr">
        <is>
          <t>Standard Season Pass</t>
        </is>
      </c>
      <c r="J656" t="inlineStr">
        <is>
          <t>https://www.fut.gg/evolutions/1787-make-your-idol-midfielder-1-sp-3/</t>
        </is>
      </c>
    </row>
    <row r="657">
      <c r="B657" t="inlineStr">
        <is>
          <t>Sub Stat</t>
        </is>
      </c>
      <c r="C657" t="inlineStr">
        <is>
          <t>Crossing</t>
        </is>
      </c>
      <c r="D657" t="n">
        <v>30</v>
      </c>
      <c r="E657" t="n">
        <v>86</v>
      </c>
      <c r="F657" t="inlineStr">
        <is>
          <t>+30 Crossing 86</t>
        </is>
      </c>
      <c r="G657" t="inlineStr">
        <is>
          <t>Make Your Idol - Midfielder 1 [SP 3] - EA SPORTS FC 26</t>
        </is>
      </c>
      <c r="H657" t="inlineStr">
        <is>
          <t>Reward</t>
        </is>
      </c>
      <c r="I657" t="inlineStr">
        <is>
          <t>Standard Season Pass</t>
        </is>
      </c>
      <c r="J657" t="inlineStr">
        <is>
          <t>https://www.fut.gg/evolutions/1787-make-your-idol-midfielder-1-sp-3/</t>
        </is>
      </c>
    </row>
    <row r="658">
      <c r="B658" t="inlineStr">
        <is>
          <t>Sub Stat</t>
        </is>
      </c>
      <c r="C658" t="inlineStr">
        <is>
          <t>Fk Accuracy</t>
        </is>
      </c>
      <c r="D658" t="n">
        <v>30</v>
      </c>
      <c r="E658" t="n">
        <v>89</v>
      </c>
      <c r="F658" t="inlineStr">
        <is>
          <t>+30 Fk Accuracy 89</t>
        </is>
      </c>
      <c r="G658" t="inlineStr">
        <is>
          <t>Make Your Idol - Midfielder 1 [SP 3] - EA SPORTS FC 26</t>
        </is>
      </c>
      <c r="H658" t="inlineStr">
        <is>
          <t>Reward</t>
        </is>
      </c>
      <c r="I658" t="inlineStr">
        <is>
          <t>Standard Season Pass</t>
        </is>
      </c>
      <c r="J658" t="inlineStr">
        <is>
          <t>https://www.fut.gg/evolutions/1787-make-your-idol-midfielder-1-sp-3/</t>
        </is>
      </c>
    </row>
    <row r="659">
      <c r="B659" t="inlineStr">
        <is>
          <t>Sub Stat</t>
        </is>
      </c>
      <c r="C659" t="inlineStr">
        <is>
          <t>Short Passing</t>
        </is>
      </c>
      <c r="D659" t="n">
        <v>30</v>
      </c>
      <c r="E659" t="n">
        <v>87</v>
      </c>
      <c r="F659" t="inlineStr">
        <is>
          <t>+30 Short Pass 87</t>
        </is>
      </c>
      <c r="G659" t="inlineStr">
        <is>
          <t>Make Your Idol - Midfielder 1 [SP 3] - EA SPORTS FC 26</t>
        </is>
      </c>
      <c r="H659" t="inlineStr">
        <is>
          <t>Reward</t>
        </is>
      </c>
      <c r="I659" t="inlineStr">
        <is>
          <t>Standard Season Pass</t>
        </is>
      </c>
      <c r="J659" t="inlineStr">
        <is>
          <t>https://www.fut.gg/evolutions/1787-make-your-idol-midfielder-1-sp-3/</t>
        </is>
      </c>
    </row>
    <row r="660">
      <c r="B660" t="inlineStr">
        <is>
          <t>Sub Stat</t>
        </is>
      </c>
      <c r="C660" t="inlineStr">
        <is>
          <t>Long Passing</t>
        </is>
      </c>
      <c r="D660" t="n">
        <v>30</v>
      </c>
      <c r="E660" t="n">
        <v>89</v>
      </c>
      <c r="F660" t="inlineStr">
        <is>
          <t>+30 Long Pass 89</t>
        </is>
      </c>
      <c r="G660" t="inlineStr">
        <is>
          <t>Make Your Idol - Midfielder 1 [SP 3] - EA SPORTS FC 26</t>
        </is>
      </c>
      <c r="H660" t="inlineStr">
        <is>
          <t>Reward</t>
        </is>
      </c>
      <c r="I660" t="inlineStr">
        <is>
          <t>Standard Season Pass</t>
        </is>
      </c>
      <c r="J660" t="inlineStr">
        <is>
          <t>https://www.fut.gg/evolutions/1787-make-your-idol-midfielder-1-sp-3/</t>
        </is>
      </c>
    </row>
    <row r="661">
      <c r="B661" t="inlineStr">
        <is>
          <t>Face Stat</t>
        </is>
      </c>
      <c r="C661" t="inlineStr">
        <is>
          <t>OVR</t>
        </is>
      </c>
      <c r="D661" t="n">
        <v>2</v>
      </c>
      <c r="E661" t="n">
        <v>87</v>
      </c>
      <c r="F661" t="inlineStr">
        <is>
          <t>+2 OVR 87</t>
        </is>
      </c>
      <c r="G661" t="inlineStr">
        <is>
          <t>Make Your Idol - Defender 1 [SP 3] - EA SPORTS FC 26</t>
        </is>
      </c>
      <c r="H661" t="inlineStr">
        <is>
          <t>Reward</t>
        </is>
      </c>
      <c r="I661" t="inlineStr">
        <is>
          <t>Standard Season Pass</t>
        </is>
      </c>
      <c r="J661" t="inlineStr">
        <is>
          <t>https://www.fut.gg/evolutions/1786-make-your-idol-defender-1-sp-3/</t>
        </is>
      </c>
    </row>
    <row r="662">
      <c r="B662" t="inlineStr">
        <is>
          <t>Skill</t>
        </is>
      </c>
      <c r="C662" t="inlineStr">
        <is>
          <t>SM</t>
        </is>
      </c>
      <c r="D662" t="n">
        <v>3</v>
      </c>
      <c r="E662" t="n">
        <v>4</v>
      </c>
      <c r="F662" t="inlineStr">
        <is>
          <t>+3 SM 4</t>
        </is>
      </c>
      <c r="G662" t="inlineStr">
        <is>
          <t>Make Your Idol - Defender 1 [SP 3] - EA SPORTS FC 26</t>
        </is>
      </c>
      <c r="H662" t="inlineStr">
        <is>
          <t>Reward</t>
        </is>
      </c>
      <c r="I662" t="inlineStr">
        <is>
          <t>Standard Season Pass</t>
        </is>
      </c>
      <c r="J662" t="inlineStr">
        <is>
          <t>https://www.fut.gg/evolutions/1786-make-your-idol-defender-1-sp-3/</t>
        </is>
      </c>
    </row>
    <row r="663">
      <c r="B663" t="inlineStr">
        <is>
          <t>Skill</t>
        </is>
      </c>
      <c r="C663" t="inlineStr">
        <is>
          <t>WF</t>
        </is>
      </c>
      <c r="D663" t="n">
        <v>3</v>
      </c>
      <c r="E663" t="n">
        <v>4</v>
      </c>
      <c r="F663" t="inlineStr">
        <is>
          <t>+3 WF 4</t>
        </is>
      </c>
      <c r="G663" t="inlineStr">
        <is>
          <t>Make Your Idol - Defender 1 [SP 3] - EA SPORTS FC 26</t>
        </is>
      </c>
      <c r="H663" t="inlineStr">
        <is>
          <t>Reward</t>
        </is>
      </c>
      <c r="I663" t="inlineStr">
        <is>
          <t>Standard Season Pass</t>
        </is>
      </c>
      <c r="J663" t="inlineStr">
        <is>
          <t>https://www.fut.gg/evolutions/1786-make-your-idol-defender-1-sp-3/</t>
        </is>
      </c>
    </row>
    <row r="664">
      <c r="B664" t="inlineStr">
        <is>
          <t>Sub Stat</t>
        </is>
      </c>
      <c r="C664" t="inlineStr">
        <is>
          <t>Acceleration</t>
        </is>
      </c>
      <c r="D664" t="n">
        <v>30</v>
      </c>
      <c r="E664" t="n">
        <v>83</v>
      </c>
      <c r="F664" t="inlineStr">
        <is>
          <t>+30 Acceleration 83</t>
        </is>
      </c>
      <c r="G664" t="inlineStr">
        <is>
          <t>Make Your Idol - Defender 1 [SP 3] - EA SPORTS FC 26</t>
        </is>
      </c>
      <c r="H664" t="inlineStr">
        <is>
          <t>Reward</t>
        </is>
      </c>
      <c r="I664" t="inlineStr">
        <is>
          <t>Standard Season Pass</t>
        </is>
      </c>
      <c r="J664" t="inlineStr">
        <is>
          <t>https://www.fut.gg/evolutions/1786-make-your-idol-defender-1-sp-3/</t>
        </is>
      </c>
    </row>
    <row r="665">
      <c r="B665" t="inlineStr">
        <is>
          <t>Sub Stat</t>
        </is>
      </c>
      <c r="C665" t="inlineStr">
        <is>
          <t>Sprint Speed</t>
        </is>
      </c>
      <c r="D665" t="n">
        <v>30</v>
      </c>
      <c r="E665" t="n">
        <v>85</v>
      </c>
      <c r="F665" t="inlineStr">
        <is>
          <t>+30 Sprint Speed 85</t>
        </is>
      </c>
      <c r="G665" t="inlineStr">
        <is>
          <t>Make Your Idol - Defender 1 [SP 3] - EA SPORTS FC 26</t>
        </is>
      </c>
      <c r="H665" t="inlineStr">
        <is>
          <t>Reward</t>
        </is>
      </c>
      <c r="I665" t="inlineStr">
        <is>
          <t>Standard Season Pass</t>
        </is>
      </c>
      <c r="J665" t="inlineStr">
        <is>
          <t>https://www.fut.gg/evolutions/1786-make-your-idol-defender-1-sp-3/</t>
        </is>
      </c>
    </row>
    <row r="666">
      <c r="B666" t="inlineStr">
        <is>
          <t>Sub Stat</t>
        </is>
      </c>
      <c r="C666" t="inlineStr">
        <is>
          <t>Short Passing</t>
        </is>
      </c>
      <c r="D666" t="n">
        <v>30</v>
      </c>
      <c r="E666" t="n">
        <v>87</v>
      </c>
      <c r="F666" t="inlineStr">
        <is>
          <t>+30 Short Pass 87</t>
        </is>
      </c>
      <c r="G666" t="inlineStr">
        <is>
          <t>Make Your Idol - Defender 1 [SP 3] - EA SPORTS FC 26</t>
        </is>
      </c>
      <c r="H666" t="inlineStr">
        <is>
          <t>Reward</t>
        </is>
      </c>
      <c r="I666" t="inlineStr">
        <is>
          <t>Standard Season Pass</t>
        </is>
      </c>
      <c r="J666" t="inlineStr">
        <is>
          <t>https://www.fut.gg/evolutions/1786-make-your-idol-defender-1-sp-3/</t>
        </is>
      </c>
    </row>
    <row r="667">
      <c r="B667" t="inlineStr">
        <is>
          <t>Sub Stat</t>
        </is>
      </c>
      <c r="C667" t="inlineStr">
        <is>
          <t>Long Passing</t>
        </is>
      </c>
      <c r="D667" t="n">
        <v>30</v>
      </c>
      <c r="E667" t="n">
        <v>88</v>
      </c>
      <c r="F667" t="inlineStr">
        <is>
          <t>+30 Long Pass 88</t>
        </is>
      </c>
      <c r="G667" t="inlineStr">
        <is>
          <t>Make Your Idol - Defender 1 [SP 3] - EA SPORTS FC 26</t>
        </is>
      </c>
      <c r="H667" t="inlineStr">
        <is>
          <t>Reward</t>
        </is>
      </c>
      <c r="I667" t="inlineStr">
        <is>
          <t>Standard Season Pass</t>
        </is>
      </c>
      <c r="J667" t="inlineStr">
        <is>
          <t>https://www.fut.gg/evolutions/1786-make-your-idol-defender-1-sp-3/</t>
        </is>
      </c>
    </row>
    <row r="668">
      <c r="B668" t="inlineStr">
        <is>
          <t>Sub Stat</t>
        </is>
      </c>
      <c r="C668" t="inlineStr">
        <is>
          <t>Reactions</t>
        </is>
      </c>
      <c r="D668" t="n">
        <v>30</v>
      </c>
      <c r="E668" t="n">
        <v>87</v>
      </c>
      <c r="F668" t="inlineStr">
        <is>
          <t>+30 Reactions 87</t>
        </is>
      </c>
      <c r="G668" t="inlineStr">
        <is>
          <t>Make Your Idol - Defender 1 [SP 3] - EA SPORTS FC 26</t>
        </is>
      </c>
      <c r="H668" t="inlineStr">
        <is>
          <t>Reward</t>
        </is>
      </c>
      <c r="I668" t="inlineStr">
        <is>
          <t>Standard Season Pass</t>
        </is>
      </c>
      <c r="J668" t="inlineStr">
        <is>
          <t>https://www.fut.gg/evolutions/1786-make-your-idol-defender-1-sp-3/</t>
        </is>
      </c>
    </row>
    <row r="669">
      <c r="B669" t="inlineStr">
        <is>
          <t>Sub Stat</t>
        </is>
      </c>
      <c r="C669" t="inlineStr">
        <is>
          <t>Agility</t>
        </is>
      </c>
      <c r="D669" t="n">
        <v>30</v>
      </c>
      <c r="E669" t="n">
        <v>76</v>
      </c>
      <c r="F669" t="inlineStr">
        <is>
          <t>+30 Agility 76</t>
        </is>
      </c>
      <c r="G669" t="inlineStr">
        <is>
          <t>Make Your Idol - Defender 1 [SP 3] - EA SPORTS FC 26</t>
        </is>
      </c>
      <c r="H669" t="inlineStr">
        <is>
          <t>Reward</t>
        </is>
      </c>
      <c r="I669" t="inlineStr">
        <is>
          <t>Standard Season Pass</t>
        </is>
      </c>
      <c r="J669" t="inlineStr">
        <is>
          <t>https://www.fut.gg/evolutions/1786-make-your-idol-defender-1-sp-3/</t>
        </is>
      </c>
    </row>
    <row r="670">
      <c r="B670" t="inlineStr">
        <is>
          <t>Sub Stat</t>
        </is>
      </c>
      <c r="C670" t="inlineStr">
        <is>
          <t>Vision</t>
        </is>
      </c>
      <c r="D670" t="n">
        <v>30</v>
      </c>
      <c r="E670" t="n">
        <v>86</v>
      </c>
      <c r="F670" t="inlineStr">
        <is>
          <t>+30 Vision 86</t>
        </is>
      </c>
      <c r="G670" t="inlineStr">
        <is>
          <t>Make Your Idol - Defender 1 [SP 3] - EA SPORTS FC 26</t>
        </is>
      </c>
      <c r="H670" t="inlineStr">
        <is>
          <t>Reward</t>
        </is>
      </c>
      <c r="I670" t="inlineStr">
        <is>
          <t>Standard Season Pass</t>
        </is>
      </c>
      <c r="J670" t="inlineStr">
        <is>
          <t>https://www.fut.gg/evolutions/1786-make-your-idol-defender-1-sp-3/</t>
        </is>
      </c>
    </row>
    <row r="671">
      <c r="B671" t="inlineStr">
        <is>
          <t>Sub Stat</t>
        </is>
      </c>
      <c r="C671" t="inlineStr">
        <is>
          <t>Interceptions</t>
        </is>
      </c>
      <c r="D671" t="n">
        <v>30</v>
      </c>
      <c r="E671" t="n">
        <v>87</v>
      </c>
      <c r="F671" t="inlineStr">
        <is>
          <t>+30 Interceptions 87</t>
        </is>
      </c>
      <c r="G671" t="inlineStr">
        <is>
          <t>Make Your Idol - Defender 1 [SP 3] - EA SPORTS FC 26</t>
        </is>
      </c>
      <c r="H671" t="inlineStr">
        <is>
          <t>Reward</t>
        </is>
      </c>
      <c r="I671" t="inlineStr">
        <is>
          <t>Standard Season Pass</t>
        </is>
      </c>
      <c r="J671" t="inlineStr">
        <is>
          <t>https://www.fut.gg/evolutions/1786-make-your-idol-defender-1-sp-3/</t>
        </is>
      </c>
    </row>
    <row r="672">
      <c r="B672" t="inlineStr">
        <is>
          <t>Sub Stat</t>
        </is>
      </c>
      <c r="C672" t="inlineStr">
        <is>
          <t>Defensive Awareness</t>
        </is>
      </c>
      <c r="D672" t="n">
        <v>30</v>
      </c>
      <c r="E672" t="n">
        <v>85</v>
      </c>
      <c r="F672" t="inlineStr">
        <is>
          <t>+30 Defensive Awareness 85</t>
        </is>
      </c>
      <c r="G672" t="inlineStr">
        <is>
          <t>Make Your Idol - Defender 1 [SP 3] - EA SPORTS FC 26</t>
        </is>
      </c>
      <c r="H672" t="inlineStr">
        <is>
          <t>Reward</t>
        </is>
      </c>
      <c r="I672" t="inlineStr">
        <is>
          <t>Standard Season Pass</t>
        </is>
      </c>
      <c r="J672" t="inlineStr">
        <is>
          <t>https://www.fut.gg/evolutions/1786-make-your-idol-defender-1-sp-3/</t>
        </is>
      </c>
    </row>
    <row r="673">
      <c r="B673" t="inlineStr">
        <is>
          <t>Sub Stat</t>
        </is>
      </c>
      <c r="C673" t="inlineStr">
        <is>
          <t>Standing Tackle</t>
        </is>
      </c>
      <c r="D673" t="n">
        <v>30</v>
      </c>
      <c r="E673" t="n">
        <v>87</v>
      </c>
      <c r="F673" t="inlineStr">
        <is>
          <t>+30 Standing Tackle 87</t>
        </is>
      </c>
      <c r="G673" t="inlineStr">
        <is>
          <t>Make Your Idol - Defender 1 [SP 3] - EA SPORTS FC 26</t>
        </is>
      </c>
      <c r="H673" t="inlineStr">
        <is>
          <t>Reward</t>
        </is>
      </c>
      <c r="I673" t="inlineStr">
        <is>
          <t>Standard Season Pass</t>
        </is>
      </c>
      <c r="J673" t="inlineStr">
        <is>
          <t>https://www.fut.gg/evolutions/1786-make-your-idol-defender-1-sp-3/</t>
        </is>
      </c>
    </row>
    <row r="674">
      <c r="B674" t="inlineStr">
        <is>
          <t>Sub Stat</t>
        </is>
      </c>
      <c r="C674" t="inlineStr">
        <is>
          <t>Sliding Tackle</t>
        </is>
      </c>
      <c r="D674" t="n">
        <v>30</v>
      </c>
      <c r="E674" t="n">
        <v>86</v>
      </c>
      <c r="F674" t="inlineStr">
        <is>
          <t>+30 Sliding Tackle 86</t>
        </is>
      </c>
      <c r="G674" t="inlineStr">
        <is>
          <t>Make Your Idol - Defender 1 [SP 3] - EA SPORTS FC 26</t>
        </is>
      </c>
      <c r="H674" t="inlineStr">
        <is>
          <t>Reward</t>
        </is>
      </c>
      <c r="I674" t="inlineStr">
        <is>
          <t>Standard Season Pass</t>
        </is>
      </c>
      <c r="J674" t="inlineStr">
        <is>
          <t>https://www.fut.gg/evolutions/1786-make-your-idol-defender-1-sp-3/</t>
        </is>
      </c>
    </row>
    <row r="675">
      <c r="B675" t="inlineStr">
        <is>
          <t>Sub Stat</t>
        </is>
      </c>
      <c r="C675" t="inlineStr">
        <is>
          <t>Jumping</t>
        </is>
      </c>
      <c r="D675" t="n">
        <v>30</v>
      </c>
      <c r="E675" t="n">
        <v>85</v>
      </c>
      <c r="F675" t="inlineStr">
        <is>
          <t>+30 Jumping 85</t>
        </is>
      </c>
      <c r="G675" t="inlineStr">
        <is>
          <t>Make Your Idol - Defender 1 [SP 3] - EA SPORTS FC 26</t>
        </is>
      </c>
      <c r="H675" t="inlineStr">
        <is>
          <t>Reward</t>
        </is>
      </c>
      <c r="I675" t="inlineStr">
        <is>
          <t>Standard Season Pass</t>
        </is>
      </c>
      <c r="J675" t="inlineStr">
        <is>
          <t>https://www.fut.gg/evolutions/1786-make-your-idol-defender-1-sp-3/</t>
        </is>
      </c>
    </row>
    <row r="676">
      <c r="B676" t="inlineStr">
        <is>
          <t>Sub Stat</t>
        </is>
      </c>
      <c r="C676" t="inlineStr">
        <is>
          <t>Composure</t>
        </is>
      </c>
      <c r="D676" t="n">
        <v>30</v>
      </c>
      <c r="E676" t="n">
        <v>87</v>
      </c>
      <c r="F676" t="inlineStr">
        <is>
          <t>+30 Composure 87</t>
        </is>
      </c>
      <c r="G676" t="inlineStr">
        <is>
          <t>Make Your Idol - Defender 1 [SP 3] - EA SPORTS FC 26</t>
        </is>
      </c>
      <c r="H676" t="inlineStr">
        <is>
          <t>Reward</t>
        </is>
      </c>
      <c r="I676" t="inlineStr">
        <is>
          <t>Standard Season Pass</t>
        </is>
      </c>
      <c r="J676" t="inlineStr">
        <is>
          <t>https://www.fut.gg/evolutions/1786-make-your-idol-defender-1-sp-3/</t>
        </is>
      </c>
    </row>
    <row r="677">
      <c r="B677" t="inlineStr">
        <is>
          <t>Sub Stat</t>
        </is>
      </c>
      <c r="C677" t="inlineStr">
        <is>
          <t>Heading Accuracy</t>
        </is>
      </c>
      <c r="D677" t="n">
        <v>30</v>
      </c>
      <c r="E677" t="n">
        <v>88</v>
      </c>
      <c r="F677" t="inlineStr">
        <is>
          <t>+30 Heading Acc. 88</t>
        </is>
      </c>
      <c r="G677" t="inlineStr">
        <is>
          <t>Make Your Idol - Defender 1 [SP 3] - EA SPORTS FC 26</t>
        </is>
      </c>
      <c r="H677" t="inlineStr">
        <is>
          <t>Reward</t>
        </is>
      </c>
      <c r="I677" t="inlineStr">
        <is>
          <t>Standard Season Pass</t>
        </is>
      </c>
      <c r="J677" t="inlineStr">
        <is>
          <t>https://www.fut.gg/evolutions/1786-make-your-idol-defender-1-sp-3/</t>
        </is>
      </c>
    </row>
    <row r="678">
      <c r="B678" t="inlineStr">
        <is>
          <t>Sub Stat</t>
        </is>
      </c>
      <c r="C678" t="inlineStr">
        <is>
          <t>Stamina</t>
        </is>
      </c>
      <c r="D678" t="n">
        <v>30</v>
      </c>
      <c r="E678" t="n">
        <v>87</v>
      </c>
      <c r="F678" t="inlineStr">
        <is>
          <t>+30 Stamina 87</t>
        </is>
      </c>
      <c r="G678" t="inlineStr">
        <is>
          <t>Make Your Idol - Defender 1 [SP 3] - EA SPORTS FC 26</t>
        </is>
      </c>
      <c r="H678" t="inlineStr">
        <is>
          <t>Reward</t>
        </is>
      </c>
      <c r="I678" t="inlineStr">
        <is>
          <t>Standard Season Pass</t>
        </is>
      </c>
      <c r="J678" t="inlineStr">
        <is>
          <t>https://www.fut.gg/evolutions/1786-make-your-idol-defender-1-sp-3/</t>
        </is>
      </c>
    </row>
    <row r="679">
      <c r="B679" t="inlineStr">
        <is>
          <t>Sub Stat</t>
        </is>
      </c>
      <c r="C679" t="inlineStr">
        <is>
          <t>Strength</t>
        </is>
      </c>
      <c r="D679" t="n">
        <v>30</v>
      </c>
      <c r="E679" t="n">
        <v>85</v>
      </c>
      <c r="F679" t="inlineStr">
        <is>
          <t>+30 Strength 85</t>
        </is>
      </c>
      <c r="G679" t="inlineStr">
        <is>
          <t>Make Your Idol - Defender 1 [SP 3] - EA SPORTS FC 26</t>
        </is>
      </c>
      <c r="H679" t="inlineStr">
        <is>
          <t>Reward</t>
        </is>
      </c>
      <c r="I679" t="inlineStr">
        <is>
          <t>Standard Season Pass</t>
        </is>
      </c>
      <c r="J679" t="inlineStr">
        <is>
          <t>https://www.fut.gg/evolutions/1786-make-your-idol-defender-1-sp-3/</t>
        </is>
      </c>
    </row>
    <row r="680">
      <c r="B680" t="inlineStr">
        <is>
          <t>Sub Stat</t>
        </is>
      </c>
      <c r="C680" t="inlineStr">
        <is>
          <t>Balance</t>
        </is>
      </c>
      <c r="D680" t="n">
        <v>30</v>
      </c>
      <c r="E680" t="n">
        <v>78</v>
      </c>
      <c r="F680" t="inlineStr">
        <is>
          <t>+30 Balance 78</t>
        </is>
      </c>
      <c r="G680" t="inlineStr">
        <is>
          <t>Make Your Idol - Defender 1 [SP 3] - EA SPORTS FC 26</t>
        </is>
      </c>
      <c r="H680" t="inlineStr">
        <is>
          <t>Reward</t>
        </is>
      </c>
      <c r="I680" t="inlineStr">
        <is>
          <t>Standard Season Pass</t>
        </is>
      </c>
      <c r="J680" t="inlineStr">
        <is>
          <t>https://www.fut.gg/evolutions/1786-make-your-idol-defender-1-sp-3/</t>
        </is>
      </c>
    </row>
    <row r="681">
      <c r="B681" t="inlineStr">
        <is>
          <t>Sub Stat</t>
        </is>
      </c>
      <c r="C681" t="inlineStr">
        <is>
          <t>Ball Control</t>
        </is>
      </c>
      <c r="D681" t="n">
        <v>30</v>
      </c>
      <c r="E681" t="n">
        <v>82</v>
      </c>
      <c r="F681" t="inlineStr">
        <is>
          <t>+30 Ball Control 82</t>
        </is>
      </c>
      <c r="G681" t="inlineStr">
        <is>
          <t>Make Your Idol - Defender 1 [SP 3] - EA SPORTS FC 26</t>
        </is>
      </c>
      <c r="H681" t="inlineStr">
        <is>
          <t>Reward</t>
        </is>
      </c>
      <c r="I681" t="inlineStr">
        <is>
          <t>Standard Season Pass</t>
        </is>
      </c>
      <c r="J681" t="inlineStr">
        <is>
          <t>https://www.fut.gg/evolutions/1786-make-your-idol-defender-1-sp-3/</t>
        </is>
      </c>
    </row>
    <row r="682">
      <c r="B682" t="inlineStr">
        <is>
          <t>Sub Stat</t>
        </is>
      </c>
      <c r="C682" t="inlineStr">
        <is>
          <t>Dribbling</t>
        </is>
      </c>
      <c r="D682" t="n">
        <v>30</v>
      </c>
      <c r="E682" t="n">
        <v>82</v>
      </c>
      <c r="F682" t="inlineStr">
        <is>
          <t>+30 Dribbling 82</t>
        </is>
      </c>
      <c r="G682" t="inlineStr">
        <is>
          <t>Make Your Idol - Defender 1 [SP 3] - EA SPORTS FC 26</t>
        </is>
      </c>
      <c r="H682" t="inlineStr">
        <is>
          <t>Reward</t>
        </is>
      </c>
      <c r="I682" t="inlineStr">
        <is>
          <t>Standard Season Pass</t>
        </is>
      </c>
      <c r="J682" t="inlineStr">
        <is>
          <t>https://www.fut.gg/evolutions/1786-make-your-idol-defender-1-sp-3/</t>
        </is>
      </c>
    </row>
    <row r="683">
      <c r="B683" t="inlineStr">
        <is>
          <t>Sub Stat</t>
        </is>
      </c>
      <c r="C683" t="inlineStr">
        <is>
          <t>Aggression</t>
        </is>
      </c>
      <c r="D683" t="n">
        <v>30</v>
      </c>
      <c r="E683" t="n">
        <v>85</v>
      </c>
      <c r="F683" t="inlineStr">
        <is>
          <t>+30 Aggression 85</t>
        </is>
      </c>
      <c r="G683" t="inlineStr">
        <is>
          <t>Make Your Idol - Defender 1 [SP 3] - EA SPORTS FC 26</t>
        </is>
      </c>
      <c r="H683" t="inlineStr">
        <is>
          <t>Reward</t>
        </is>
      </c>
      <c r="I683" t="inlineStr">
        <is>
          <t>Standard Season Pass</t>
        </is>
      </c>
      <c r="J683" t="inlineStr">
        <is>
          <t>https://www.fut.gg/evolutions/1786-make-your-idol-defender-1-sp-3/</t>
        </is>
      </c>
    </row>
    <row r="684">
      <c r="B684" t="inlineStr">
        <is>
          <t>Face Stat</t>
        </is>
      </c>
      <c r="C684" t="inlineStr">
        <is>
          <t>OVR</t>
        </is>
      </c>
      <c r="D684" t="n">
        <v>2</v>
      </c>
      <c r="E684" t="n">
        <v>87</v>
      </c>
      <c r="F684" t="inlineStr">
        <is>
          <t>+2 OVR 87</t>
        </is>
      </c>
      <c r="G684" t="inlineStr">
        <is>
          <t>Make Your Idol - Defender 1 [SP 3] - EA SPORTS FC 26</t>
        </is>
      </c>
      <c r="H684" t="inlineStr">
        <is>
          <t>Reward</t>
        </is>
      </c>
      <c r="I684" t="inlineStr">
        <is>
          <t>Standard Season Pass</t>
        </is>
      </c>
      <c r="J684" t="inlineStr">
        <is>
          <t>https://www.fut.gg/evolutions/1786-make-your-idol-defender-1-sp-3/</t>
        </is>
      </c>
    </row>
    <row r="685">
      <c r="B685" t="inlineStr">
        <is>
          <t>Sub Stat</t>
        </is>
      </c>
      <c r="C685" t="inlineStr">
        <is>
          <t>Acceleration</t>
        </is>
      </c>
      <c r="D685" t="n">
        <v>30</v>
      </c>
      <c r="E685" t="n">
        <v>83</v>
      </c>
      <c r="F685" t="inlineStr">
        <is>
          <t>+30 Acceleration 83</t>
        </is>
      </c>
      <c r="G685" t="inlineStr">
        <is>
          <t>Make Your Idol - Defender 1 [SP 3] - EA SPORTS FC 26</t>
        </is>
      </c>
      <c r="H685" t="inlineStr">
        <is>
          <t>Reward</t>
        </is>
      </c>
      <c r="I685" t="inlineStr">
        <is>
          <t>Standard Season Pass</t>
        </is>
      </c>
      <c r="J685" t="inlineStr">
        <is>
          <t>https://www.fut.gg/evolutions/1786-make-your-idol-defender-1-sp-3/</t>
        </is>
      </c>
    </row>
    <row r="686">
      <c r="B686" t="inlineStr">
        <is>
          <t>Sub Stat</t>
        </is>
      </c>
      <c r="C686" t="inlineStr">
        <is>
          <t>Sprint Speed</t>
        </is>
      </c>
      <c r="D686" t="n">
        <v>30</v>
      </c>
      <c r="E686" t="n">
        <v>85</v>
      </c>
      <c r="F686" t="inlineStr">
        <is>
          <t>+30 Sprint Speed 85</t>
        </is>
      </c>
      <c r="G686" t="inlineStr">
        <is>
          <t>Make Your Idol - Defender 1 [SP 3] - EA SPORTS FC 26</t>
        </is>
      </c>
      <c r="H686" t="inlineStr">
        <is>
          <t>Reward</t>
        </is>
      </c>
      <c r="I686" t="inlineStr">
        <is>
          <t>Standard Season Pass</t>
        </is>
      </c>
      <c r="J686" t="inlineStr">
        <is>
          <t>https://www.fut.gg/evolutions/1786-make-your-idol-defender-1-sp-3/</t>
        </is>
      </c>
    </row>
    <row r="687">
      <c r="B687" t="inlineStr">
        <is>
          <t>Sub Stat</t>
        </is>
      </c>
      <c r="C687" t="inlineStr">
        <is>
          <t>Short Passing</t>
        </is>
      </c>
      <c r="D687" t="n">
        <v>30</v>
      </c>
      <c r="E687" t="n">
        <v>87</v>
      </c>
      <c r="F687" t="inlineStr">
        <is>
          <t>+30 Short Pass 87</t>
        </is>
      </c>
      <c r="G687" t="inlineStr">
        <is>
          <t>Make Your Idol - Defender 1 [SP 3] - EA SPORTS FC 26</t>
        </is>
      </c>
      <c r="H687" t="inlineStr">
        <is>
          <t>Reward</t>
        </is>
      </c>
      <c r="I687" t="inlineStr">
        <is>
          <t>Standard Season Pass</t>
        </is>
      </c>
      <c r="J687" t="inlineStr">
        <is>
          <t>https://www.fut.gg/evolutions/1786-make-your-idol-defender-1-sp-3/</t>
        </is>
      </c>
    </row>
    <row r="688">
      <c r="B688" t="inlineStr">
        <is>
          <t>Sub Stat</t>
        </is>
      </c>
      <c r="C688" t="inlineStr">
        <is>
          <t>Long Passing</t>
        </is>
      </c>
      <c r="D688" t="n">
        <v>30</v>
      </c>
      <c r="E688" t="n">
        <v>88</v>
      </c>
      <c r="F688" t="inlineStr">
        <is>
          <t>+30 Long Pass 88</t>
        </is>
      </c>
      <c r="G688" t="inlineStr">
        <is>
          <t>Make Your Idol - Defender 1 [SP 3] - EA SPORTS FC 26</t>
        </is>
      </c>
      <c r="H688" t="inlineStr">
        <is>
          <t>Reward</t>
        </is>
      </c>
      <c r="I688" t="inlineStr">
        <is>
          <t>Standard Season Pass</t>
        </is>
      </c>
      <c r="J688" t="inlineStr">
        <is>
          <t>https://www.fut.gg/evolutions/1786-make-your-idol-defender-1-sp-3/</t>
        </is>
      </c>
    </row>
    <row r="689">
      <c r="B689" t="inlineStr">
        <is>
          <t>Sub Stat</t>
        </is>
      </c>
      <c r="C689" t="inlineStr">
        <is>
          <t>Reactions</t>
        </is>
      </c>
      <c r="D689" t="n">
        <v>30</v>
      </c>
      <c r="E689" t="n">
        <v>87</v>
      </c>
      <c r="F689" t="inlineStr">
        <is>
          <t>+30 Reactions 87</t>
        </is>
      </c>
      <c r="G689" t="inlineStr">
        <is>
          <t>Make Your Idol - Defender 1 [SP 3] - EA SPORTS FC 26</t>
        </is>
      </c>
      <c r="H689" t="inlineStr">
        <is>
          <t>Reward</t>
        </is>
      </c>
      <c r="I689" t="inlineStr">
        <is>
          <t>Standard Season Pass</t>
        </is>
      </c>
      <c r="J689" t="inlineStr">
        <is>
          <t>https://www.fut.gg/evolutions/1786-make-your-idol-defender-1-sp-3/</t>
        </is>
      </c>
    </row>
    <row r="690">
      <c r="B690" t="inlineStr">
        <is>
          <t>Sub Stat</t>
        </is>
      </c>
      <c r="C690" t="inlineStr">
        <is>
          <t>Agility</t>
        </is>
      </c>
      <c r="D690" t="n">
        <v>30</v>
      </c>
      <c r="E690" t="n">
        <v>76</v>
      </c>
      <c r="F690" t="inlineStr">
        <is>
          <t>+30 Agility 76</t>
        </is>
      </c>
      <c r="G690" t="inlineStr">
        <is>
          <t>Make Your Idol - Defender 1 [SP 3] - EA SPORTS FC 26</t>
        </is>
      </c>
      <c r="H690" t="inlineStr">
        <is>
          <t>Reward</t>
        </is>
      </c>
      <c r="I690" t="inlineStr">
        <is>
          <t>Standard Season Pass</t>
        </is>
      </c>
      <c r="J690" t="inlineStr">
        <is>
          <t>https://www.fut.gg/evolutions/1786-make-your-idol-defender-1-sp-3/</t>
        </is>
      </c>
    </row>
    <row r="691">
      <c r="B691" t="inlineStr">
        <is>
          <t>Face Stat</t>
        </is>
      </c>
      <c r="C691" t="inlineStr">
        <is>
          <t>OVR</t>
        </is>
      </c>
      <c r="D691" t="n">
        <v>40</v>
      </c>
      <c r="E691" t="n">
        <v>85</v>
      </c>
      <c r="F691" t="inlineStr">
        <is>
          <t>+40 OVR 85</t>
        </is>
      </c>
      <c r="G691" t="inlineStr">
        <is>
          <t>Make Your Idol - Starter [SP 1] - EA SPORTS FC 26</t>
        </is>
      </c>
      <c r="H691" t="inlineStr">
        <is>
          <t>Reward</t>
        </is>
      </c>
      <c r="I691" t="inlineStr">
        <is>
          <t>Standard Season Pass</t>
        </is>
      </c>
      <c r="J691" t="inlineStr">
        <is>
          <t>https://www.fut.gg/evolutions/1785-make-your-idol-starter-sp-1/</t>
        </is>
      </c>
    </row>
    <row r="692">
      <c r="B692" t="inlineStr">
        <is>
          <t>Face Stat</t>
        </is>
      </c>
      <c r="C692" t="inlineStr">
        <is>
          <t>PHY</t>
        </is>
      </c>
      <c r="D692" t="n">
        <v>40</v>
      </c>
      <c r="E692" t="n">
        <v>75</v>
      </c>
      <c r="F692" t="inlineStr">
        <is>
          <t>+40 PHY 75</t>
        </is>
      </c>
      <c r="G692" t="inlineStr">
        <is>
          <t>Make Your Idol - Starter [SP 1] - EA SPORTS FC 26</t>
        </is>
      </c>
      <c r="H692" t="inlineStr">
        <is>
          <t>Reward</t>
        </is>
      </c>
      <c r="I692" t="inlineStr">
        <is>
          <t>Standard Season Pass</t>
        </is>
      </c>
      <c r="J692" t="inlineStr">
        <is>
          <t>https://www.fut.gg/evolutions/1785-make-your-idol-starter-sp-1/</t>
        </is>
      </c>
    </row>
    <row r="693">
      <c r="B693" t="inlineStr">
        <is>
          <t>Sub Stat</t>
        </is>
      </c>
      <c r="C693" t="inlineStr">
        <is>
          <t>Acceleration</t>
        </is>
      </c>
      <c r="D693" t="n">
        <v>40</v>
      </c>
      <c r="E693" t="n">
        <v>83</v>
      </c>
      <c r="F693" t="inlineStr">
        <is>
          <t>+40 Acceleration 83</t>
        </is>
      </c>
      <c r="G693" t="inlineStr">
        <is>
          <t>Make Your Idol - Starter [SP 1] - EA SPORTS FC 26</t>
        </is>
      </c>
      <c r="H693" t="inlineStr">
        <is>
          <t>Reward</t>
        </is>
      </c>
      <c r="I693" t="inlineStr">
        <is>
          <t>Standard Season Pass</t>
        </is>
      </c>
      <c r="J693" t="inlineStr">
        <is>
          <t>https://www.fut.gg/evolutions/1785-make-your-idol-starter-sp-1/</t>
        </is>
      </c>
    </row>
    <row r="694">
      <c r="B694" t="inlineStr">
        <is>
          <t>Sub Stat</t>
        </is>
      </c>
      <c r="C694" t="inlineStr">
        <is>
          <t>Positioning</t>
        </is>
      </c>
      <c r="D694" t="n">
        <v>30</v>
      </c>
      <c r="E694" t="n">
        <v>78</v>
      </c>
      <c r="F694" t="inlineStr">
        <is>
          <t>+30 Positioning 78</t>
        </is>
      </c>
      <c r="G694" t="inlineStr">
        <is>
          <t>Make Your Idol - Starter [SP 1] - EA SPORTS FC 26</t>
        </is>
      </c>
      <c r="H694" t="inlineStr">
        <is>
          <t>Reward</t>
        </is>
      </c>
      <c r="I694" t="inlineStr">
        <is>
          <t>Standard Season Pass</t>
        </is>
      </c>
      <c r="J694" t="inlineStr">
        <is>
          <t>https://www.fut.gg/evolutions/1785-make-your-idol-starter-sp-1/</t>
        </is>
      </c>
    </row>
    <row r="695">
      <c r="B695" t="inlineStr">
        <is>
          <t>Sub Stat</t>
        </is>
      </c>
      <c r="C695" t="inlineStr">
        <is>
          <t>Finishing</t>
        </is>
      </c>
      <c r="D695" t="n">
        <v>30</v>
      </c>
      <c r="E695" t="n">
        <v>75</v>
      </c>
      <c r="F695" t="inlineStr">
        <is>
          <t>+30 Finishing 75</t>
        </is>
      </c>
      <c r="G695" t="inlineStr">
        <is>
          <t>Make Your Idol - Starter [SP 1] - EA SPORTS FC 26</t>
        </is>
      </c>
      <c r="H695" t="inlineStr">
        <is>
          <t>Reward</t>
        </is>
      </c>
      <c r="I695" t="inlineStr">
        <is>
          <t>Standard Season Pass</t>
        </is>
      </c>
      <c r="J695" t="inlineStr">
        <is>
          <t>https://www.fut.gg/evolutions/1785-make-your-idol-starter-sp-1/</t>
        </is>
      </c>
    </row>
    <row r="696">
      <c r="B696" t="inlineStr">
        <is>
          <t>Sub Stat</t>
        </is>
      </c>
      <c r="C696" t="inlineStr">
        <is>
          <t>Shot Power</t>
        </is>
      </c>
      <c r="D696" t="n">
        <v>30</v>
      </c>
      <c r="E696" t="n">
        <v>83</v>
      </c>
      <c r="F696" t="inlineStr">
        <is>
          <t>+30 Shot Power 83</t>
        </is>
      </c>
      <c r="G696" t="inlineStr">
        <is>
          <t>Make Your Idol - Starter [SP 1] - EA SPORTS FC 26</t>
        </is>
      </c>
      <c r="H696" t="inlineStr">
        <is>
          <t>Reward</t>
        </is>
      </c>
      <c r="I696" t="inlineStr">
        <is>
          <t>Standard Season Pass</t>
        </is>
      </c>
      <c r="J696" t="inlineStr">
        <is>
          <t>https://www.fut.gg/evolutions/1785-make-your-idol-starter-sp-1/</t>
        </is>
      </c>
    </row>
    <row r="697">
      <c r="B697" t="inlineStr">
        <is>
          <t>Sub Stat</t>
        </is>
      </c>
      <c r="C697" t="inlineStr">
        <is>
          <t>Sprint Speed</t>
        </is>
      </c>
      <c r="D697" t="n">
        <v>40</v>
      </c>
      <c r="E697" t="n">
        <v>85</v>
      </c>
      <c r="F697" t="inlineStr">
        <is>
          <t>+40 Sprint Speed 85</t>
        </is>
      </c>
      <c r="G697" t="inlineStr">
        <is>
          <t>Make Your Idol - Starter [SP 1] - EA SPORTS FC 26</t>
        </is>
      </c>
      <c r="H697" t="inlineStr">
        <is>
          <t>Reward</t>
        </is>
      </c>
      <c r="I697" t="inlineStr">
        <is>
          <t>Standard Season Pass</t>
        </is>
      </c>
      <c r="J697" t="inlineStr">
        <is>
          <t>https://www.fut.gg/evolutions/1785-make-your-idol-starter-sp-1/</t>
        </is>
      </c>
    </row>
    <row r="698">
      <c r="B698" t="inlineStr">
        <is>
          <t>Sub Stat</t>
        </is>
      </c>
      <c r="C698" t="inlineStr">
        <is>
          <t>Long Shots</t>
        </is>
      </c>
      <c r="D698" t="n">
        <v>30</v>
      </c>
      <c r="E698" t="n">
        <v>83</v>
      </c>
      <c r="F698" t="inlineStr">
        <is>
          <t>+30 Long Shots 83</t>
        </is>
      </c>
      <c r="G698" t="inlineStr">
        <is>
          <t>Make Your Idol - Starter [SP 1] - EA SPORTS FC 26</t>
        </is>
      </c>
      <c r="H698" t="inlineStr">
        <is>
          <t>Reward</t>
        </is>
      </c>
      <c r="I698" t="inlineStr">
        <is>
          <t>Standard Season Pass</t>
        </is>
      </c>
      <c r="J698" t="inlineStr">
        <is>
          <t>https://www.fut.gg/evolutions/1785-make-your-idol-starter-sp-1/</t>
        </is>
      </c>
    </row>
    <row r="699">
      <c r="B699" t="inlineStr">
        <is>
          <t>Sub Stat</t>
        </is>
      </c>
      <c r="C699" t="inlineStr">
        <is>
          <t>Volleys</t>
        </is>
      </c>
      <c r="D699" t="n">
        <v>30</v>
      </c>
      <c r="E699" t="n">
        <v>75</v>
      </c>
      <c r="F699" t="inlineStr">
        <is>
          <t>+30 Volleys 75</t>
        </is>
      </c>
      <c r="G699" t="inlineStr">
        <is>
          <t>Make Your Idol - Starter [SP 1] - EA SPORTS FC 26</t>
        </is>
      </c>
      <c r="H699" t="inlineStr">
        <is>
          <t>Reward</t>
        </is>
      </c>
      <c r="I699" t="inlineStr">
        <is>
          <t>Standard Season Pass</t>
        </is>
      </c>
      <c r="J699" t="inlineStr">
        <is>
          <t>https://www.fut.gg/evolutions/1785-make-your-idol-starter-sp-1/</t>
        </is>
      </c>
    </row>
    <row r="700">
      <c r="B700" t="inlineStr">
        <is>
          <t>Sub Stat</t>
        </is>
      </c>
      <c r="C700" t="inlineStr">
        <is>
          <t>Fk Accuracy</t>
        </is>
      </c>
      <c r="D700" t="n">
        <v>40</v>
      </c>
      <c r="E700" t="n">
        <v>75</v>
      </c>
      <c r="F700" t="inlineStr">
        <is>
          <t>+40 Fk Accuracy 75</t>
        </is>
      </c>
      <c r="G700" t="inlineStr">
        <is>
          <t>Make Your Idol - Starter [SP 1] - EA SPORTS FC 26</t>
        </is>
      </c>
      <c r="H700" t="inlineStr">
        <is>
          <t>Reward</t>
        </is>
      </c>
      <c r="I700" t="inlineStr">
        <is>
          <t>Standard Season Pass</t>
        </is>
      </c>
      <c r="J700" t="inlineStr">
        <is>
          <t>https://www.fut.gg/evolutions/1785-make-your-idol-starter-sp-1/</t>
        </is>
      </c>
    </row>
    <row r="701">
      <c r="B701" t="inlineStr">
        <is>
          <t>Sub Stat</t>
        </is>
      </c>
      <c r="C701" t="inlineStr">
        <is>
          <t>Short Passing</t>
        </is>
      </c>
      <c r="D701" t="n">
        <v>40</v>
      </c>
      <c r="E701" t="n">
        <v>85</v>
      </c>
      <c r="F701" t="inlineStr">
        <is>
          <t>+40 Short Pass 85</t>
        </is>
      </c>
      <c r="G701" t="inlineStr">
        <is>
          <t>Make Your Idol - Starter [SP 1] - EA SPORTS FC 26</t>
        </is>
      </c>
      <c r="H701" t="inlineStr">
        <is>
          <t>Reward</t>
        </is>
      </c>
      <c r="I701" t="inlineStr">
        <is>
          <t>Standard Season Pass</t>
        </is>
      </c>
      <c r="J701" t="inlineStr">
        <is>
          <t>https://www.fut.gg/evolutions/1785-make-your-idol-starter-sp-1/</t>
        </is>
      </c>
    </row>
    <row r="702">
      <c r="B702" t="inlineStr">
        <is>
          <t>Sub Stat</t>
        </is>
      </c>
      <c r="C702" t="inlineStr">
        <is>
          <t>Long Passing</t>
        </is>
      </c>
      <c r="D702" t="n">
        <v>40</v>
      </c>
      <c r="E702" t="n">
        <v>85</v>
      </c>
      <c r="F702" t="inlineStr">
        <is>
          <t>+40 Long Pass 85</t>
        </is>
      </c>
      <c r="G702" t="inlineStr">
        <is>
          <t>Make Your Idol - Starter [SP 1] - EA SPORTS FC 26</t>
        </is>
      </c>
      <c r="H702" t="inlineStr">
        <is>
          <t>Reward</t>
        </is>
      </c>
      <c r="I702" t="inlineStr">
        <is>
          <t>Standard Season Pass</t>
        </is>
      </c>
      <c r="J702" t="inlineStr">
        <is>
          <t>https://www.fut.gg/evolutions/1785-make-your-idol-starter-sp-1/</t>
        </is>
      </c>
    </row>
    <row r="703">
      <c r="B703" t="inlineStr">
        <is>
          <t>Sub Stat</t>
        </is>
      </c>
      <c r="C703" t="inlineStr">
        <is>
          <t>Penalties</t>
        </is>
      </c>
      <c r="D703" t="n">
        <v>30</v>
      </c>
      <c r="E703" t="n">
        <v>75</v>
      </c>
      <c r="F703" t="inlineStr">
        <is>
          <t>+30 Penalties 75</t>
        </is>
      </c>
      <c r="G703" t="inlineStr">
        <is>
          <t>Make Your Idol - Starter [SP 1] - EA SPORTS FC 26</t>
        </is>
      </c>
      <c r="H703" t="inlineStr">
        <is>
          <t>Reward</t>
        </is>
      </c>
      <c r="I703" t="inlineStr">
        <is>
          <t>Standard Season Pass</t>
        </is>
      </c>
      <c r="J703" t="inlineStr">
        <is>
          <t>https://www.fut.gg/evolutions/1785-make-your-idol-starter-sp-1/</t>
        </is>
      </c>
    </row>
    <row r="704">
      <c r="B704" t="inlineStr">
        <is>
          <t>Sub Stat</t>
        </is>
      </c>
      <c r="C704" t="inlineStr">
        <is>
          <t>Vision</t>
        </is>
      </c>
      <c r="D704" t="n">
        <v>40</v>
      </c>
      <c r="E704" t="n">
        <v>80</v>
      </c>
      <c r="F704" t="inlineStr">
        <is>
          <t>+40 Vision 80</t>
        </is>
      </c>
      <c r="G704" t="inlineStr">
        <is>
          <t>Make Your Idol - Starter [SP 1] - EA SPORTS FC 26</t>
        </is>
      </c>
      <c r="H704" t="inlineStr">
        <is>
          <t>Reward</t>
        </is>
      </c>
      <c r="I704" t="inlineStr">
        <is>
          <t>Standard Season Pass</t>
        </is>
      </c>
      <c r="J704" t="inlineStr">
        <is>
          <t>https://www.fut.gg/evolutions/1785-make-your-idol-starter-sp-1/</t>
        </is>
      </c>
    </row>
    <row r="705">
      <c r="B705" t="inlineStr">
        <is>
          <t>Sub Stat</t>
        </is>
      </c>
      <c r="C705" t="inlineStr">
        <is>
          <t>Ball Control</t>
        </is>
      </c>
      <c r="D705" t="n">
        <v>30</v>
      </c>
      <c r="E705" t="n">
        <v>80</v>
      </c>
      <c r="F705" t="inlineStr">
        <is>
          <t>+30 Ball Control 80</t>
        </is>
      </c>
      <c r="G705" t="inlineStr">
        <is>
          <t>Make Your Idol - Starter [SP 1] - EA SPORTS FC 26</t>
        </is>
      </c>
      <c r="H705" t="inlineStr">
        <is>
          <t>Reward</t>
        </is>
      </c>
      <c r="I705" t="inlineStr">
        <is>
          <t>Standard Season Pass</t>
        </is>
      </c>
      <c r="J705" t="inlineStr">
        <is>
          <t>https://www.fut.gg/evolutions/1785-make-your-idol-starter-sp-1/</t>
        </is>
      </c>
    </row>
    <row r="706">
      <c r="B706" t="inlineStr">
        <is>
          <t>Sub Stat</t>
        </is>
      </c>
      <c r="C706" t="inlineStr">
        <is>
          <t>Dribbling</t>
        </is>
      </c>
      <c r="D706" t="n">
        <v>30</v>
      </c>
      <c r="E706" t="n">
        <v>80</v>
      </c>
      <c r="F706" t="inlineStr">
        <is>
          <t>+30 Dribbling 80</t>
        </is>
      </c>
      <c r="G706" t="inlineStr">
        <is>
          <t>Make Your Idol - Starter [SP 1] - EA SPORTS FC 26</t>
        </is>
      </c>
      <c r="H706" t="inlineStr">
        <is>
          <t>Reward</t>
        </is>
      </c>
      <c r="I706" t="inlineStr">
        <is>
          <t>Standard Season Pass</t>
        </is>
      </c>
      <c r="J706" t="inlineStr">
        <is>
          <t>https://www.fut.gg/evolutions/1785-make-your-idol-starter-sp-1/</t>
        </is>
      </c>
    </row>
    <row r="707">
      <c r="B707" t="inlineStr">
        <is>
          <t>Sub Stat</t>
        </is>
      </c>
      <c r="C707" t="inlineStr">
        <is>
          <t>Composure</t>
        </is>
      </c>
      <c r="D707" t="n">
        <v>30</v>
      </c>
      <c r="E707" t="n">
        <v>85</v>
      </c>
      <c r="F707" t="inlineStr">
        <is>
          <t>+30 Composure 85</t>
        </is>
      </c>
      <c r="G707" t="inlineStr">
        <is>
          <t>Make Your Idol - Starter [SP 1] - EA SPORTS FC 26</t>
        </is>
      </c>
      <c r="H707" t="inlineStr">
        <is>
          <t>Reward</t>
        </is>
      </c>
      <c r="I707" t="inlineStr">
        <is>
          <t>Standard Season Pass</t>
        </is>
      </c>
      <c r="J707" t="inlineStr">
        <is>
          <t>https://www.fut.gg/evolutions/1785-make-your-idol-starter-sp-1/</t>
        </is>
      </c>
    </row>
    <row r="708">
      <c r="B708" t="inlineStr">
        <is>
          <t>Sub Stat</t>
        </is>
      </c>
      <c r="C708" t="inlineStr">
        <is>
          <t>Defensive Awareness</t>
        </is>
      </c>
      <c r="D708" t="n">
        <v>30</v>
      </c>
      <c r="E708" t="n">
        <v>75</v>
      </c>
      <c r="F708" t="inlineStr">
        <is>
          <t>+30 Defensive Awareness 75</t>
        </is>
      </c>
      <c r="G708" t="inlineStr">
        <is>
          <t>Make Your Idol - Starter [SP 1] - EA SPORTS FC 26</t>
        </is>
      </c>
      <c r="H708" t="inlineStr">
        <is>
          <t>Reward</t>
        </is>
      </c>
      <c r="I708" t="inlineStr">
        <is>
          <t>Standard Season Pass</t>
        </is>
      </c>
      <c r="J708" t="inlineStr">
        <is>
          <t>https://www.fut.gg/evolutions/1785-make-your-idol-starter-sp-1/</t>
        </is>
      </c>
    </row>
    <row r="709">
      <c r="B709" t="inlineStr">
        <is>
          <t>Sub Stat</t>
        </is>
      </c>
      <c r="C709" t="inlineStr">
        <is>
          <t>Curve</t>
        </is>
      </c>
      <c r="D709" t="n">
        <v>40</v>
      </c>
      <c r="E709" t="n">
        <v>80</v>
      </c>
      <c r="F709" t="inlineStr">
        <is>
          <t>+40 Curve 80</t>
        </is>
      </c>
      <c r="G709" t="inlineStr">
        <is>
          <t>Make Your Idol - Starter [SP 1] - EA SPORTS FC 26</t>
        </is>
      </c>
      <c r="H709" t="inlineStr">
        <is>
          <t>Reward</t>
        </is>
      </c>
      <c r="I709" t="inlineStr">
        <is>
          <t>Standard Season Pass</t>
        </is>
      </c>
      <c r="J709" t="inlineStr">
        <is>
          <t>https://www.fut.gg/evolutions/1785-make-your-idol-starter-sp-1/</t>
        </is>
      </c>
    </row>
    <row r="710">
      <c r="B710" t="inlineStr">
        <is>
          <t>Sub Stat</t>
        </is>
      </c>
      <c r="C710" t="inlineStr">
        <is>
          <t>Agility</t>
        </is>
      </c>
      <c r="D710" t="n">
        <v>30</v>
      </c>
      <c r="E710" t="n">
        <v>76</v>
      </c>
      <c r="F710" t="inlineStr">
        <is>
          <t>+30 Agility 76</t>
        </is>
      </c>
      <c r="G710" t="inlineStr">
        <is>
          <t>Make Your Idol - Starter [SP 1] - EA SPORTS FC 26</t>
        </is>
      </c>
      <c r="H710" t="inlineStr">
        <is>
          <t>Reward</t>
        </is>
      </c>
      <c r="I710" t="inlineStr">
        <is>
          <t>Standard Season Pass</t>
        </is>
      </c>
      <c r="J710" t="inlineStr">
        <is>
          <t>https://www.fut.gg/evolutions/1785-make-your-idol-starter-sp-1/</t>
        </is>
      </c>
    </row>
    <row r="711">
      <c r="B711" t="inlineStr">
        <is>
          <t>Sub Stat</t>
        </is>
      </c>
      <c r="C711" t="inlineStr">
        <is>
          <t>Balance</t>
        </is>
      </c>
      <c r="D711" t="n">
        <v>30</v>
      </c>
      <c r="E711" t="n">
        <v>76</v>
      </c>
      <c r="F711" t="inlineStr">
        <is>
          <t>+30 Balance 76</t>
        </is>
      </c>
      <c r="G711" t="inlineStr">
        <is>
          <t>Make Your Idol - Starter [SP 1] - EA SPORTS FC 26</t>
        </is>
      </c>
      <c r="H711" t="inlineStr">
        <is>
          <t>Reward</t>
        </is>
      </c>
      <c r="I711" t="inlineStr">
        <is>
          <t>Standard Season Pass</t>
        </is>
      </c>
      <c r="J711" t="inlineStr">
        <is>
          <t>https://www.fut.gg/evolutions/1785-make-your-idol-starter-sp-1/</t>
        </is>
      </c>
    </row>
    <row r="712">
      <c r="B712" t="inlineStr">
        <is>
          <t>Sub Stat</t>
        </is>
      </c>
      <c r="C712" t="inlineStr">
        <is>
          <t>Reactions</t>
        </is>
      </c>
      <c r="D712" t="n">
        <v>30</v>
      </c>
      <c r="E712" t="n">
        <v>85</v>
      </c>
      <c r="F712" t="inlineStr">
        <is>
          <t>+30 Reactions 85</t>
        </is>
      </c>
      <c r="G712" t="inlineStr">
        <is>
          <t>Make Your Idol - Starter [SP 1] - EA SPORTS FC 26</t>
        </is>
      </c>
      <c r="H712" t="inlineStr">
        <is>
          <t>Reward</t>
        </is>
      </c>
      <c r="I712" t="inlineStr">
        <is>
          <t>Standard Season Pass</t>
        </is>
      </c>
      <c r="J712" t="inlineStr">
        <is>
          <t>https://www.fut.gg/evolutions/1785-make-your-idol-starter-sp-1/</t>
        </is>
      </c>
    </row>
    <row r="713">
      <c r="B713" t="inlineStr">
        <is>
          <t>Sub Stat</t>
        </is>
      </c>
      <c r="C713" t="inlineStr">
        <is>
          <t>Standing Tackle</t>
        </is>
      </c>
      <c r="D713" t="n">
        <v>30</v>
      </c>
      <c r="E713" t="n">
        <v>75</v>
      </c>
      <c r="F713" t="inlineStr">
        <is>
          <t>+30 Standing Tackle 75</t>
        </is>
      </c>
      <c r="G713" t="inlineStr">
        <is>
          <t>Make Your Idol - Starter [SP 1] - EA SPORTS FC 26</t>
        </is>
      </c>
      <c r="H713" t="inlineStr">
        <is>
          <t>Reward</t>
        </is>
      </c>
      <c r="I713" t="inlineStr">
        <is>
          <t>Standard Season Pass</t>
        </is>
      </c>
      <c r="J713" t="inlineStr">
        <is>
          <t>https://www.fut.gg/evolutions/1785-make-your-idol-starter-sp-1/</t>
        </is>
      </c>
    </row>
    <row r="714">
      <c r="B714" t="inlineStr">
        <is>
          <t>Sub Stat</t>
        </is>
      </c>
      <c r="C714" t="inlineStr">
        <is>
          <t>Sliding Tackle</t>
        </is>
      </c>
      <c r="D714" t="n">
        <v>30</v>
      </c>
      <c r="E714" t="n">
        <v>80</v>
      </c>
      <c r="F714" t="inlineStr">
        <is>
          <t>+30 Sliding Tackle 80</t>
        </is>
      </c>
      <c r="G714" t="inlineStr">
        <is>
          <t>Make Your Idol - Starter [SP 1] - EA SPORTS FC 26</t>
        </is>
      </c>
      <c r="H714" t="inlineStr">
        <is>
          <t>Reward</t>
        </is>
      </c>
      <c r="I714" t="inlineStr">
        <is>
          <t>Standard Season Pass</t>
        </is>
      </c>
      <c r="J714" t="inlineStr">
        <is>
          <t>https://www.fut.gg/evolutions/1785-make-your-idol-starter-sp-1/</t>
        </is>
      </c>
    </row>
    <row r="715">
      <c r="B715" t="inlineStr">
        <is>
          <t>Sub Stat</t>
        </is>
      </c>
      <c r="C715" t="inlineStr">
        <is>
          <t>Crossing</t>
        </is>
      </c>
      <c r="D715" t="n">
        <v>40</v>
      </c>
      <c r="E715" t="n">
        <v>75</v>
      </c>
      <c r="F715" t="inlineStr">
        <is>
          <t>+40 Crossing 75</t>
        </is>
      </c>
      <c r="G715" t="inlineStr">
        <is>
          <t>Make Your Idol - Starter [SP 1] - EA SPORTS FC 26</t>
        </is>
      </c>
      <c r="H715" t="inlineStr">
        <is>
          <t>Reward</t>
        </is>
      </c>
      <c r="I715" t="inlineStr">
        <is>
          <t>Standard Season Pass</t>
        </is>
      </c>
      <c r="J715" t="inlineStr">
        <is>
          <t>https://www.fut.gg/evolutions/1785-make-your-idol-starter-sp-1/</t>
        </is>
      </c>
    </row>
    <row r="716">
      <c r="B716" t="inlineStr">
        <is>
          <t>Sub Stat</t>
        </is>
      </c>
      <c r="C716" t="inlineStr">
        <is>
          <t>Interceptions</t>
        </is>
      </c>
      <c r="D716" t="n">
        <v>30</v>
      </c>
      <c r="E716" t="n">
        <v>80</v>
      </c>
      <c r="F716" t="inlineStr">
        <is>
          <t>+30 Interceptions 80</t>
        </is>
      </c>
      <c r="G716" t="inlineStr">
        <is>
          <t>Make Your Idol - Starter [SP 1] - EA SPORTS FC 26</t>
        </is>
      </c>
      <c r="H716" t="inlineStr">
        <is>
          <t>Reward</t>
        </is>
      </c>
      <c r="I716" t="inlineStr">
        <is>
          <t>Standard Season Pass</t>
        </is>
      </c>
      <c r="J716" t="inlineStr">
        <is>
          <t>https://www.fut.gg/evolutions/1785-make-your-idol-starter-sp-1/</t>
        </is>
      </c>
    </row>
    <row r="717">
      <c r="B717" t="inlineStr">
        <is>
          <t>Sub Stat</t>
        </is>
      </c>
      <c r="C717" t="inlineStr">
        <is>
          <t>Heading Accuracy</t>
        </is>
      </c>
      <c r="D717" t="n">
        <v>30</v>
      </c>
      <c r="E717" t="n">
        <v>85</v>
      </c>
      <c r="F717" t="inlineStr">
        <is>
          <t>+30 Heading Acc. 85</t>
        </is>
      </c>
      <c r="G717" t="inlineStr">
        <is>
          <t>Make Your Idol - Starter [SP 1] - EA SPORTS FC 26</t>
        </is>
      </c>
      <c r="H717" t="inlineStr">
        <is>
          <t>Reward</t>
        </is>
      </c>
      <c r="I717" t="inlineStr">
        <is>
          <t>Standard Season Pass</t>
        </is>
      </c>
      <c r="J717" t="inlineStr">
        <is>
          <t>https://www.fut.gg/evolutions/1785-make-your-idol-starter-sp-1/</t>
        </is>
      </c>
    </row>
    <row r="718">
      <c r="B718" t="inlineStr">
        <is>
          <t>Face Stat</t>
        </is>
      </c>
      <c r="C718" t="inlineStr">
        <is>
          <t>OVR</t>
        </is>
      </c>
      <c r="D718" t="n">
        <v>40</v>
      </c>
      <c r="E718" t="n">
        <v>85</v>
      </c>
      <c r="F718" t="inlineStr">
        <is>
          <t>+40 OVR 85</t>
        </is>
      </c>
      <c r="G718" t="inlineStr">
        <is>
          <t>Make Your Idol - Starter [SP 1] - EA SPORTS FC 26</t>
        </is>
      </c>
      <c r="H718" t="inlineStr">
        <is>
          <t>Reward</t>
        </is>
      </c>
      <c r="I718" t="inlineStr">
        <is>
          <t>Standard Season Pass</t>
        </is>
      </c>
      <c r="J718" t="inlineStr">
        <is>
          <t>https://www.fut.gg/evolutions/1785-make-your-idol-starter-sp-1/</t>
        </is>
      </c>
    </row>
    <row r="719">
      <c r="B719" t="inlineStr">
        <is>
          <t>Face Stat</t>
        </is>
      </c>
      <c r="C719" t="inlineStr">
        <is>
          <t>PHY</t>
        </is>
      </c>
      <c r="D719" t="n">
        <v>40</v>
      </c>
      <c r="E719" t="n">
        <v>75</v>
      </c>
      <c r="F719" t="inlineStr">
        <is>
          <t>+40 PHY 75</t>
        </is>
      </c>
      <c r="G719" t="inlineStr">
        <is>
          <t>Make Your Idol - Starter [SP 1] - EA SPORTS FC 26</t>
        </is>
      </c>
      <c r="H719" t="inlineStr">
        <is>
          <t>Reward</t>
        </is>
      </c>
      <c r="I719" t="inlineStr">
        <is>
          <t>Standard Season Pass</t>
        </is>
      </c>
      <c r="J719" t="inlineStr">
        <is>
          <t>https://www.fut.gg/evolutions/1785-make-your-idol-starter-sp-1/</t>
        </is>
      </c>
    </row>
    <row r="720">
      <c r="B720" t="inlineStr">
        <is>
          <t>Sub Stat</t>
        </is>
      </c>
      <c r="C720" t="inlineStr">
        <is>
          <t>Acceleration</t>
        </is>
      </c>
      <c r="D720" t="n">
        <v>40</v>
      </c>
      <c r="E720" t="n">
        <v>83</v>
      </c>
      <c r="F720" t="inlineStr">
        <is>
          <t>+40 Acceleration 83</t>
        </is>
      </c>
      <c r="G720" t="inlineStr">
        <is>
          <t>Make Your Idol - Starter [SP 1] - EA SPORTS FC 26</t>
        </is>
      </c>
      <c r="H720" t="inlineStr">
        <is>
          <t>Reward</t>
        </is>
      </c>
      <c r="I720" t="inlineStr">
        <is>
          <t>Standard Season Pass</t>
        </is>
      </c>
      <c r="J720" t="inlineStr">
        <is>
          <t>https://www.fut.gg/evolutions/1785-make-your-idol-starter-sp-1/</t>
        </is>
      </c>
    </row>
    <row r="721">
      <c r="B721" t="inlineStr">
        <is>
          <t>Sub Stat</t>
        </is>
      </c>
      <c r="C721" t="inlineStr">
        <is>
          <t>Positioning</t>
        </is>
      </c>
      <c r="D721" t="n">
        <v>30</v>
      </c>
      <c r="E721" t="n">
        <v>78</v>
      </c>
      <c r="F721" t="inlineStr">
        <is>
          <t>+30 Positioning 78</t>
        </is>
      </c>
      <c r="G721" t="inlineStr">
        <is>
          <t>Make Your Idol - Starter [SP 1] - EA SPORTS FC 26</t>
        </is>
      </c>
      <c r="H721" t="inlineStr">
        <is>
          <t>Reward</t>
        </is>
      </c>
      <c r="I721" t="inlineStr">
        <is>
          <t>Standard Season Pass</t>
        </is>
      </c>
      <c r="J721" t="inlineStr">
        <is>
          <t>https://www.fut.gg/evolutions/1785-make-your-idol-starter-sp-1/</t>
        </is>
      </c>
    </row>
    <row r="722">
      <c r="B722" t="inlineStr">
        <is>
          <t>Sub Stat</t>
        </is>
      </c>
      <c r="C722" t="inlineStr">
        <is>
          <t>Finishing</t>
        </is>
      </c>
      <c r="D722" t="n">
        <v>30</v>
      </c>
      <c r="E722" t="n">
        <v>75</v>
      </c>
      <c r="F722" t="inlineStr">
        <is>
          <t>+30 Finishing 75</t>
        </is>
      </c>
      <c r="G722" t="inlineStr">
        <is>
          <t>Make Your Idol - Starter [SP 1] - EA SPORTS FC 26</t>
        </is>
      </c>
      <c r="H722" t="inlineStr">
        <is>
          <t>Reward</t>
        </is>
      </c>
      <c r="I722" t="inlineStr">
        <is>
          <t>Standard Season Pass</t>
        </is>
      </c>
      <c r="J722" t="inlineStr">
        <is>
          <t>https://www.fut.gg/evolutions/1785-make-your-idol-starter-sp-1/</t>
        </is>
      </c>
    </row>
    <row r="723">
      <c r="B723" t="inlineStr">
        <is>
          <t>Sub Stat</t>
        </is>
      </c>
      <c r="C723" t="inlineStr">
        <is>
          <t>Shot Power</t>
        </is>
      </c>
      <c r="D723" t="n">
        <v>30</v>
      </c>
      <c r="E723" t="n">
        <v>83</v>
      </c>
      <c r="F723" t="inlineStr">
        <is>
          <t>+30 Shot Power 83</t>
        </is>
      </c>
      <c r="G723" t="inlineStr">
        <is>
          <t>Make Your Idol - Starter [SP 1] - EA SPORTS FC 26</t>
        </is>
      </c>
      <c r="H723" t="inlineStr">
        <is>
          <t>Reward</t>
        </is>
      </c>
      <c r="I723" t="inlineStr">
        <is>
          <t>Standard Season Pass</t>
        </is>
      </c>
      <c r="J723" t="inlineStr">
        <is>
          <t>https://www.fut.gg/evolutions/1785-make-your-idol-starter-sp-1/</t>
        </is>
      </c>
    </row>
    <row r="724">
      <c r="B724" t="inlineStr">
        <is>
          <t>Face Stat</t>
        </is>
      </c>
      <c r="C724" t="inlineStr">
        <is>
          <t>OVR</t>
        </is>
      </c>
      <c r="D724" t="n">
        <v>2</v>
      </c>
      <c r="F724" t="inlineStr">
        <is>
          <t>+2 OVR</t>
        </is>
      </c>
      <c r="G724" t="inlineStr">
        <is>
          <t>Up to Speed [SP+ 26] - EA SPORTS FC 26</t>
        </is>
      </c>
      <c r="H724" t="inlineStr">
        <is>
          <t>Reward</t>
        </is>
      </c>
      <c r="I724" t="inlineStr">
        <is>
          <t>Premium Season Pass</t>
        </is>
      </c>
      <c r="J724" t="inlineStr">
        <is>
          <t>https://www.fut.gg/evolutions/1783-up-to-speed-sp-26/</t>
        </is>
      </c>
    </row>
    <row r="725">
      <c r="B725" t="inlineStr">
        <is>
          <t>Face Stat</t>
        </is>
      </c>
      <c r="C725" t="inlineStr">
        <is>
          <t>PAC</t>
        </is>
      </c>
      <c r="D725" t="n">
        <v>4</v>
      </c>
      <c r="E725" t="n">
        <v>91</v>
      </c>
      <c r="F725" t="inlineStr">
        <is>
          <t>+4 PAC 91</t>
        </is>
      </c>
      <c r="G725" t="inlineStr">
        <is>
          <t>Up to Speed [SP+ 26] - EA SPORTS FC 26</t>
        </is>
      </c>
      <c r="H725" t="inlineStr">
        <is>
          <t>Reward</t>
        </is>
      </c>
      <c r="I725" t="inlineStr">
        <is>
          <t>Premium Season Pass</t>
        </is>
      </c>
      <c r="J725" t="inlineStr">
        <is>
          <t>https://www.fut.gg/evolutions/1783-up-to-speed-sp-26/</t>
        </is>
      </c>
    </row>
    <row r="726">
      <c r="B726" t="inlineStr">
        <is>
          <t>Face Stat</t>
        </is>
      </c>
      <c r="C726" t="inlineStr">
        <is>
          <t>DRI</t>
        </is>
      </c>
      <c r="D726" t="n">
        <v>4</v>
      </c>
      <c r="E726" t="n">
        <v>91</v>
      </c>
      <c r="F726" t="inlineStr">
        <is>
          <t>+4 DRI 91</t>
        </is>
      </c>
      <c r="G726" t="inlineStr">
        <is>
          <t>Up to Speed [SP+ 26] - EA SPORTS FC 26</t>
        </is>
      </c>
      <c r="H726" t="inlineStr">
        <is>
          <t>Reward</t>
        </is>
      </c>
      <c r="I726" t="inlineStr">
        <is>
          <t>Premium Season Pass</t>
        </is>
      </c>
      <c r="J726" t="inlineStr">
        <is>
          <t>https://www.fut.gg/evolutions/1783-up-to-speed-sp-26/</t>
        </is>
      </c>
    </row>
    <row r="727">
      <c r="B727" t="inlineStr">
        <is>
          <t>Sub Stat</t>
        </is>
      </c>
      <c r="C727" t="inlineStr">
        <is>
          <t>Positioning</t>
        </is>
      </c>
      <c r="D727" t="n">
        <v>8</v>
      </c>
      <c r="E727" t="n">
        <v>92</v>
      </c>
      <c r="F727" t="inlineStr">
        <is>
          <t>+8 Positioning 92</t>
        </is>
      </c>
      <c r="G727" t="inlineStr">
        <is>
          <t>Up to Speed [SP+ 26] - EA SPORTS FC 26</t>
        </is>
      </c>
      <c r="H727" t="inlineStr">
        <is>
          <t>Reward</t>
        </is>
      </c>
      <c r="I727" t="inlineStr">
        <is>
          <t>Premium Season Pass</t>
        </is>
      </c>
      <c r="J727" t="inlineStr">
        <is>
          <t>https://www.fut.gg/evolutions/1783-up-to-speed-sp-26/</t>
        </is>
      </c>
    </row>
    <row r="728">
      <c r="B728" t="inlineStr">
        <is>
          <t>Sub Stat</t>
        </is>
      </c>
      <c r="C728" t="inlineStr">
        <is>
          <t>Volleys</t>
        </is>
      </c>
      <c r="D728" t="n">
        <v>8</v>
      </c>
      <c r="E728" t="n">
        <v>91</v>
      </c>
      <c r="F728" t="inlineStr">
        <is>
          <t>+8 Volleys 91</t>
        </is>
      </c>
      <c r="G728" t="inlineStr">
        <is>
          <t>Up to Speed [SP+ 26] - EA SPORTS FC 26</t>
        </is>
      </c>
      <c r="H728" t="inlineStr">
        <is>
          <t>Reward</t>
        </is>
      </c>
      <c r="I728" t="inlineStr">
        <is>
          <t>Premium Season Pass</t>
        </is>
      </c>
      <c r="J728" t="inlineStr">
        <is>
          <t>https://www.fut.gg/evolutions/1783-up-to-speed-sp-26/</t>
        </is>
      </c>
    </row>
    <row r="729">
      <c r="B729" t="inlineStr">
        <is>
          <t>Sub Stat</t>
        </is>
      </c>
      <c r="C729" t="inlineStr">
        <is>
          <t>Curve</t>
        </is>
      </c>
      <c r="D729" t="n">
        <v>4</v>
      </c>
      <c r="E729" t="n">
        <v>92</v>
      </c>
      <c r="F729" t="inlineStr">
        <is>
          <t>+4 Curve 92</t>
        </is>
      </c>
      <c r="G729" t="inlineStr">
        <is>
          <t>Up to Speed [SP+ 26] - EA SPORTS FC 26</t>
        </is>
      </c>
      <c r="H729" t="inlineStr">
        <is>
          <t>Reward</t>
        </is>
      </c>
      <c r="I729" t="inlineStr">
        <is>
          <t>Premium Season Pass</t>
        </is>
      </c>
      <c r="J729" t="inlineStr">
        <is>
          <t>https://www.fut.gg/evolutions/1783-up-to-speed-sp-26/</t>
        </is>
      </c>
    </row>
    <row r="730">
      <c r="B730" t="inlineStr">
        <is>
          <t>Sub Stat</t>
        </is>
      </c>
      <c r="C730" t="inlineStr">
        <is>
          <t>Shot Power</t>
        </is>
      </c>
      <c r="D730" t="n">
        <v>8</v>
      </c>
      <c r="E730" t="n">
        <v>92</v>
      </c>
      <c r="F730" t="inlineStr">
        <is>
          <t>+8 Shot Power 92</t>
        </is>
      </c>
      <c r="G730" t="inlineStr">
        <is>
          <t>Up to Speed [SP+ 26] - EA SPORTS FC 26</t>
        </is>
      </c>
      <c r="H730" t="inlineStr">
        <is>
          <t>Reward</t>
        </is>
      </c>
      <c r="I730" t="inlineStr">
        <is>
          <t>Premium Season Pass</t>
        </is>
      </c>
      <c r="J730" t="inlineStr">
        <is>
          <t>https://www.fut.gg/evolutions/1783-up-to-speed-sp-26/</t>
        </is>
      </c>
    </row>
    <row r="731">
      <c r="B731" t="inlineStr">
        <is>
          <t>Sub Stat</t>
        </is>
      </c>
      <c r="C731" t="inlineStr">
        <is>
          <t>Vision</t>
        </is>
      </c>
      <c r="D731" t="n">
        <v>4</v>
      </c>
      <c r="E731" t="n">
        <v>91</v>
      </c>
      <c r="F731" t="inlineStr">
        <is>
          <t>+4 Vision 91</t>
        </is>
      </c>
      <c r="G731" t="inlineStr">
        <is>
          <t>Up to Speed [SP+ 26] - EA SPORTS FC 26</t>
        </is>
      </c>
      <c r="H731" t="inlineStr">
        <is>
          <t>Reward</t>
        </is>
      </c>
      <c r="I731" t="inlineStr">
        <is>
          <t>Premium Season Pass</t>
        </is>
      </c>
      <c r="J731" t="inlineStr">
        <is>
          <t>https://www.fut.gg/evolutions/1783-up-to-speed-sp-26/</t>
        </is>
      </c>
    </row>
    <row r="732">
      <c r="B732" t="inlineStr">
        <is>
          <t>Sub Stat</t>
        </is>
      </c>
      <c r="C732" t="inlineStr">
        <is>
          <t>Finishing</t>
        </is>
      </c>
      <c r="D732" t="n">
        <v>8</v>
      </c>
      <c r="E732" t="n">
        <v>92</v>
      </c>
      <c r="F732" t="inlineStr">
        <is>
          <t>+8 Finishing 92</t>
        </is>
      </c>
      <c r="G732" t="inlineStr">
        <is>
          <t>Up to Speed [SP+ 26] - EA SPORTS FC 26</t>
        </is>
      </c>
      <c r="H732" t="inlineStr">
        <is>
          <t>Reward</t>
        </is>
      </c>
      <c r="I732" t="inlineStr">
        <is>
          <t>Premium Season Pass</t>
        </is>
      </c>
      <c r="J732" t="inlineStr">
        <is>
          <t>https://www.fut.gg/evolutions/1783-up-to-speed-sp-26/</t>
        </is>
      </c>
    </row>
    <row r="733">
      <c r="B733" t="inlineStr">
        <is>
          <t>Sub Stat</t>
        </is>
      </c>
      <c r="C733" t="inlineStr">
        <is>
          <t>Short Passing</t>
        </is>
      </c>
      <c r="D733" t="n">
        <v>4</v>
      </c>
      <c r="E733" t="n">
        <v>92</v>
      </c>
      <c r="F733" t="inlineStr">
        <is>
          <t>+4 Short Pass 92</t>
        </is>
      </c>
      <c r="G733" t="inlineStr">
        <is>
          <t>Up to Speed [SP+ 26] - EA SPORTS FC 26</t>
        </is>
      </c>
      <c r="H733" t="inlineStr">
        <is>
          <t>Reward</t>
        </is>
      </c>
      <c r="I733" t="inlineStr">
        <is>
          <t>Premium Season Pass</t>
        </is>
      </c>
      <c r="J733" t="inlineStr">
        <is>
          <t>https://www.fut.gg/evolutions/1783-up-to-speed-sp-26/</t>
        </is>
      </c>
    </row>
    <row r="734">
      <c r="B734" t="inlineStr">
        <is>
          <t>Face Stat</t>
        </is>
      </c>
      <c r="C734" t="inlineStr">
        <is>
          <t>OVR</t>
        </is>
      </c>
      <c r="D734" t="n">
        <v>2</v>
      </c>
      <c r="F734" t="inlineStr">
        <is>
          <t>+2 OVR</t>
        </is>
      </c>
      <c r="G734" t="inlineStr">
        <is>
          <t>Up to Speed [SP+ 26] - EA SPORTS FC 26</t>
        </is>
      </c>
      <c r="H734" t="inlineStr">
        <is>
          <t>Reward</t>
        </is>
      </c>
      <c r="I734" t="inlineStr">
        <is>
          <t>Premium Season Pass</t>
        </is>
      </c>
      <c r="J734" t="inlineStr">
        <is>
          <t>https://www.fut.gg/evolutions/1783-up-to-speed-sp-26/</t>
        </is>
      </c>
    </row>
    <row r="735">
      <c r="B735" t="inlineStr">
        <is>
          <t>Sub Stat</t>
        </is>
      </c>
      <c r="C735" t="inlineStr">
        <is>
          <t>Positioning</t>
        </is>
      </c>
      <c r="D735" t="n">
        <v>8</v>
      </c>
      <c r="E735" t="n">
        <v>92</v>
      </c>
      <c r="F735" t="inlineStr">
        <is>
          <t>+8 Positioning 92</t>
        </is>
      </c>
      <c r="G735" t="inlineStr">
        <is>
          <t>Up to Speed [SP+ 26] - EA SPORTS FC 26</t>
        </is>
      </c>
      <c r="H735" t="inlineStr">
        <is>
          <t>Reward</t>
        </is>
      </c>
      <c r="I735" t="inlineStr">
        <is>
          <t>Premium Season Pass</t>
        </is>
      </c>
      <c r="J735" t="inlineStr">
        <is>
          <t>https://www.fut.gg/evolutions/1783-up-to-speed-sp-26/</t>
        </is>
      </c>
    </row>
    <row r="736">
      <c r="B736" t="inlineStr">
        <is>
          <t>Sub Stat</t>
        </is>
      </c>
      <c r="C736" t="inlineStr">
        <is>
          <t>Volleys</t>
        </is>
      </c>
      <c r="D736" t="n">
        <v>8</v>
      </c>
      <c r="E736" t="n">
        <v>91</v>
      </c>
      <c r="F736" t="inlineStr">
        <is>
          <t>+8 Volleys 91</t>
        </is>
      </c>
      <c r="G736" t="inlineStr">
        <is>
          <t>Up to Speed [SP+ 26] - EA SPORTS FC 26</t>
        </is>
      </c>
      <c r="H736" t="inlineStr">
        <is>
          <t>Reward</t>
        </is>
      </c>
      <c r="I736" t="inlineStr">
        <is>
          <t>Premium Season Pass</t>
        </is>
      </c>
      <c r="J736" t="inlineStr">
        <is>
          <t>https://www.fut.gg/evolutions/1783-up-to-speed-sp-26/</t>
        </is>
      </c>
    </row>
    <row r="737">
      <c r="B737" t="inlineStr">
        <is>
          <t>Sub Stat</t>
        </is>
      </c>
      <c r="C737" t="inlineStr">
        <is>
          <t>Curve</t>
        </is>
      </c>
      <c r="D737" t="n">
        <v>4</v>
      </c>
      <c r="E737" t="n">
        <v>92</v>
      </c>
      <c r="F737" t="inlineStr">
        <is>
          <t>+4 Curve 92</t>
        </is>
      </c>
      <c r="G737" t="inlineStr">
        <is>
          <t>Up to Speed [SP+ 26] - EA SPORTS FC 26</t>
        </is>
      </c>
      <c r="H737" t="inlineStr">
        <is>
          <t>Reward</t>
        </is>
      </c>
      <c r="I737" t="inlineStr">
        <is>
          <t>Premium Season Pass</t>
        </is>
      </c>
      <c r="J737" t="inlineStr">
        <is>
          <t>https://www.fut.gg/evolutions/1783-up-to-speed-sp-26/</t>
        </is>
      </c>
    </row>
    <row r="738">
      <c r="B738" t="inlineStr">
        <is>
          <t>Face Stat</t>
        </is>
      </c>
      <c r="C738" t="inlineStr">
        <is>
          <t>OVR</t>
        </is>
      </c>
      <c r="D738" t="n">
        <v>2</v>
      </c>
      <c r="E738" t="n">
        <v>89</v>
      </c>
      <c r="F738" t="inlineStr">
        <is>
          <t>+2 OVR 89</t>
        </is>
      </c>
      <c r="G738" t="inlineStr">
        <is>
          <t>Make Your Idol - Defender 2 [SP 7] - EA SPORTS FC 26</t>
        </is>
      </c>
      <c r="H738" t="inlineStr">
        <is>
          <t>Reward</t>
        </is>
      </c>
      <c r="I738" t="inlineStr">
        <is>
          <t>Standard Season Pass</t>
        </is>
      </c>
      <c r="J738" t="inlineStr">
        <is>
          <t>https://www.fut.gg/evolutions/1780-make-your-idol-defender-2-sp-7/</t>
        </is>
      </c>
    </row>
    <row r="739">
      <c r="B739" t="inlineStr">
        <is>
          <t>Face Stat</t>
        </is>
      </c>
      <c r="C739" t="inlineStr">
        <is>
          <t>PAC</t>
        </is>
      </c>
      <c r="D739" t="n">
        <v>3</v>
      </c>
      <c r="E739" t="n">
        <v>87</v>
      </c>
      <c r="F739" t="inlineStr">
        <is>
          <t>+3 PAC 87</t>
        </is>
      </c>
      <c r="G739" t="inlineStr">
        <is>
          <t>Make Your Idol - Defender 2 [SP 7] - EA SPORTS FC 26</t>
        </is>
      </c>
      <c r="H739" t="inlineStr">
        <is>
          <t>Reward</t>
        </is>
      </c>
      <c r="I739" t="inlineStr">
        <is>
          <t>Standard Season Pass</t>
        </is>
      </c>
      <c r="J739" t="inlineStr">
        <is>
          <t>https://www.fut.gg/evolutions/1780-make-your-idol-defender-2-sp-7/</t>
        </is>
      </c>
    </row>
    <row r="740">
      <c r="B740" t="inlineStr">
        <is>
          <t>Sub Stat</t>
        </is>
      </c>
      <c r="C740" t="inlineStr">
        <is>
          <t>Short Passing</t>
        </is>
      </c>
      <c r="D740" t="n">
        <v>10</v>
      </c>
      <c r="E740" t="n">
        <v>90</v>
      </c>
      <c r="F740" t="inlineStr">
        <is>
          <t>+10 Short Pass 90</t>
        </is>
      </c>
      <c r="G740" t="inlineStr">
        <is>
          <t>Make Your Idol - Defender 2 [SP 7] - EA SPORTS FC 26</t>
        </is>
      </c>
      <c r="H740" t="inlineStr">
        <is>
          <t>Reward</t>
        </is>
      </c>
      <c r="I740" t="inlineStr">
        <is>
          <t>Standard Season Pass</t>
        </is>
      </c>
      <c r="J740" t="inlineStr">
        <is>
          <t>https://www.fut.gg/evolutions/1780-make-your-idol-defender-2-sp-7/</t>
        </is>
      </c>
    </row>
    <row r="741">
      <c r="B741" t="inlineStr">
        <is>
          <t>Sub Stat</t>
        </is>
      </c>
      <c r="C741" t="inlineStr">
        <is>
          <t>Long Passing</t>
        </is>
      </c>
      <c r="D741" t="n">
        <v>10</v>
      </c>
      <c r="E741" t="n">
        <v>90</v>
      </c>
      <c r="F741" t="inlineStr">
        <is>
          <t>+10 Long Pass 90</t>
        </is>
      </c>
      <c r="G741" t="inlineStr">
        <is>
          <t>Make Your Idol - Defender 2 [SP 7] - EA SPORTS FC 26</t>
        </is>
      </c>
      <c r="H741" t="inlineStr">
        <is>
          <t>Reward</t>
        </is>
      </c>
      <c r="I741" t="inlineStr">
        <is>
          <t>Standard Season Pass</t>
        </is>
      </c>
      <c r="J741" t="inlineStr">
        <is>
          <t>https://www.fut.gg/evolutions/1780-make-your-idol-defender-2-sp-7/</t>
        </is>
      </c>
    </row>
    <row r="742">
      <c r="B742" t="inlineStr">
        <is>
          <t>Sub Stat</t>
        </is>
      </c>
      <c r="C742" t="inlineStr">
        <is>
          <t>Agility</t>
        </is>
      </c>
      <c r="D742" t="n">
        <v>10</v>
      </c>
      <c r="E742" t="n">
        <v>80</v>
      </c>
      <c r="F742" t="inlineStr">
        <is>
          <t>+10 Agility 80</t>
        </is>
      </c>
      <c r="G742" t="inlineStr">
        <is>
          <t>Make Your Idol - Defender 2 [SP 7] - EA SPORTS FC 26</t>
        </is>
      </c>
      <c r="H742" t="inlineStr">
        <is>
          <t>Reward</t>
        </is>
      </c>
      <c r="I742" t="inlineStr">
        <is>
          <t>Standard Season Pass</t>
        </is>
      </c>
      <c r="J742" t="inlineStr">
        <is>
          <t>https://www.fut.gg/evolutions/1780-make-your-idol-defender-2-sp-7/</t>
        </is>
      </c>
    </row>
    <row r="743">
      <c r="B743" t="inlineStr">
        <is>
          <t>Sub Stat</t>
        </is>
      </c>
      <c r="C743" t="inlineStr">
        <is>
          <t>Balance</t>
        </is>
      </c>
      <c r="D743" t="n">
        <v>10</v>
      </c>
      <c r="E743" t="n">
        <v>80</v>
      </c>
      <c r="F743" t="inlineStr">
        <is>
          <t>+10 Balance 80</t>
        </is>
      </c>
      <c r="G743" t="inlineStr">
        <is>
          <t>Make Your Idol - Defender 2 [SP 7] - EA SPORTS FC 26</t>
        </is>
      </c>
      <c r="H743" t="inlineStr">
        <is>
          <t>Reward</t>
        </is>
      </c>
      <c r="I743" t="inlineStr">
        <is>
          <t>Standard Season Pass</t>
        </is>
      </c>
      <c r="J743" t="inlineStr">
        <is>
          <t>https://www.fut.gg/evolutions/1780-make-your-idol-defender-2-sp-7/</t>
        </is>
      </c>
    </row>
    <row r="744">
      <c r="B744" t="inlineStr">
        <is>
          <t>Sub Stat</t>
        </is>
      </c>
      <c r="C744" t="inlineStr">
        <is>
          <t>Reactions</t>
        </is>
      </c>
      <c r="D744" t="n">
        <v>10</v>
      </c>
      <c r="E744" t="n">
        <v>90</v>
      </c>
      <c r="F744" t="inlineStr">
        <is>
          <t>+10 Reactions 90</t>
        </is>
      </c>
      <c r="G744" t="inlineStr">
        <is>
          <t>Make Your Idol - Defender 2 [SP 7] - EA SPORTS FC 26</t>
        </is>
      </c>
      <c r="H744" t="inlineStr">
        <is>
          <t>Reward</t>
        </is>
      </c>
      <c r="I744" t="inlineStr">
        <is>
          <t>Standard Season Pass</t>
        </is>
      </c>
      <c r="J744" t="inlineStr">
        <is>
          <t>https://www.fut.gg/evolutions/1780-make-your-idol-defender-2-sp-7/</t>
        </is>
      </c>
    </row>
    <row r="745">
      <c r="B745" t="inlineStr">
        <is>
          <t>Sub Stat</t>
        </is>
      </c>
      <c r="C745" t="inlineStr">
        <is>
          <t>Composure</t>
        </is>
      </c>
      <c r="D745" t="n">
        <v>10</v>
      </c>
      <c r="E745" t="n">
        <v>90</v>
      </c>
      <c r="F745" t="inlineStr">
        <is>
          <t>+10 Composure 90</t>
        </is>
      </c>
      <c r="G745" t="inlineStr">
        <is>
          <t>Make Your Idol - Defender 2 [SP 7] - EA SPORTS FC 26</t>
        </is>
      </c>
      <c r="H745" t="inlineStr">
        <is>
          <t>Reward</t>
        </is>
      </c>
      <c r="I745" t="inlineStr">
        <is>
          <t>Standard Season Pass</t>
        </is>
      </c>
      <c r="J745" t="inlineStr">
        <is>
          <t>https://www.fut.gg/evolutions/1780-make-your-idol-defender-2-sp-7/</t>
        </is>
      </c>
    </row>
    <row r="746">
      <c r="B746" t="inlineStr">
        <is>
          <t>Sub Stat</t>
        </is>
      </c>
      <c r="C746" t="inlineStr">
        <is>
          <t>Interceptions</t>
        </is>
      </c>
      <c r="D746" t="n">
        <v>10</v>
      </c>
      <c r="E746" t="n">
        <v>90</v>
      </c>
      <c r="F746" t="inlineStr">
        <is>
          <t>+10 Interceptions 90</t>
        </is>
      </c>
      <c r="G746" t="inlineStr">
        <is>
          <t>Make Your Idol - Defender 2 [SP 7] - EA SPORTS FC 26</t>
        </is>
      </c>
      <c r="H746" t="inlineStr">
        <is>
          <t>Reward</t>
        </is>
      </c>
      <c r="I746" t="inlineStr">
        <is>
          <t>Standard Season Pass</t>
        </is>
      </c>
      <c r="J746" t="inlineStr">
        <is>
          <t>https://www.fut.gg/evolutions/1780-make-your-idol-defender-2-sp-7/</t>
        </is>
      </c>
    </row>
    <row r="747">
      <c r="B747" t="inlineStr">
        <is>
          <t>Sub Stat</t>
        </is>
      </c>
      <c r="C747" t="inlineStr">
        <is>
          <t>Heading Accuracy</t>
        </is>
      </c>
      <c r="D747" t="n">
        <v>10</v>
      </c>
      <c r="E747" t="n">
        <v>90</v>
      </c>
      <c r="F747" t="inlineStr">
        <is>
          <t>+10 Heading Acc. 90</t>
        </is>
      </c>
      <c r="G747" t="inlineStr">
        <is>
          <t>Make Your Idol - Defender 2 [SP 7] - EA SPORTS FC 26</t>
        </is>
      </c>
      <c r="H747" t="inlineStr">
        <is>
          <t>Reward</t>
        </is>
      </c>
      <c r="I747" t="inlineStr">
        <is>
          <t>Standard Season Pass</t>
        </is>
      </c>
      <c r="J747" t="inlineStr">
        <is>
          <t>https://www.fut.gg/evolutions/1780-make-your-idol-defender-2-sp-7/</t>
        </is>
      </c>
    </row>
    <row r="748">
      <c r="B748" t="inlineStr">
        <is>
          <t>Sub Stat</t>
        </is>
      </c>
      <c r="C748" t="inlineStr">
        <is>
          <t>Defensive Awareness</t>
        </is>
      </c>
      <c r="D748" t="n">
        <v>10</v>
      </c>
      <c r="E748" t="n">
        <v>88</v>
      </c>
      <c r="F748" t="inlineStr">
        <is>
          <t>+10 Defensive Awareness 88</t>
        </is>
      </c>
      <c r="G748" t="inlineStr">
        <is>
          <t>Make Your Idol - Defender 2 [SP 7] - EA SPORTS FC 26</t>
        </is>
      </c>
      <c r="H748" t="inlineStr">
        <is>
          <t>Reward</t>
        </is>
      </c>
      <c r="I748" t="inlineStr">
        <is>
          <t>Standard Season Pass</t>
        </is>
      </c>
      <c r="J748" t="inlineStr">
        <is>
          <t>https://www.fut.gg/evolutions/1780-make-your-idol-defender-2-sp-7/</t>
        </is>
      </c>
    </row>
    <row r="749">
      <c r="B749" t="inlineStr">
        <is>
          <t>Sub Stat</t>
        </is>
      </c>
      <c r="C749" t="inlineStr">
        <is>
          <t>Standing Tackle</t>
        </is>
      </c>
      <c r="D749" t="n">
        <v>10</v>
      </c>
      <c r="E749" t="n">
        <v>89</v>
      </c>
      <c r="F749" t="inlineStr">
        <is>
          <t>+10 Standing Tackle 89</t>
        </is>
      </c>
      <c r="G749" t="inlineStr">
        <is>
          <t>Make Your Idol - Defender 2 [SP 7] - EA SPORTS FC 26</t>
        </is>
      </c>
      <c r="H749" t="inlineStr">
        <is>
          <t>Reward</t>
        </is>
      </c>
      <c r="I749" t="inlineStr">
        <is>
          <t>Standard Season Pass</t>
        </is>
      </c>
      <c r="J749" t="inlineStr">
        <is>
          <t>https://www.fut.gg/evolutions/1780-make-your-idol-defender-2-sp-7/</t>
        </is>
      </c>
    </row>
    <row r="750">
      <c r="B750" t="inlineStr">
        <is>
          <t>Sub Stat</t>
        </is>
      </c>
      <c r="C750" t="inlineStr">
        <is>
          <t>Sliding Tackle</t>
        </is>
      </c>
      <c r="D750" t="n">
        <v>10</v>
      </c>
      <c r="E750" t="n">
        <v>89</v>
      </c>
      <c r="F750" t="inlineStr">
        <is>
          <t>+10 Sliding Tackle 89</t>
        </is>
      </c>
      <c r="G750" t="inlineStr">
        <is>
          <t>Make Your Idol - Defender 2 [SP 7] - EA SPORTS FC 26</t>
        </is>
      </c>
      <c r="H750" t="inlineStr">
        <is>
          <t>Reward</t>
        </is>
      </c>
      <c r="I750" t="inlineStr">
        <is>
          <t>Standard Season Pass</t>
        </is>
      </c>
      <c r="J750" t="inlineStr">
        <is>
          <t>https://www.fut.gg/evolutions/1780-make-your-idol-defender-2-sp-7/</t>
        </is>
      </c>
    </row>
    <row r="751">
      <c r="B751" t="inlineStr">
        <is>
          <t>Sub Stat</t>
        </is>
      </c>
      <c r="C751" t="inlineStr">
        <is>
          <t>Jumping</t>
        </is>
      </c>
      <c r="D751" t="n">
        <v>20</v>
      </c>
      <c r="E751" t="n">
        <v>90</v>
      </c>
      <c r="F751" t="inlineStr">
        <is>
          <t>+20 Jumping 90</t>
        </is>
      </c>
      <c r="G751" t="inlineStr">
        <is>
          <t>Make Your Idol - Defender 2 [SP 7] - EA SPORTS FC 26</t>
        </is>
      </c>
      <c r="H751" t="inlineStr">
        <is>
          <t>Reward</t>
        </is>
      </c>
      <c r="I751" t="inlineStr">
        <is>
          <t>Standard Season Pass</t>
        </is>
      </c>
      <c r="J751" t="inlineStr">
        <is>
          <t>https://www.fut.gg/evolutions/1780-make-your-idol-defender-2-sp-7/</t>
        </is>
      </c>
    </row>
    <row r="752">
      <c r="B752" t="inlineStr">
        <is>
          <t>Sub Stat</t>
        </is>
      </c>
      <c r="C752" t="inlineStr">
        <is>
          <t>Stamina</t>
        </is>
      </c>
      <c r="D752" t="n">
        <v>15</v>
      </c>
      <c r="E752" t="n">
        <v>88</v>
      </c>
      <c r="F752" t="inlineStr">
        <is>
          <t>+15 Stamina 88</t>
        </is>
      </c>
      <c r="G752" t="inlineStr">
        <is>
          <t>Make Your Idol - Defender 2 [SP 7] - EA SPORTS FC 26</t>
        </is>
      </c>
      <c r="H752" t="inlineStr">
        <is>
          <t>Reward</t>
        </is>
      </c>
      <c r="I752" t="inlineStr">
        <is>
          <t>Standard Season Pass</t>
        </is>
      </c>
      <c r="J752" t="inlineStr">
        <is>
          <t>https://www.fut.gg/evolutions/1780-make-your-idol-defender-2-sp-7/</t>
        </is>
      </c>
    </row>
    <row r="753">
      <c r="B753" t="inlineStr">
        <is>
          <t>Sub Stat</t>
        </is>
      </c>
      <c r="C753" t="inlineStr">
        <is>
          <t>Strength</t>
        </is>
      </c>
      <c r="D753" t="n">
        <v>20</v>
      </c>
      <c r="E753" t="n">
        <v>88</v>
      </c>
      <c r="F753" t="inlineStr">
        <is>
          <t>+20 Strength 88</t>
        </is>
      </c>
      <c r="G753" t="inlineStr">
        <is>
          <t>Make Your Idol - Defender 2 [SP 7] - EA SPORTS FC 26</t>
        </is>
      </c>
      <c r="H753" t="inlineStr">
        <is>
          <t>Reward</t>
        </is>
      </c>
      <c r="I753" t="inlineStr">
        <is>
          <t>Standard Season Pass</t>
        </is>
      </c>
      <c r="J753" t="inlineStr">
        <is>
          <t>https://www.fut.gg/evolutions/1780-make-your-idol-defender-2-sp-7/</t>
        </is>
      </c>
    </row>
    <row r="754">
      <c r="B754" t="inlineStr">
        <is>
          <t>Sub Stat</t>
        </is>
      </c>
      <c r="C754" t="inlineStr">
        <is>
          <t>Aggression</t>
        </is>
      </c>
      <c r="D754" t="n">
        <v>20</v>
      </c>
      <c r="E754" t="n">
        <v>87</v>
      </c>
      <c r="F754" t="inlineStr">
        <is>
          <t>+20 Aggression 87</t>
        </is>
      </c>
      <c r="G754" t="inlineStr">
        <is>
          <t>Make Your Idol - Defender 2 [SP 7] - EA SPORTS FC 26</t>
        </is>
      </c>
      <c r="H754" t="inlineStr">
        <is>
          <t>Reward</t>
        </is>
      </c>
      <c r="I754" t="inlineStr">
        <is>
          <t>Standard Season Pass</t>
        </is>
      </c>
      <c r="J754" t="inlineStr">
        <is>
          <t>https://www.fut.gg/evolutions/1780-make-your-idol-defender-2-sp-7/</t>
        </is>
      </c>
    </row>
    <row r="755">
      <c r="B755" t="inlineStr">
        <is>
          <t>Face Stat</t>
        </is>
      </c>
      <c r="C755" t="inlineStr">
        <is>
          <t>OVR</t>
        </is>
      </c>
      <c r="D755" t="n">
        <v>2</v>
      </c>
      <c r="E755" t="n">
        <v>89</v>
      </c>
      <c r="F755" t="inlineStr">
        <is>
          <t>+2 OVR 89</t>
        </is>
      </c>
      <c r="G755" t="inlineStr">
        <is>
          <t>Make Your Idol - Defender 2 [SP 7] - EA SPORTS FC 26</t>
        </is>
      </c>
      <c r="H755" t="inlineStr">
        <is>
          <t>Reward</t>
        </is>
      </c>
      <c r="I755" t="inlineStr">
        <is>
          <t>Standard Season Pass</t>
        </is>
      </c>
      <c r="J755" t="inlineStr">
        <is>
          <t>https://www.fut.gg/evolutions/1780-make-your-idol-defender-2-sp-7/</t>
        </is>
      </c>
    </row>
    <row r="756">
      <c r="B756" t="inlineStr">
        <is>
          <t>Sub Stat</t>
        </is>
      </c>
      <c r="C756" t="inlineStr">
        <is>
          <t>Short Passing</t>
        </is>
      </c>
      <c r="D756" t="n">
        <v>10</v>
      </c>
      <c r="E756" t="n">
        <v>90</v>
      </c>
      <c r="F756" t="inlineStr">
        <is>
          <t>+10 Short Pass 90</t>
        </is>
      </c>
      <c r="G756" t="inlineStr">
        <is>
          <t>Make Your Idol - Defender 2 [SP 7] - EA SPORTS FC 26</t>
        </is>
      </c>
      <c r="H756" t="inlineStr">
        <is>
          <t>Reward</t>
        </is>
      </c>
      <c r="I756" t="inlineStr">
        <is>
          <t>Standard Season Pass</t>
        </is>
      </c>
      <c r="J756" t="inlineStr">
        <is>
          <t>https://www.fut.gg/evolutions/1780-make-your-idol-defender-2-sp-7/</t>
        </is>
      </c>
    </row>
    <row r="757">
      <c r="B757" t="inlineStr">
        <is>
          <t>Sub Stat</t>
        </is>
      </c>
      <c r="C757" t="inlineStr">
        <is>
          <t>Long Passing</t>
        </is>
      </c>
      <c r="D757" t="n">
        <v>10</v>
      </c>
      <c r="E757" t="n">
        <v>90</v>
      </c>
      <c r="F757" t="inlineStr">
        <is>
          <t>+10 Long Pass 90</t>
        </is>
      </c>
      <c r="G757" t="inlineStr">
        <is>
          <t>Make Your Idol - Defender 2 [SP 7] - EA SPORTS FC 26</t>
        </is>
      </c>
      <c r="H757" t="inlineStr">
        <is>
          <t>Reward</t>
        </is>
      </c>
      <c r="I757" t="inlineStr">
        <is>
          <t>Standard Season Pass</t>
        </is>
      </c>
      <c r="J757" t="inlineStr">
        <is>
          <t>https://www.fut.gg/evolutions/1780-make-your-idol-defender-2-sp-7/</t>
        </is>
      </c>
    </row>
    <row r="758">
      <c r="B758" t="inlineStr">
        <is>
          <t>Sub Stat</t>
        </is>
      </c>
      <c r="C758" t="inlineStr">
        <is>
          <t>Agility</t>
        </is>
      </c>
      <c r="D758" t="n">
        <v>10</v>
      </c>
      <c r="E758" t="n">
        <v>80</v>
      </c>
      <c r="F758" t="inlineStr">
        <is>
          <t>+10 Agility 80</t>
        </is>
      </c>
      <c r="G758" t="inlineStr">
        <is>
          <t>Make Your Idol - Defender 2 [SP 7] - EA SPORTS FC 26</t>
        </is>
      </c>
      <c r="H758" t="inlineStr">
        <is>
          <t>Reward</t>
        </is>
      </c>
      <c r="I758" t="inlineStr">
        <is>
          <t>Standard Season Pass</t>
        </is>
      </c>
      <c r="J758" t="inlineStr">
        <is>
          <t>https://www.fut.gg/evolutions/1780-make-your-idol-defender-2-sp-7/</t>
        </is>
      </c>
    </row>
    <row r="759">
      <c r="B759" t="inlineStr">
        <is>
          <t>Sub Stat</t>
        </is>
      </c>
      <c r="C759" t="inlineStr">
        <is>
          <t>Balance</t>
        </is>
      </c>
      <c r="D759" t="n">
        <v>10</v>
      </c>
      <c r="E759" t="n">
        <v>80</v>
      </c>
      <c r="F759" t="inlineStr">
        <is>
          <t>+10 Balance 80</t>
        </is>
      </c>
      <c r="G759" t="inlineStr">
        <is>
          <t>Make Your Idol - Defender 2 [SP 7] - EA SPORTS FC 26</t>
        </is>
      </c>
      <c r="H759" t="inlineStr">
        <is>
          <t>Reward</t>
        </is>
      </c>
      <c r="I759" t="inlineStr">
        <is>
          <t>Standard Season Pass</t>
        </is>
      </c>
      <c r="J759" t="inlineStr">
        <is>
          <t>https://www.fut.gg/evolutions/1780-make-your-idol-defender-2-sp-7/</t>
        </is>
      </c>
    </row>
    <row r="760">
      <c r="B760" t="inlineStr">
        <is>
          <t>Face Stat</t>
        </is>
      </c>
      <c r="C760" t="inlineStr">
        <is>
          <t>OVR</t>
        </is>
      </c>
      <c r="D760" t="n">
        <v>2</v>
      </c>
      <c r="E760" t="n">
        <v>91</v>
      </c>
      <c r="F760" t="inlineStr">
        <is>
          <t>+2 OVR 91</t>
        </is>
      </c>
      <c r="G760" t="inlineStr">
        <is>
          <t>Make Your Idol - Attacker 3 [SP 21] - EA SPORTS FC 26</t>
        </is>
      </c>
      <c r="H760" t="inlineStr">
        <is>
          <t>Reward</t>
        </is>
      </c>
      <c r="I760" t="inlineStr">
        <is>
          <t>Standard Season Pass</t>
        </is>
      </c>
      <c r="J760" t="inlineStr">
        <is>
          <t>https://www.fut.gg/evolutions/1779-make-your-idol-attacker-3-sp-21/</t>
        </is>
      </c>
    </row>
    <row r="761">
      <c r="B761" t="inlineStr">
        <is>
          <t>Face Stat</t>
        </is>
      </c>
      <c r="C761" t="inlineStr">
        <is>
          <t>SHO</t>
        </is>
      </c>
      <c r="D761" t="n">
        <v>4</v>
      </c>
      <c r="E761" t="n">
        <v>91</v>
      </c>
      <c r="F761" t="inlineStr">
        <is>
          <t>+4 SHO 91</t>
        </is>
      </c>
      <c r="G761" t="inlineStr">
        <is>
          <t>Make Your Idol - Attacker 3 [SP 21] - EA SPORTS FC 26</t>
        </is>
      </c>
      <c r="H761" t="inlineStr">
        <is>
          <t>Reward</t>
        </is>
      </c>
      <c r="I761" t="inlineStr">
        <is>
          <t>Standard Season Pass</t>
        </is>
      </c>
      <c r="J761" t="inlineStr">
        <is>
          <t>https://www.fut.gg/evolutions/1779-make-your-idol-attacker-3-sp-21/</t>
        </is>
      </c>
    </row>
    <row r="762">
      <c r="B762" t="inlineStr">
        <is>
          <t>Face Stat</t>
        </is>
      </c>
      <c r="C762" t="inlineStr">
        <is>
          <t>DRI</t>
        </is>
      </c>
      <c r="D762" t="n">
        <v>4</v>
      </c>
      <c r="E762" t="n">
        <v>90</v>
      </c>
      <c r="F762" t="inlineStr">
        <is>
          <t>+4 DRI 90</t>
        </is>
      </c>
      <c r="G762" t="inlineStr">
        <is>
          <t>Make Your Idol - Attacker 3 [SP 21] - EA SPORTS FC 26</t>
        </is>
      </c>
      <c r="H762" t="inlineStr">
        <is>
          <t>Reward</t>
        </is>
      </c>
      <c r="I762" t="inlineStr">
        <is>
          <t>Standard Season Pass</t>
        </is>
      </c>
      <c r="J762" t="inlineStr">
        <is>
          <t>https://www.fut.gg/evolutions/1779-make-your-idol-attacker-3-sp-21/</t>
        </is>
      </c>
    </row>
    <row r="763">
      <c r="B763" t="inlineStr">
        <is>
          <t>Skill</t>
        </is>
      </c>
      <c r="C763" t="inlineStr">
        <is>
          <t>SM</t>
        </is>
      </c>
      <c r="D763" t="n">
        <v>4</v>
      </c>
      <c r="F763" t="inlineStr">
        <is>
          <t>+4 SM</t>
        </is>
      </c>
      <c r="G763" t="inlineStr">
        <is>
          <t>Make Your Idol - Attacker 3 [SP 21] - EA SPORTS FC 26</t>
        </is>
      </c>
      <c r="H763" t="inlineStr">
        <is>
          <t>Reward</t>
        </is>
      </c>
      <c r="I763" t="inlineStr">
        <is>
          <t>Standard Season Pass</t>
        </is>
      </c>
      <c r="J763" t="inlineStr">
        <is>
          <t>https://www.fut.gg/evolutions/1779-make-your-idol-attacker-3-sp-21/</t>
        </is>
      </c>
    </row>
    <row r="764">
      <c r="B764" t="inlineStr">
        <is>
          <t>Skill</t>
        </is>
      </c>
      <c r="C764" t="inlineStr">
        <is>
          <t>WF</t>
        </is>
      </c>
      <c r="D764" t="n">
        <v>4</v>
      </c>
      <c r="F764" t="inlineStr">
        <is>
          <t>+4 WF</t>
        </is>
      </c>
      <c r="G764" t="inlineStr">
        <is>
          <t>Make Your Idol - Attacker 3 [SP 21] - EA SPORTS FC 26</t>
        </is>
      </c>
      <c r="H764" t="inlineStr">
        <is>
          <t>Reward</t>
        </is>
      </c>
      <c r="I764" t="inlineStr">
        <is>
          <t>Standard Season Pass</t>
        </is>
      </c>
      <c r="J764" t="inlineStr">
        <is>
          <t>https://www.fut.gg/evolutions/1779-make-your-idol-attacker-3-sp-21/</t>
        </is>
      </c>
    </row>
    <row r="765">
      <c r="B765" t="inlineStr">
        <is>
          <t>Sub Stat</t>
        </is>
      </c>
      <c r="C765" t="inlineStr">
        <is>
          <t>Stamina</t>
        </is>
      </c>
      <c r="D765" t="n">
        <v>20</v>
      </c>
      <c r="E765" t="n">
        <v>90</v>
      </c>
      <c r="F765" t="inlineStr">
        <is>
          <t>+20 Stamina 90</t>
        </is>
      </c>
      <c r="G765" t="inlineStr">
        <is>
          <t>Make Your Idol - Attacker 3 [SP 21] - EA SPORTS FC 26</t>
        </is>
      </c>
      <c r="H765" t="inlineStr">
        <is>
          <t>Reward</t>
        </is>
      </c>
      <c r="I765" t="inlineStr">
        <is>
          <t>Standard Season Pass</t>
        </is>
      </c>
      <c r="J765" t="inlineStr">
        <is>
          <t>https://www.fut.gg/evolutions/1779-make-your-idol-attacker-3-sp-21/</t>
        </is>
      </c>
    </row>
    <row r="766">
      <c r="B766" t="inlineStr">
        <is>
          <t>Face Stat</t>
        </is>
      </c>
      <c r="C766" t="inlineStr">
        <is>
          <t>OVR</t>
        </is>
      </c>
      <c r="D766" t="n">
        <v>2</v>
      </c>
      <c r="E766" t="n">
        <v>91</v>
      </c>
      <c r="F766" t="inlineStr">
        <is>
          <t>+2 OVR 91</t>
        </is>
      </c>
      <c r="G766" t="inlineStr">
        <is>
          <t>Make Your Idol - Attacker 3 [SP 21] - EA SPORTS FC 26</t>
        </is>
      </c>
      <c r="H766" t="inlineStr">
        <is>
          <t>Reward</t>
        </is>
      </c>
      <c r="I766" t="inlineStr">
        <is>
          <t>Standard Season Pass</t>
        </is>
      </c>
      <c r="J766" t="inlineStr">
        <is>
          <t>https://www.fut.gg/evolutions/1779-make-your-idol-attacker-3-sp-21/</t>
        </is>
      </c>
    </row>
    <row r="767">
      <c r="B767" t="inlineStr">
        <is>
          <t>Face Stat</t>
        </is>
      </c>
      <c r="C767" t="inlineStr">
        <is>
          <t>SHO</t>
        </is>
      </c>
      <c r="D767" t="n">
        <v>4</v>
      </c>
      <c r="E767" t="n">
        <v>91</v>
      </c>
      <c r="F767" t="inlineStr">
        <is>
          <t>+4 SHO 91</t>
        </is>
      </c>
      <c r="G767" t="inlineStr">
        <is>
          <t>Make Your Idol - Attacker 3 [SP 21] - EA SPORTS FC 26</t>
        </is>
      </c>
      <c r="H767" t="inlineStr">
        <is>
          <t>Reward</t>
        </is>
      </c>
      <c r="I767" t="inlineStr">
        <is>
          <t>Standard Season Pass</t>
        </is>
      </c>
      <c r="J767" t="inlineStr">
        <is>
          <t>https://www.fut.gg/evolutions/1779-make-your-idol-attacker-3-sp-21/</t>
        </is>
      </c>
    </row>
    <row r="768">
      <c r="B768" t="inlineStr">
        <is>
          <t>Face Stat</t>
        </is>
      </c>
      <c r="C768" t="inlineStr">
        <is>
          <t>DRI</t>
        </is>
      </c>
      <c r="D768" t="n">
        <v>4</v>
      </c>
      <c r="E768" t="n">
        <v>90</v>
      </c>
      <c r="F768" t="inlineStr">
        <is>
          <t>+4 DRI 90</t>
        </is>
      </c>
      <c r="G768" t="inlineStr">
        <is>
          <t>Make Your Idol - Attacker 3 [SP 21] - EA SPORTS FC 26</t>
        </is>
      </c>
      <c r="H768" t="inlineStr">
        <is>
          <t>Reward</t>
        </is>
      </c>
      <c r="I768" t="inlineStr">
        <is>
          <t>Standard Season Pass</t>
        </is>
      </c>
      <c r="J768" t="inlineStr">
        <is>
          <t>https://www.fut.gg/evolutions/1779-make-your-idol-attacker-3-sp-21/</t>
        </is>
      </c>
    </row>
    <row r="769">
      <c r="B769" t="inlineStr">
        <is>
          <t>Skill</t>
        </is>
      </c>
      <c r="C769" t="inlineStr">
        <is>
          <t>WF</t>
        </is>
      </c>
      <c r="D769" t="n">
        <v>4</v>
      </c>
      <c r="F769" t="inlineStr">
        <is>
          <t>+4 WF</t>
        </is>
      </c>
      <c r="G769" t="inlineStr">
        <is>
          <t>Make Your Idol - Attacker 3 [SP 21] - EA SPORTS FC 26</t>
        </is>
      </c>
      <c r="H769" t="inlineStr">
        <is>
          <t>Reward</t>
        </is>
      </c>
      <c r="I769" t="inlineStr">
        <is>
          <t>Standard Season Pass</t>
        </is>
      </c>
      <c r="J769" t="inlineStr">
        <is>
          <t>https://www.fut.gg/evolutions/1779-make-your-idol-attacker-3-sp-21/</t>
        </is>
      </c>
    </row>
    <row r="770">
      <c r="B770" t="inlineStr">
        <is>
          <t>Sub Stat</t>
        </is>
      </c>
      <c r="C770" t="inlineStr">
        <is>
          <t>Stamina</t>
        </is>
      </c>
      <c r="D770" t="n">
        <v>20</v>
      </c>
      <c r="E770" t="n">
        <v>90</v>
      </c>
      <c r="F770" t="inlineStr">
        <is>
          <t>+20 Stamina 90</t>
        </is>
      </c>
      <c r="G770" t="inlineStr">
        <is>
          <t>Make Your Idol - Attacker 3 [SP 21] - EA SPORTS FC 26</t>
        </is>
      </c>
      <c r="H770" t="inlineStr">
        <is>
          <t>Reward</t>
        </is>
      </c>
      <c r="I770" t="inlineStr">
        <is>
          <t>Standard Season Pass</t>
        </is>
      </c>
      <c r="J770" t="inlineStr">
        <is>
          <t>https://www.fut.gg/evolutions/1779-make-your-idol-attacker-3-sp-21/</t>
        </is>
      </c>
    </row>
    <row r="771">
      <c r="B771" t="inlineStr">
        <is>
          <t>Face Stat</t>
        </is>
      </c>
      <c r="C771" t="inlineStr">
        <is>
          <t>OVR</t>
        </is>
      </c>
      <c r="D771" t="n">
        <v>2</v>
      </c>
      <c r="E771" t="n">
        <v>91</v>
      </c>
      <c r="F771" t="inlineStr">
        <is>
          <t>+2 OVR 91</t>
        </is>
      </c>
      <c r="G771" t="inlineStr">
        <is>
          <t>Make Your Idol - Midfielder 3 [SP 21] - EA SPORTS FC 26</t>
        </is>
      </c>
      <c r="H771" t="inlineStr">
        <is>
          <t>Reward</t>
        </is>
      </c>
      <c r="I771" t="inlineStr">
        <is>
          <t>Standard Season Pass</t>
        </is>
      </c>
      <c r="J771" t="inlineStr">
        <is>
          <t>https://www.fut.gg/evolutions/1778-make-your-idol-midfielder-3-sp-21/</t>
        </is>
      </c>
    </row>
    <row r="772">
      <c r="B772" t="inlineStr">
        <is>
          <t>Face Stat</t>
        </is>
      </c>
      <c r="C772" t="inlineStr">
        <is>
          <t>PAS</t>
        </is>
      </c>
      <c r="D772" t="n">
        <v>4</v>
      </c>
      <c r="E772" t="n">
        <v>91</v>
      </c>
      <c r="F772" t="inlineStr">
        <is>
          <t>+4 PAS 91</t>
        </is>
      </c>
      <c r="G772" t="inlineStr">
        <is>
          <t>Make Your Idol - Midfielder 3 [SP 21] - EA SPORTS FC 26</t>
        </is>
      </c>
      <c r="H772" t="inlineStr">
        <is>
          <t>Reward</t>
        </is>
      </c>
      <c r="I772" t="inlineStr">
        <is>
          <t>Standard Season Pass</t>
        </is>
      </c>
      <c r="J772" t="inlineStr">
        <is>
          <t>https://www.fut.gg/evolutions/1778-make-your-idol-midfielder-3-sp-21/</t>
        </is>
      </c>
    </row>
    <row r="773">
      <c r="B773" t="inlineStr">
        <is>
          <t>Face Stat</t>
        </is>
      </c>
      <c r="C773" t="inlineStr">
        <is>
          <t>DRI</t>
        </is>
      </c>
      <c r="D773" t="n">
        <v>4</v>
      </c>
      <c r="E773" t="n">
        <v>91</v>
      </c>
      <c r="F773" t="inlineStr">
        <is>
          <t>+4 DRI 91</t>
        </is>
      </c>
      <c r="G773" t="inlineStr">
        <is>
          <t>Make Your Idol - Midfielder 3 [SP 21] - EA SPORTS FC 26</t>
        </is>
      </c>
      <c r="H773" t="inlineStr">
        <is>
          <t>Reward</t>
        </is>
      </c>
      <c r="I773" t="inlineStr">
        <is>
          <t>Standard Season Pass</t>
        </is>
      </c>
      <c r="J773" t="inlineStr">
        <is>
          <t>https://www.fut.gg/evolutions/1778-make-your-idol-midfielder-3-sp-21/</t>
        </is>
      </c>
    </row>
    <row r="774">
      <c r="B774" t="inlineStr">
        <is>
          <t>Face Stat</t>
        </is>
      </c>
      <c r="C774" t="inlineStr">
        <is>
          <t>DEF</t>
        </is>
      </c>
      <c r="D774" t="n">
        <v>7</v>
      </c>
      <c r="E774" t="n">
        <v>90</v>
      </c>
      <c r="F774" t="inlineStr">
        <is>
          <t>+7 DEF 90</t>
        </is>
      </c>
      <c r="G774" t="inlineStr">
        <is>
          <t>Make Your Idol - Midfielder 3 [SP 21] - EA SPORTS FC 26</t>
        </is>
      </c>
      <c r="H774" t="inlineStr">
        <is>
          <t>Reward</t>
        </is>
      </c>
      <c r="I774" t="inlineStr">
        <is>
          <t>Standard Season Pass</t>
        </is>
      </c>
      <c r="J774" t="inlineStr">
        <is>
          <t>https://www.fut.gg/evolutions/1778-make-your-idol-midfielder-3-sp-21/</t>
        </is>
      </c>
    </row>
    <row r="775">
      <c r="B775" t="inlineStr">
        <is>
          <t>Skill</t>
        </is>
      </c>
      <c r="C775" t="inlineStr">
        <is>
          <t>SM</t>
        </is>
      </c>
      <c r="D775" t="n">
        <v>4</v>
      </c>
      <c r="F775" t="inlineStr">
        <is>
          <t>+4 SM</t>
        </is>
      </c>
      <c r="G775" t="inlineStr">
        <is>
          <t>Make Your Idol - Midfielder 3 [SP 21] - EA SPORTS FC 26</t>
        </is>
      </c>
      <c r="H775" t="inlineStr">
        <is>
          <t>Reward</t>
        </is>
      </c>
      <c r="I775" t="inlineStr">
        <is>
          <t>Standard Season Pass</t>
        </is>
      </c>
      <c r="J775" t="inlineStr">
        <is>
          <t>https://www.fut.gg/evolutions/1778-make-your-idol-midfielder-3-sp-21/</t>
        </is>
      </c>
    </row>
    <row r="776">
      <c r="B776" t="inlineStr">
        <is>
          <t>Skill</t>
        </is>
      </c>
      <c r="C776" t="inlineStr">
        <is>
          <t>WF</t>
        </is>
      </c>
      <c r="D776" t="n">
        <v>4</v>
      </c>
      <c r="F776" t="inlineStr">
        <is>
          <t>+4 WF</t>
        </is>
      </c>
      <c r="G776" t="inlineStr">
        <is>
          <t>Make Your Idol - Midfielder 3 [SP 21] - EA SPORTS FC 26</t>
        </is>
      </c>
      <c r="H776" t="inlineStr">
        <is>
          <t>Reward</t>
        </is>
      </c>
      <c r="I776" t="inlineStr">
        <is>
          <t>Standard Season Pass</t>
        </is>
      </c>
      <c r="J776" t="inlineStr">
        <is>
          <t>https://www.fut.gg/evolutions/1778-make-your-idol-midfielder-3-sp-21/</t>
        </is>
      </c>
    </row>
    <row r="777">
      <c r="B777" t="inlineStr">
        <is>
          <t>Sub Stat</t>
        </is>
      </c>
      <c r="C777" t="inlineStr">
        <is>
          <t>Stamina</t>
        </is>
      </c>
      <c r="D777" t="n">
        <v>20</v>
      </c>
      <c r="E777" t="n">
        <v>92</v>
      </c>
      <c r="F777" t="inlineStr">
        <is>
          <t>+20 Stamina 92</t>
        </is>
      </c>
      <c r="G777" t="inlineStr">
        <is>
          <t>Make Your Idol - Midfielder 3 [SP 21] - EA SPORTS FC 26</t>
        </is>
      </c>
      <c r="H777" t="inlineStr">
        <is>
          <t>Reward</t>
        </is>
      </c>
      <c r="I777" t="inlineStr">
        <is>
          <t>Standard Season Pass</t>
        </is>
      </c>
      <c r="J777" t="inlineStr">
        <is>
          <t>https://www.fut.gg/evolutions/1778-make-your-idol-midfielder-3-sp-21/</t>
        </is>
      </c>
    </row>
    <row r="778">
      <c r="B778" t="inlineStr">
        <is>
          <t>Face Stat</t>
        </is>
      </c>
      <c r="C778" t="inlineStr">
        <is>
          <t>OVR</t>
        </is>
      </c>
      <c r="D778" t="n">
        <v>2</v>
      </c>
      <c r="E778" t="n">
        <v>91</v>
      </c>
      <c r="F778" t="inlineStr">
        <is>
          <t>+2 OVR 91</t>
        </is>
      </c>
      <c r="G778" t="inlineStr">
        <is>
          <t>Make Your Idol - Midfielder 3 [SP 21] - EA SPORTS FC 26</t>
        </is>
      </c>
      <c r="H778" t="inlineStr">
        <is>
          <t>Reward</t>
        </is>
      </c>
      <c r="I778" t="inlineStr">
        <is>
          <t>Standard Season Pass</t>
        </is>
      </c>
      <c r="J778" t="inlineStr">
        <is>
          <t>https://www.fut.gg/evolutions/1778-make-your-idol-midfielder-3-sp-21/</t>
        </is>
      </c>
    </row>
    <row r="779">
      <c r="B779" t="inlineStr">
        <is>
          <t>Face Stat</t>
        </is>
      </c>
      <c r="C779" t="inlineStr">
        <is>
          <t>PAS</t>
        </is>
      </c>
      <c r="D779" t="n">
        <v>4</v>
      </c>
      <c r="E779" t="n">
        <v>91</v>
      </c>
      <c r="F779" t="inlineStr">
        <is>
          <t>+4 PAS 91</t>
        </is>
      </c>
      <c r="G779" t="inlineStr">
        <is>
          <t>Make Your Idol - Midfielder 3 [SP 21] - EA SPORTS FC 26</t>
        </is>
      </c>
      <c r="H779" t="inlineStr">
        <is>
          <t>Reward</t>
        </is>
      </c>
      <c r="I779" t="inlineStr">
        <is>
          <t>Standard Season Pass</t>
        </is>
      </c>
      <c r="J779" t="inlineStr">
        <is>
          <t>https://www.fut.gg/evolutions/1778-make-your-idol-midfielder-3-sp-21/</t>
        </is>
      </c>
    </row>
    <row r="780">
      <c r="B780" t="inlineStr">
        <is>
          <t>Skill</t>
        </is>
      </c>
      <c r="C780" t="inlineStr">
        <is>
          <t>SM</t>
        </is>
      </c>
      <c r="D780" t="n">
        <v>4</v>
      </c>
      <c r="F780" t="inlineStr">
        <is>
          <t>+4 SM</t>
        </is>
      </c>
      <c r="G780" t="inlineStr">
        <is>
          <t>Make Your Idol - Midfielder 3 [SP 21] - EA SPORTS FC 26</t>
        </is>
      </c>
      <c r="H780" t="inlineStr">
        <is>
          <t>Reward</t>
        </is>
      </c>
      <c r="I780" t="inlineStr">
        <is>
          <t>Standard Season Pass</t>
        </is>
      </c>
      <c r="J780" t="inlineStr">
        <is>
          <t>https://www.fut.gg/evolutions/1778-make-your-idol-midfielder-3-sp-21/</t>
        </is>
      </c>
    </row>
    <row r="781">
      <c r="B781" t="inlineStr">
        <is>
          <t>Skill</t>
        </is>
      </c>
      <c r="C781" t="inlineStr">
        <is>
          <t>WF</t>
        </is>
      </c>
      <c r="D781" t="n">
        <v>4</v>
      </c>
      <c r="E781" t="n">
        <v>9</v>
      </c>
      <c r="F781" t="inlineStr">
        <is>
          <t>+4 WF 9</t>
        </is>
      </c>
      <c r="G781" t="inlineStr">
        <is>
          <t>Make Your Idol - Midfielder 3 [SP 21] - EA SPORTS FC 26</t>
        </is>
      </c>
      <c r="H781" t="inlineStr">
        <is>
          <t>Reward</t>
        </is>
      </c>
      <c r="I781" t="inlineStr">
        <is>
          <t>Standard Season Pass</t>
        </is>
      </c>
      <c r="J781" t="inlineStr">
        <is>
          <t>https://www.fut.gg/evolutions/1778-make-your-idol-midfielder-3-sp-21/</t>
        </is>
      </c>
    </row>
    <row r="782">
      <c r="B782" t="inlineStr">
        <is>
          <t>Face Stat</t>
        </is>
      </c>
      <c r="C782" t="inlineStr">
        <is>
          <t>OVR</t>
        </is>
      </c>
      <c r="D782" t="n">
        <v>2</v>
      </c>
      <c r="E782" t="n">
        <v>91</v>
      </c>
      <c r="F782" t="inlineStr">
        <is>
          <t>+2 OVR 91</t>
        </is>
      </c>
      <c r="G782" t="inlineStr">
        <is>
          <t>Make Your Idol - Defender 3 [SP 21] - EA SPORTS FC 26</t>
        </is>
      </c>
      <c r="H782" t="inlineStr">
        <is>
          <t>Reward</t>
        </is>
      </c>
      <c r="I782" t="inlineStr">
        <is>
          <t>Standard Season Pass</t>
        </is>
      </c>
      <c r="J782" t="inlineStr">
        <is>
          <t>https://www.fut.gg/evolutions/1777-make-your-idol-defender-3-sp-21/</t>
        </is>
      </c>
    </row>
    <row r="783">
      <c r="B783" t="inlineStr">
        <is>
          <t>Face Stat</t>
        </is>
      </c>
      <c r="C783" t="inlineStr">
        <is>
          <t>DEF</t>
        </is>
      </c>
      <c r="D783" t="n">
        <v>4</v>
      </c>
      <c r="E783" t="n">
        <v>92</v>
      </c>
      <c r="F783" t="inlineStr">
        <is>
          <t>+4 DEF 92</t>
        </is>
      </c>
      <c r="G783" t="inlineStr">
        <is>
          <t>Make Your Idol - Defender 3 [SP 21] - EA SPORTS FC 26</t>
        </is>
      </c>
      <c r="H783" t="inlineStr">
        <is>
          <t>Reward</t>
        </is>
      </c>
      <c r="I783" t="inlineStr">
        <is>
          <t>Standard Season Pass</t>
        </is>
      </c>
      <c r="J783" t="inlineStr">
        <is>
          <t>https://www.fut.gg/evolutions/1777-make-your-idol-defender-3-sp-21/</t>
        </is>
      </c>
    </row>
    <row r="784">
      <c r="B784" t="inlineStr">
        <is>
          <t>Face Stat</t>
        </is>
      </c>
      <c r="C784" t="inlineStr">
        <is>
          <t>PHY</t>
        </is>
      </c>
      <c r="D784" t="n">
        <v>4</v>
      </c>
      <c r="E784" t="n">
        <v>92</v>
      </c>
      <c r="F784" t="inlineStr">
        <is>
          <t>+4 PHY 92</t>
        </is>
      </c>
      <c r="G784" t="inlineStr">
        <is>
          <t>Make Your Idol - Defender 3 [SP 21] - EA SPORTS FC 26</t>
        </is>
      </c>
      <c r="H784" t="inlineStr">
        <is>
          <t>Reward</t>
        </is>
      </c>
      <c r="I784" t="inlineStr">
        <is>
          <t>Standard Season Pass</t>
        </is>
      </c>
      <c r="J784" t="inlineStr">
        <is>
          <t>https://www.fut.gg/evolutions/1777-make-your-idol-defender-3-sp-21/</t>
        </is>
      </c>
    </row>
    <row r="785">
      <c r="B785" t="inlineStr">
        <is>
          <t>Skill</t>
        </is>
      </c>
      <c r="C785" t="inlineStr">
        <is>
          <t>SM</t>
        </is>
      </c>
      <c r="D785" t="n">
        <v>4</v>
      </c>
      <c r="F785" t="inlineStr">
        <is>
          <t>+4 SM</t>
        </is>
      </c>
      <c r="G785" t="inlineStr">
        <is>
          <t>Make Your Idol - Defender 3 [SP 21] - EA SPORTS FC 26</t>
        </is>
      </c>
      <c r="H785" t="inlineStr">
        <is>
          <t>Reward</t>
        </is>
      </c>
      <c r="I785" t="inlineStr">
        <is>
          <t>Standard Season Pass</t>
        </is>
      </c>
      <c r="J785" t="inlineStr">
        <is>
          <t>https://www.fut.gg/evolutions/1777-make-your-idol-defender-3-sp-21/</t>
        </is>
      </c>
    </row>
    <row r="786">
      <c r="B786" t="inlineStr">
        <is>
          <t>Skill</t>
        </is>
      </c>
      <c r="C786" t="inlineStr">
        <is>
          <t>WF</t>
        </is>
      </c>
      <c r="D786" t="n">
        <v>4</v>
      </c>
      <c r="F786" t="inlineStr">
        <is>
          <t>+4 WF</t>
        </is>
      </c>
      <c r="G786" t="inlineStr">
        <is>
          <t>Make Your Idol - Defender 3 [SP 21] - EA SPORTS FC 26</t>
        </is>
      </c>
      <c r="H786" t="inlineStr">
        <is>
          <t>Reward</t>
        </is>
      </c>
      <c r="I786" t="inlineStr">
        <is>
          <t>Standard Season Pass</t>
        </is>
      </c>
      <c r="J786" t="inlineStr">
        <is>
          <t>https://www.fut.gg/evolutions/1777-make-your-idol-defender-3-sp-21/</t>
        </is>
      </c>
    </row>
    <row r="787">
      <c r="B787" t="inlineStr">
        <is>
          <t>Sub Stat</t>
        </is>
      </c>
      <c r="C787" t="inlineStr">
        <is>
          <t>Reactions</t>
        </is>
      </c>
      <c r="D787" t="n">
        <v>10</v>
      </c>
      <c r="E787" t="n">
        <v>93</v>
      </c>
      <c r="F787" t="inlineStr">
        <is>
          <t>+10 Reactions 93</t>
        </is>
      </c>
      <c r="G787" t="inlineStr">
        <is>
          <t>Make Your Idol - Defender 3 [SP 21] - EA SPORTS FC 26</t>
        </is>
      </c>
      <c r="H787" t="inlineStr">
        <is>
          <t>Reward</t>
        </is>
      </c>
      <c r="I787" t="inlineStr">
        <is>
          <t>Standard Season Pass</t>
        </is>
      </c>
      <c r="J787" t="inlineStr">
        <is>
          <t>https://www.fut.gg/evolutions/1777-make-your-idol-defender-3-sp-21/</t>
        </is>
      </c>
    </row>
    <row r="788">
      <c r="B788" t="inlineStr">
        <is>
          <t>Sub Stat</t>
        </is>
      </c>
      <c r="C788" t="inlineStr">
        <is>
          <t>Composure</t>
        </is>
      </c>
      <c r="D788" t="n">
        <v>10</v>
      </c>
      <c r="E788" t="n">
        <v>93</v>
      </c>
      <c r="F788" t="inlineStr">
        <is>
          <t>+10 Composure 93</t>
        </is>
      </c>
      <c r="G788" t="inlineStr">
        <is>
          <t>Make Your Idol - Defender 3 [SP 21] - EA SPORTS FC 26</t>
        </is>
      </c>
      <c r="H788" t="inlineStr">
        <is>
          <t>Reward</t>
        </is>
      </c>
      <c r="I788" t="inlineStr">
        <is>
          <t>Standard Season Pass</t>
        </is>
      </c>
      <c r="J788" t="inlineStr">
        <is>
          <t>https://www.fut.gg/evolutions/1777-make-your-idol-defender-3-sp-21/</t>
        </is>
      </c>
    </row>
    <row r="789">
      <c r="B789" t="inlineStr">
        <is>
          <t>Face Stat</t>
        </is>
      </c>
      <c r="C789" t="inlineStr">
        <is>
          <t>OVR</t>
        </is>
      </c>
      <c r="D789" t="n">
        <v>2</v>
      </c>
      <c r="E789" t="n">
        <v>91</v>
      </c>
      <c r="F789" t="inlineStr">
        <is>
          <t>+2 OVR 91</t>
        </is>
      </c>
      <c r="G789" t="inlineStr">
        <is>
          <t>Make Your Idol - Defender 3 [SP 21] - EA SPORTS FC 26</t>
        </is>
      </c>
      <c r="H789" t="inlineStr">
        <is>
          <t>Reward</t>
        </is>
      </c>
      <c r="I789" t="inlineStr">
        <is>
          <t>Standard Season Pass</t>
        </is>
      </c>
      <c r="J789" t="inlineStr">
        <is>
          <t>https://www.fut.gg/evolutions/1777-make-your-idol-defender-3-sp-21/</t>
        </is>
      </c>
    </row>
    <row r="790">
      <c r="B790" t="inlineStr">
        <is>
          <t>Face Stat</t>
        </is>
      </c>
      <c r="C790" t="inlineStr">
        <is>
          <t>DEF</t>
        </is>
      </c>
      <c r="D790" t="n">
        <v>4</v>
      </c>
      <c r="E790" t="n">
        <v>92</v>
      </c>
      <c r="F790" t="inlineStr">
        <is>
          <t>+4 DEF 92</t>
        </is>
      </c>
      <c r="G790" t="inlineStr">
        <is>
          <t>Make Your Idol - Defender 3 [SP 21] - EA SPORTS FC 26</t>
        </is>
      </c>
      <c r="H790" t="inlineStr">
        <is>
          <t>Reward</t>
        </is>
      </c>
      <c r="I790" t="inlineStr">
        <is>
          <t>Standard Season Pass</t>
        </is>
      </c>
      <c r="J790" t="inlineStr">
        <is>
          <t>https://www.fut.gg/evolutions/1777-make-your-idol-defender-3-sp-21/</t>
        </is>
      </c>
    </row>
    <row r="791">
      <c r="B791" t="inlineStr">
        <is>
          <t>Skill</t>
        </is>
      </c>
      <c r="C791" t="inlineStr">
        <is>
          <t>SM</t>
        </is>
      </c>
      <c r="D791" t="n">
        <v>4</v>
      </c>
      <c r="F791" t="inlineStr">
        <is>
          <t>+4 SM</t>
        </is>
      </c>
      <c r="G791" t="inlineStr">
        <is>
          <t>Make Your Idol - Defender 3 [SP 21] - EA SPORTS FC 26</t>
        </is>
      </c>
      <c r="H791" t="inlineStr">
        <is>
          <t>Reward</t>
        </is>
      </c>
      <c r="I791" t="inlineStr">
        <is>
          <t>Standard Season Pass</t>
        </is>
      </c>
      <c r="J791" t="inlineStr">
        <is>
          <t>https://www.fut.gg/evolutions/1777-make-your-idol-defender-3-sp-21/</t>
        </is>
      </c>
    </row>
    <row r="792">
      <c r="B792" t="inlineStr">
        <is>
          <t>Skill</t>
        </is>
      </c>
      <c r="C792" t="inlineStr">
        <is>
          <t>WF</t>
        </is>
      </c>
      <c r="D792" t="n">
        <v>4</v>
      </c>
      <c r="E792" t="n">
        <v>9</v>
      </c>
      <c r="F792" t="inlineStr">
        <is>
          <t>+4 WF 9</t>
        </is>
      </c>
      <c r="G792" t="inlineStr">
        <is>
          <t>Make Your Idol - Defender 3 [SP 21] - EA SPORTS FC 26</t>
        </is>
      </c>
      <c r="H792" t="inlineStr">
        <is>
          <t>Reward</t>
        </is>
      </c>
      <c r="I792" t="inlineStr">
        <is>
          <t>Standard Season Pass</t>
        </is>
      </c>
      <c r="J792" t="inlineStr">
        <is>
          <t>https://www.fut.gg/evolutions/1777-make-your-idol-defender-3-sp-21/</t>
        </is>
      </c>
    </row>
    <row r="793">
      <c r="B793" t="inlineStr">
        <is>
          <t>Face Stat</t>
        </is>
      </c>
      <c r="C793" t="inlineStr">
        <is>
          <t>OVR</t>
        </is>
      </c>
      <c r="D793" t="n">
        <v>2</v>
      </c>
      <c r="E793" t="n">
        <v>89</v>
      </c>
      <c r="F793" t="inlineStr">
        <is>
          <t>+2 OVR 89</t>
        </is>
      </c>
      <c r="G793" t="inlineStr">
        <is>
          <t>Make Your Idol - Attacker 2 [SP 7] - EA SPORTS FC 26</t>
        </is>
      </c>
      <c r="H793" t="inlineStr">
        <is>
          <t>Reward</t>
        </is>
      </c>
      <c r="I793" t="inlineStr">
        <is>
          <t>Standard Season Pass</t>
        </is>
      </c>
      <c r="J793" t="inlineStr">
        <is>
          <t>https://www.fut.gg/evolutions/1776-make-your-idol-attacker-2-sp-7/</t>
        </is>
      </c>
    </row>
    <row r="794">
      <c r="B794" t="inlineStr">
        <is>
          <t>Face Stat</t>
        </is>
      </c>
      <c r="C794" t="inlineStr">
        <is>
          <t>SHO</t>
        </is>
      </c>
      <c r="D794" t="n">
        <v>2</v>
      </c>
      <c r="E794" t="n">
        <v>88</v>
      </c>
      <c r="F794" t="inlineStr">
        <is>
          <t>+2 SHO 88</t>
        </is>
      </c>
      <c r="G794" t="inlineStr">
        <is>
          <t>Make Your Idol - Attacker 2 [SP 7] - EA SPORTS FC 26</t>
        </is>
      </c>
      <c r="H794" t="inlineStr">
        <is>
          <t>Reward</t>
        </is>
      </c>
      <c r="I794" t="inlineStr">
        <is>
          <t>Standard Season Pass</t>
        </is>
      </c>
      <c r="J794" t="inlineStr">
        <is>
          <t>https://www.fut.gg/evolutions/1776-make-your-idol-attacker-2-sp-7/</t>
        </is>
      </c>
    </row>
    <row r="795">
      <c r="B795" t="inlineStr">
        <is>
          <t>Sub Stat</t>
        </is>
      </c>
      <c r="C795" t="inlineStr">
        <is>
          <t>Curve</t>
        </is>
      </c>
      <c r="D795" t="n">
        <v>10</v>
      </c>
      <c r="E795" t="n">
        <v>90</v>
      </c>
      <c r="F795" t="inlineStr">
        <is>
          <t>+10 Curve 90</t>
        </is>
      </c>
      <c r="G795" t="inlineStr">
        <is>
          <t>Make Your Idol - Attacker 2 [SP 7] - EA SPORTS FC 26</t>
        </is>
      </c>
      <c r="H795" t="inlineStr">
        <is>
          <t>Reward</t>
        </is>
      </c>
      <c r="I795" t="inlineStr">
        <is>
          <t>Standard Season Pass</t>
        </is>
      </c>
      <c r="J795" t="inlineStr">
        <is>
          <t>https://www.fut.gg/evolutions/1776-make-your-idol-attacker-2-sp-7/</t>
        </is>
      </c>
    </row>
    <row r="796">
      <c r="B796" t="inlineStr">
        <is>
          <t>Sub Stat</t>
        </is>
      </c>
      <c r="C796" t="inlineStr">
        <is>
          <t>Crossing</t>
        </is>
      </c>
      <c r="D796" t="n">
        <v>10</v>
      </c>
      <c r="E796" t="n">
        <v>85</v>
      </c>
      <c r="F796" t="inlineStr">
        <is>
          <t>+10 Crossing 85</t>
        </is>
      </c>
      <c r="G796" t="inlineStr">
        <is>
          <t>Make Your Idol - Attacker 2 [SP 7] - EA SPORTS FC 26</t>
        </is>
      </c>
      <c r="H796" t="inlineStr">
        <is>
          <t>Reward</t>
        </is>
      </c>
      <c r="I796" t="inlineStr">
        <is>
          <t>Standard Season Pass</t>
        </is>
      </c>
      <c r="J796" t="inlineStr">
        <is>
          <t>https://www.fut.gg/evolutions/1776-make-your-idol-attacker-2-sp-7/</t>
        </is>
      </c>
    </row>
    <row r="797">
      <c r="B797" t="inlineStr">
        <is>
          <t>Sub Stat</t>
        </is>
      </c>
      <c r="C797" t="inlineStr">
        <is>
          <t>Short Passing</t>
        </is>
      </c>
      <c r="D797" t="n">
        <v>10</v>
      </c>
      <c r="E797" t="n">
        <v>89</v>
      </c>
      <c r="F797" t="inlineStr">
        <is>
          <t>+10 Short Pass 89</t>
        </is>
      </c>
      <c r="G797" t="inlineStr">
        <is>
          <t>Make Your Idol - Attacker 2 [SP 7] - EA SPORTS FC 26</t>
        </is>
      </c>
      <c r="H797" t="inlineStr">
        <is>
          <t>Reward</t>
        </is>
      </c>
      <c r="I797" t="inlineStr">
        <is>
          <t>Standard Season Pass</t>
        </is>
      </c>
      <c r="J797" t="inlineStr">
        <is>
          <t>https://www.fut.gg/evolutions/1776-make-your-idol-attacker-2-sp-7/</t>
        </is>
      </c>
    </row>
    <row r="798">
      <c r="B798" t="inlineStr">
        <is>
          <t>Sub Stat</t>
        </is>
      </c>
      <c r="C798" t="inlineStr">
        <is>
          <t>Sprint Speed</t>
        </is>
      </c>
      <c r="D798" t="n">
        <v>10</v>
      </c>
      <c r="E798" t="n">
        <v>92</v>
      </c>
      <c r="F798" t="inlineStr">
        <is>
          <t>+10 Sprint Speed 92</t>
        </is>
      </c>
      <c r="G798" t="inlineStr">
        <is>
          <t>Make Your Idol - Attacker 2 [SP 7] - EA SPORTS FC 26</t>
        </is>
      </c>
      <c r="H798" t="inlineStr">
        <is>
          <t>Reward</t>
        </is>
      </c>
      <c r="I798" t="inlineStr">
        <is>
          <t>Standard Season Pass</t>
        </is>
      </c>
      <c r="J798" t="inlineStr">
        <is>
          <t>https://www.fut.gg/evolutions/1776-make-your-idol-attacker-2-sp-7/</t>
        </is>
      </c>
    </row>
    <row r="799">
      <c r="B799" t="inlineStr">
        <is>
          <t>Sub Stat</t>
        </is>
      </c>
      <c r="C799" t="inlineStr">
        <is>
          <t>Jumping</t>
        </is>
      </c>
      <c r="D799" t="n">
        <v>20</v>
      </c>
      <c r="E799" t="n">
        <v>85</v>
      </c>
      <c r="F799" t="inlineStr">
        <is>
          <t>+20 Jumping 85</t>
        </is>
      </c>
      <c r="G799" t="inlineStr">
        <is>
          <t>Make Your Idol - Attacker 2 [SP 7] - EA SPORTS FC 26</t>
        </is>
      </c>
      <c r="H799" t="inlineStr">
        <is>
          <t>Reward</t>
        </is>
      </c>
      <c r="I799" t="inlineStr">
        <is>
          <t>Standard Season Pass</t>
        </is>
      </c>
      <c r="J799" t="inlineStr">
        <is>
          <t>https://www.fut.gg/evolutions/1776-make-your-idol-attacker-2-sp-7/</t>
        </is>
      </c>
    </row>
    <row r="800">
      <c r="B800" t="inlineStr">
        <is>
          <t>Sub Stat</t>
        </is>
      </c>
      <c r="C800" t="inlineStr">
        <is>
          <t>Long Passing</t>
        </is>
      </c>
      <c r="D800" t="n">
        <v>10</v>
      </c>
      <c r="E800" t="n">
        <v>89</v>
      </c>
      <c r="F800" t="inlineStr">
        <is>
          <t>+10 Long Pass 89</t>
        </is>
      </c>
      <c r="G800" t="inlineStr">
        <is>
          <t>Make Your Idol - Attacker 2 [SP 7] - EA SPORTS FC 26</t>
        </is>
      </c>
      <c r="H800" t="inlineStr">
        <is>
          <t>Reward</t>
        </is>
      </c>
      <c r="I800" t="inlineStr">
        <is>
          <t>Standard Season Pass</t>
        </is>
      </c>
      <c r="J800" t="inlineStr">
        <is>
          <t>https://www.fut.gg/evolutions/1776-make-your-idol-attacker-2-sp-7/</t>
        </is>
      </c>
    </row>
    <row r="801">
      <c r="B801" t="inlineStr">
        <is>
          <t>Sub Stat</t>
        </is>
      </c>
      <c r="C801" t="inlineStr">
        <is>
          <t>Vision</t>
        </is>
      </c>
      <c r="D801" t="n">
        <v>10</v>
      </c>
      <c r="E801" t="n">
        <v>89</v>
      </c>
      <c r="F801" t="inlineStr">
        <is>
          <t>+10 Vision 89</t>
        </is>
      </c>
      <c r="G801" t="inlineStr">
        <is>
          <t>Make Your Idol - Attacker 2 [SP 7] - EA SPORTS FC 26</t>
        </is>
      </c>
      <c r="H801" t="inlineStr">
        <is>
          <t>Reward</t>
        </is>
      </c>
      <c r="I801" t="inlineStr">
        <is>
          <t>Standard Season Pass</t>
        </is>
      </c>
      <c r="J801" t="inlineStr">
        <is>
          <t>https://www.fut.gg/evolutions/1776-make-your-idol-attacker-2-sp-7/</t>
        </is>
      </c>
    </row>
    <row r="802">
      <c r="B802" t="inlineStr">
        <is>
          <t>Sub Stat</t>
        </is>
      </c>
      <c r="C802" t="inlineStr">
        <is>
          <t>Aggression</t>
        </is>
      </c>
      <c r="D802" t="n">
        <v>20</v>
      </c>
      <c r="E802" t="n">
        <v>78</v>
      </c>
      <c r="F802" t="inlineStr">
        <is>
          <t>+20 Aggression 78</t>
        </is>
      </c>
      <c r="G802" t="inlineStr">
        <is>
          <t>Make Your Idol - Attacker 2 [SP 7] - EA SPORTS FC 26</t>
        </is>
      </c>
      <c r="H802" t="inlineStr">
        <is>
          <t>Reward</t>
        </is>
      </c>
      <c r="I802" t="inlineStr">
        <is>
          <t>Standard Season Pass</t>
        </is>
      </c>
      <c r="J802" t="inlineStr">
        <is>
          <t>https://www.fut.gg/evolutions/1776-make-your-idol-attacker-2-sp-7/</t>
        </is>
      </c>
    </row>
    <row r="803">
      <c r="B803" t="inlineStr">
        <is>
          <t>Sub Stat</t>
        </is>
      </c>
      <c r="C803" t="inlineStr">
        <is>
          <t>Stamina</t>
        </is>
      </c>
      <c r="D803" t="n">
        <v>20</v>
      </c>
      <c r="E803" t="n">
        <v>85</v>
      </c>
      <c r="F803" t="inlineStr">
        <is>
          <t>+20 Stamina 85</t>
        </is>
      </c>
      <c r="G803" t="inlineStr">
        <is>
          <t>Make Your Idol - Attacker 2 [SP 7] - EA SPORTS FC 26</t>
        </is>
      </c>
      <c r="H803" t="inlineStr">
        <is>
          <t>Reward</t>
        </is>
      </c>
      <c r="I803" t="inlineStr">
        <is>
          <t>Standard Season Pass</t>
        </is>
      </c>
      <c r="J803" t="inlineStr">
        <is>
          <t>https://www.fut.gg/evolutions/1776-make-your-idol-attacker-2-sp-7/</t>
        </is>
      </c>
    </row>
    <row r="804">
      <c r="B804" t="inlineStr">
        <is>
          <t>Sub Stat</t>
        </is>
      </c>
      <c r="C804" t="inlineStr">
        <is>
          <t>Acceleration</t>
        </is>
      </c>
      <c r="D804" t="n">
        <v>10</v>
      </c>
      <c r="E804" t="n">
        <v>92</v>
      </c>
      <c r="F804" t="inlineStr">
        <is>
          <t>+10 Acceleration 92</t>
        </is>
      </c>
      <c r="G804" t="inlineStr">
        <is>
          <t>Make Your Idol - Attacker 2 [SP 7] - EA SPORTS FC 26</t>
        </is>
      </c>
      <c r="H804" t="inlineStr">
        <is>
          <t>Reward</t>
        </is>
      </c>
      <c r="I804" t="inlineStr">
        <is>
          <t>Standard Season Pass</t>
        </is>
      </c>
      <c r="J804" t="inlineStr">
        <is>
          <t>https://www.fut.gg/evolutions/1776-make-your-idol-attacker-2-sp-7/</t>
        </is>
      </c>
    </row>
    <row r="805">
      <c r="B805" t="inlineStr">
        <is>
          <t>Sub Stat</t>
        </is>
      </c>
      <c r="C805" t="inlineStr">
        <is>
          <t>Fk Accuracy</t>
        </is>
      </c>
      <c r="D805" t="n">
        <v>10</v>
      </c>
      <c r="E805" t="n">
        <v>87</v>
      </c>
      <c r="F805" t="inlineStr">
        <is>
          <t>+10 Fk Accuracy 87</t>
        </is>
      </c>
      <c r="G805" t="inlineStr">
        <is>
          <t>Make Your Idol - Attacker 2 [SP 7] - EA SPORTS FC 26</t>
        </is>
      </c>
      <c r="H805" t="inlineStr">
        <is>
          <t>Reward</t>
        </is>
      </c>
      <c r="I805" t="inlineStr">
        <is>
          <t>Standard Season Pass</t>
        </is>
      </c>
      <c r="J805" t="inlineStr">
        <is>
          <t>https://www.fut.gg/evolutions/1776-make-your-idol-attacker-2-sp-7/</t>
        </is>
      </c>
    </row>
    <row r="806">
      <c r="B806" t="inlineStr">
        <is>
          <t>Face Stat</t>
        </is>
      </c>
      <c r="C806" t="inlineStr">
        <is>
          <t>OVR</t>
        </is>
      </c>
      <c r="D806" t="n">
        <v>2</v>
      </c>
      <c r="E806" t="n">
        <v>89</v>
      </c>
      <c r="F806" t="inlineStr">
        <is>
          <t>+2 OVR 89</t>
        </is>
      </c>
      <c r="G806" t="inlineStr">
        <is>
          <t>Make Your Idol - Attacker 2 [SP 7] - EA SPORTS FC 26</t>
        </is>
      </c>
      <c r="H806" t="inlineStr">
        <is>
          <t>Reward</t>
        </is>
      </c>
      <c r="I806" t="inlineStr">
        <is>
          <t>Standard Season Pass</t>
        </is>
      </c>
      <c r="J806" t="inlineStr">
        <is>
          <t>https://www.fut.gg/evolutions/1776-make-your-idol-attacker-2-sp-7/</t>
        </is>
      </c>
    </row>
    <row r="807">
      <c r="B807" t="inlineStr">
        <is>
          <t>Sub Stat</t>
        </is>
      </c>
      <c r="C807" t="inlineStr">
        <is>
          <t>Curve</t>
        </is>
      </c>
      <c r="D807" t="n">
        <v>10</v>
      </c>
      <c r="E807" t="n">
        <v>90</v>
      </c>
      <c r="F807" t="inlineStr">
        <is>
          <t>+10 Curve 90</t>
        </is>
      </c>
      <c r="G807" t="inlineStr">
        <is>
          <t>Make Your Idol - Attacker 2 [SP 7] - EA SPORTS FC 26</t>
        </is>
      </c>
      <c r="H807" t="inlineStr">
        <is>
          <t>Reward</t>
        </is>
      </c>
      <c r="I807" t="inlineStr">
        <is>
          <t>Standard Season Pass</t>
        </is>
      </c>
      <c r="J807" t="inlineStr">
        <is>
          <t>https://www.fut.gg/evolutions/1776-make-your-idol-attacker-2-sp-7/</t>
        </is>
      </c>
    </row>
    <row r="808">
      <c r="B808" t="inlineStr">
        <is>
          <t>Sub Stat</t>
        </is>
      </c>
      <c r="C808" t="inlineStr">
        <is>
          <t>Crossing</t>
        </is>
      </c>
      <c r="D808" t="n">
        <v>10</v>
      </c>
      <c r="E808" t="n">
        <v>85</v>
      </c>
      <c r="F808" t="inlineStr">
        <is>
          <t>+10 Crossing 85</t>
        </is>
      </c>
      <c r="G808" t="inlineStr">
        <is>
          <t>Make Your Idol - Attacker 2 [SP 7] - EA SPORTS FC 26</t>
        </is>
      </c>
      <c r="H808" t="inlineStr">
        <is>
          <t>Reward</t>
        </is>
      </c>
      <c r="I808" t="inlineStr">
        <is>
          <t>Standard Season Pass</t>
        </is>
      </c>
      <c r="J808" t="inlineStr">
        <is>
          <t>https://www.fut.gg/evolutions/1776-make-your-idol-attacker-2-sp-7/</t>
        </is>
      </c>
    </row>
    <row r="809">
      <c r="B809" t="inlineStr">
        <is>
          <t>Sub Stat</t>
        </is>
      </c>
      <c r="C809" t="inlineStr">
        <is>
          <t>Short Passing</t>
        </is>
      </c>
      <c r="D809" t="n">
        <v>10</v>
      </c>
      <c r="E809" t="n">
        <v>89</v>
      </c>
      <c r="F809" t="inlineStr">
        <is>
          <t>+10 Short Pass 89</t>
        </is>
      </c>
      <c r="G809" t="inlineStr">
        <is>
          <t>Make Your Idol - Attacker 2 [SP 7] - EA SPORTS FC 26</t>
        </is>
      </c>
      <c r="H809" t="inlineStr">
        <is>
          <t>Reward</t>
        </is>
      </c>
      <c r="I809" t="inlineStr">
        <is>
          <t>Standard Season Pass</t>
        </is>
      </c>
      <c r="J809" t="inlineStr">
        <is>
          <t>https://www.fut.gg/evolutions/1776-make-your-idol-attacker-2-sp-7/</t>
        </is>
      </c>
    </row>
    <row r="810">
      <c r="B810" t="inlineStr">
        <is>
          <t>Sub Stat</t>
        </is>
      </c>
      <c r="C810" t="inlineStr">
        <is>
          <t>Sprint Speed</t>
        </is>
      </c>
      <c r="D810" t="n">
        <v>10</v>
      </c>
      <c r="E810" t="n">
        <v>92</v>
      </c>
      <c r="F810" t="inlineStr">
        <is>
          <t>+10 Sprint Speed 92</t>
        </is>
      </c>
      <c r="G810" t="inlineStr">
        <is>
          <t>Make Your Idol - Attacker 2 [SP 7] - EA SPORTS FC 26</t>
        </is>
      </c>
      <c r="H810" t="inlineStr">
        <is>
          <t>Reward</t>
        </is>
      </c>
      <c r="I810" t="inlineStr">
        <is>
          <t>Standard Season Pass</t>
        </is>
      </c>
      <c r="J810" t="inlineStr">
        <is>
          <t>https://www.fut.gg/evolutions/1776-make-your-idol-attacker-2-sp-7/</t>
        </is>
      </c>
    </row>
    <row r="811">
      <c r="B811" t="inlineStr">
        <is>
          <t>Sub Stat</t>
        </is>
      </c>
      <c r="C811" t="inlineStr">
        <is>
          <t>Jumping</t>
        </is>
      </c>
      <c r="D811" t="n">
        <v>20</v>
      </c>
      <c r="E811" t="n">
        <v>85</v>
      </c>
      <c r="F811" t="inlineStr">
        <is>
          <t>+20 Jumping 85</t>
        </is>
      </c>
      <c r="G811" t="inlineStr">
        <is>
          <t>Make Your Idol - Attacker 2 [SP 7] - EA SPORTS FC 26</t>
        </is>
      </c>
      <c r="H811" t="inlineStr">
        <is>
          <t>Reward</t>
        </is>
      </c>
      <c r="I811" t="inlineStr">
        <is>
          <t>Standard Season Pass</t>
        </is>
      </c>
      <c r="J811" t="inlineStr">
        <is>
          <t>https://www.fut.gg/evolutions/1776-make-your-idol-attacker-2-sp-7/</t>
        </is>
      </c>
    </row>
    <row r="812">
      <c r="B812" t="inlineStr">
        <is>
          <t>Face Stat</t>
        </is>
      </c>
      <c r="C812" t="inlineStr">
        <is>
          <t>OVR</t>
        </is>
      </c>
      <c r="D812" t="n">
        <v>2</v>
      </c>
      <c r="E812" t="n">
        <v>89</v>
      </c>
      <c r="F812" t="inlineStr">
        <is>
          <t>+2 OVR 89</t>
        </is>
      </c>
      <c r="G812" t="inlineStr">
        <is>
          <t>Make Your Idol - Midfielder 2 [SP 7] - EA SPORTS FC 26</t>
        </is>
      </c>
      <c r="H812" t="inlineStr">
        <is>
          <t>Reward</t>
        </is>
      </c>
      <c r="I812" t="inlineStr">
        <is>
          <t>Standard Season Pass</t>
        </is>
      </c>
      <c r="J812" t="inlineStr">
        <is>
          <t>https://www.fut.gg/evolutions/1775-make-your-idol-midfielder-2-sp-7/</t>
        </is>
      </c>
    </row>
    <row r="813">
      <c r="B813" t="inlineStr">
        <is>
          <t>Face Stat</t>
        </is>
      </c>
      <c r="C813" t="inlineStr">
        <is>
          <t>PAS</t>
        </is>
      </c>
      <c r="D813" t="n">
        <v>3</v>
      </c>
      <c r="E813" t="n">
        <v>90</v>
      </c>
      <c r="F813" t="inlineStr">
        <is>
          <t>+3 PAS 90</t>
        </is>
      </c>
      <c r="G813" t="inlineStr">
        <is>
          <t>Make Your Idol - Midfielder 2 [SP 7] - EA SPORTS FC 26</t>
        </is>
      </c>
      <c r="H813" t="inlineStr">
        <is>
          <t>Reward</t>
        </is>
      </c>
      <c r="I813" t="inlineStr">
        <is>
          <t>Standard Season Pass</t>
        </is>
      </c>
      <c r="J813" t="inlineStr">
        <is>
          <t>https://www.fut.gg/evolutions/1775-make-your-idol-midfielder-2-sp-7/</t>
        </is>
      </c>
    </row>
    <row r="814">
      <c r="B814" t="inlineStr">
        <is>
          <t>Face Stat</t>
        </is>
      </c>
      <c r="C814" t="inlineStr">
        <is>
          <t>DRI</t>
        </is>
      </c>
      <c r="D814" t="n">
        <v>2</v>
      </c>
      <c r="E814" t="n">
        <v>89</v>
      </c>
      <c r="F814" t="inlineStr">
        <is>
          <t>+2 DRI 89</t>
        </is>
      </c>
      <c r="G814" t="inlineStr">
        <is>
          <t>Make Your Idol - Midfielder 2 [SP 7] - EA SPORTS FC 26</t>
        </is>
      </c>
      <c r="H814" t="inlineStr">
        <is>
          <t>Reward</t>
        </is>
      </c>
      <c r="I814" t="inlineStr">
        <is>
          <t>Standard Season Pass</t>
        </is>
      </c>
      <c r="J814" t="inlineStr">
        <is>
          <t>https://www.fut.gg/evolutions/1775-make-your-idol-midfielder-2-sp-7/</t>
        </is>
      </c>
    </row>
    <row r="815">
      <c r="B815" t="inlineStr">
        <is>
          <t>Face Stat</t>
        </is>
      </c>
      <c r="C815" t="inlineStr">
        <is>
          <t>DEF</t>
        </is>
      </c>
      <c r="D815" t="n">
        <v>2</v>
      </c>
      <c r="E815" t="n">
        <v>85</v>
      </c>
      <c r="F815" t="inlineStr">
        <is>
          <t>+2 DEF 85</t>
        </is>
      </c>
      <c r="G815" t="inlineStr">
        <is>
          <t>Make Your Idol - Midfielder 2 [SP 7] - EA SPORTS FC 26</t>
        </is>
      </c>
      <c r="H815" t="inlineStr">
        <is>
          <t>Reward</t>
        </is>
      </c>
      <c r="I815" t="inlineStr">
        <is>
          <t>Standard Season Pass</t>
        </is>
      </c>
      <c r="J815" t="inlineStr">
        <is>
          <t>https://www.fut.gg/evolutions/1775-make-your-idol-midfielder-2-sp-7/</t>
        </is>
      </c>
    </row>
    <row r="816">
      <c r="B816" t="inlineStr">
        <is>
          <t>Sub Stat</t>
        </is>
      </c>
      <c r="C816" t="inlineStr">
        <is>
          <t>Acceleration</t>
        </is>
      </c>
      <c r="D816" t="n">
        <v>10</v>
      </c>
      <c r="E816" t="n">
        <v>88</v>
      </c>
      <c r="F816" t="inlineStr">
        <is>
          <t>+10 Acceleration 88</t>
        </is>
      </c>
      <c r="G816" t="inlineStr">
        <is>
          <t>Make Your Idol - Midfielder 2 [SP 7] - EA SPORTS FC 26</t>
        </is>
      </c>
      <c r="H816" t="inlineStr">
        <is>
          <t>Reward</t>
        </is>
      </c>
      <c r="I816" t="inlineStr">
        <is>
          <t>Standard Season Pass</t>
        </is>
      </c>
      <c r="J816" t="inlineStr">
        <is>
          <t>https://www.fut.gg/evolutions/1775-make-your-idol-midfielder-2-sp-7/</t>
        </is>
      </c>
    </row>
    <row r="817">
      <c r="B817" t="inlineStr">
        <is>
          <t>Sub Stat</t>
        </is>
      </c>
      <c r="C817" t="inlineStr">
        <is>
          <t>Sprint Speed</t>
        </is>
      </c>
      <c r="D817" t="n">
        <v>10</v>
      </c>
      <c r="E817" t="n">
        <v>88</v>
      </c>
      <c r="F817" t="inlineStr">
        <is>
          <t>+10 Sprint Speed 88</t>
        </is>
      </c>
      <c r="G817" t="inlineStr">
        <is>
          <t>Make Your Idol - Midfielder 2 [SP 7] - EA SPORTS FC 26</t>
        </is>
      </c>
      <c r="H817" t="inlineStr">
        <is>
          <t>Reward</t>
        </is>
      </c>
      <c r="I817" t="inlineStr">
        <is>
          <t>Standard Season Pass</t>
        </is>
      </c>
      <c r="J817" t="inlineStr">
        <is>
          <t>https://www.fut.gg/evolutions/1775-make-your-idol-midfielder-2-sp-7/</t>
        </is>
      </c>
    </row>
    <row r="818">
      <c r="B818" t="inlineStr">
        <is>
          <t>Sub Stat</t>
        </is>
      </c>
      <c r="C818" t="inlineStr">
        <is>
          <t>Positioning</t>
        </is>
      </c>
      <c r="D818" t="n">
        <v>10</v>
      </c>
      <c r="E818" t="n">
        <v>87</v>
      </c>
      <c r="F818" t="inlineStr">
        <is>
          <t>+10 Positioning 87</t>
        </is>
      </c>
      <c r="G818" t="inlineStr">
        <is>
          <t>Make Your Idol - Midfielder 2 [SP 7] - EA SPORTS FC 26</t>
        </is>
      </c>
      <c r="H818" t="inlineStr">
        <is>
          <t>Reward</t>
        </is>
      </c>
      <c r="I818" t="inlineStr">
        <is>
          <t>Standard Season Pass</t>
        </is>
      </c>
      <c r="J818" t="inlineStr">
        <is>
          <t>https://www.fut.gg/evolutions/1775-make-your-idol-midfielder-2-sp-7/</t>
        </is>
      </c>
    </row>
    <row r="819">
      <c r="B819" t="inlineStr">
        <is>
          <t>Sub Stat</t>
        </is>
      </c>
      <c r="C819" t="inlineStr">
        <is>
          <t>Finishing</t>
        </is>
      </c>
      <c r="D819" t="n">
        <v>10</v>
      </c>
      <c r="E819" t="n">
        <v>85</v>
      </c>
      <c r="F819" t="inlineStr">
        <is>
          <t>+10 Finishing 85</t>
        </is>
      </c>
      <c r="G819" t="inlineStr">
        <is>
          <t>Make Your Idol - Midfielder 2 [SP 7] - EA SPORTS FC 26</t>
        </is>
      </c>
      <c r="H819" t="inlineStr">
        <is>
          <t>Reward</t>
        </is>
      </c>
      <c r="I819" t="inlineStr">
        <is>
          <t>Standard Season Pass</t>
        </is>
      </c>
      <c r="J819" t="inlineStr">
        <is>
          <t>https://www.fut.gg/evolutions/1775-make-your-idol-midfielder-2-sp-7/</t>
        </is>
      </c>
    </row>
    <row r="820">
      <c r="B820" t="inlineStr">
        <is>
          <t>Sub Stat</t>
        </is>
      </c>
      <c r="C820" t="inlineStr">
        <is>
          <t>Shot Power</t>
        </is>
      </c>
      <c r="D820" t="n">
        <v>10</v>
      </c>
      <c r="E820" t="n">
        <v>90</v>
      </c>
      <c r="F820" t="inlineStr">
        <is>
          <t>+10 Shot Power 90</t>
        </is>
      </c>
      <c r="G820" t="inlineStr">
        <is>
          <t>Make Your Idol - Midfielder 2 [SP 7] - EA SPORTS FC 26</t>
        </is>
      </c>
      <c r="H820" t="inlineStr">
        <is>
          <t>Reward</t>
        </is>
      </c>
      <c r="I820" t="inlineStr">
        <is>
          <t>Standard Season Pass</t>
        </is>
      </c>
      <c r="J820" t="inlineStr">
        <is>
          <t>https://www.fut.gg/evolutions/1775-make-your-idol-midfielder-2-sp-7/</t>
        </is>
      </c>
    </row>
    <row r="821">
      <c r="B821" t="inlineStr">
        <is>
          <t>Sub Stat</t>
        </is>
      </c>
      <c r="C821" t="inlineStr">
        <is>
          <t>Long Shots</t>
        </is>
      </c>
      <c r="D821" t="n">
        <v>10</v>
      </c>
      <c r="E821" t="n">
        <v>90</v>
      </c>
      <c r="F821" t="inlineStr">
        <is>
          <t>+10 Long Shots 90</t>
        </is>
      </c>
      <c r="G821" t="inlineStr">
        <is>
          <t>Make Your Idol - Midfielder 2 [SP 7] - EA SPORTS FC 26</t>
        </is>
      </c>
      <c r="H821" t="inlineStr">
        <is>
          <t>Reward</t>
        </is>
      </c>
      <c r="I821" t="inlineStr">
        <is>
          <t>Standard Season Pass</t>
        </is>
      </c>
      <c r="J821" t="inlineStr">
        <is>
          <t>https://www.fut.gg/evolutions/1775-make-your-idol-midfielder-2-sp-7/</t>
        </is>
      </c>
    </row>
    <row r="822">
      <c r="B822" t="inlineStr">
        <is>
          <t>Sub Stat</t>
        </is>
      </c>
      <c r="C822" t="inlineStr">
        <is>
          <t>Volleys</t>
        </is>
      </c>
      <c r="D822" t="n">
        <v>10</v>
      </c>
      <c r="E822" t="n">
        <v>85</v>
      </c>
      <c r="F822" t="inlineStr">
        <is>
          <t>+10 Volleys 85</t>
        </is>
      </c>
      <c r="G822" t="inlineStr">
        <is>
          <t>Make Your Idol - Midfielder 2 [SP 7] - EA SPORTS FC 26</t>
        </is>
      </c>
      <c r="H822" t="inlineStr">
        <is>
          <t>Reward</t>
        </is>
      </c>
      <c r="I822" t="inlineStr">
        <is>
          <t>Standard Season Pass</t>
        </is>
      </c>
      <c r="J822" t="inlineStr">
        <is>
          <t>https://www.fut.gg/evolutions/1775-make-your-idol-midfielder-2-sp-7/</t>
        </is>
      </c>
    </row>
    <row r="823">
      <c r="B823" t="inlineStr">
        <is>
          <t>Sub Stat</t>
        </is>
      </c>
      <c r="C823" t="inlineStr">
        <is>
          <t>Penalties</t>
        </is>
      </c>
      <c r="D823" t="n">
        <v>10</v>
      </c>
      <c r="E823" t="n">
        <v>85</v>
      </c>
      <c r="F823" t="inlineStr">
        <is>
          <t>+10 Penalties 85</t>
        </is>
      </c>
      <c r="G823" t="inlineStr">
        <is>
          <t>Make Your Idol - Midfielder 2 [SP 7] - EA SPORTS FC 26</t>
        </is>
      </c>
      <c r="H823" t="inlineStr">
        <is>
          <t>Reward</t>
        </is>
      </c>
      <c r="I823" t="inlineStr">
        <is>
          <t>Standard Season Pass</t>
        </is>
      </c>
      <c r="J823" t="inlineStr">
        <is>
          <t>https://www.fut.gg/evolutions/1775-make-your-idol-midfielder-2-sp-7/</t>
        </is>
      </c>
    </row>
    <row r="824">
      <c r="B824" t="inlineStr">
        <is>
          <t>Sub Stat</t>
        </is>
      </c>
      <c r="C824" t="inlineStr">
        <is>
          <t>Jumping</t>
        </is>
      </c>
      <c r="D824" t="n">
        <v>20</v>
      </c>
      <c r="E824" t="n">
        <v>85</v>
      </c>
      <c r="F824" t="inlineStr">
        <is>
          <t>+20 Jumping 85</t>
        </is>
      </c>
      <c r="G824" t="inlineStr">
        <is>
          <t>Make Your Idol - Midfielder 2 [SP 7] - EA SPORTS FC 26</t>
        </is>
      </c>
      <c r="H824" t="inlineStr">
        <is>
          <t>Reward</t>
        </is>
      </c>
      <c r="I824" t="inlineStr">
        <is>
          <t>Standard Season Pass</t>
        </is>
      </c>
      <c r="J824" t="inlineStr">
        <is>
          <t>https://www.fut.gg/evolutions/1775-make-your-idol-midfielder-2-sp-7/</t>
        </is>
      </c>
    </row>
    <row r="825">
      <c r="B825" t="inlineStr">
        <is>
          <t>Sub Stat</t>
        </is>
      </c>
      <c r="C825" t="inlineStr">
        <is>
          <t>Stamina</t>
        </is>
      </c>
      <c r="D825" t="n">
        <v>15</v>
      </c>
      <c r="E825" t="n">
        <v>88</v>
      </c>
      <c r="F825" t="inlineStr">
        <is>
          <t>+15 Stamina 88</t>
        </is>
      </c>
      <c r="G825" t="inlineStr">
        <is>
          <t>Make Your Idol - Midfielder 2 [SP 7] - EA SPORTS FC 26</t>
        </is>
      </c>
      <c r="H825" t="inlineStr">
        <is>
          <t>Reward</t>
        </is>
      </c>
      <c r="I825" t="inlineStr">
        <is>
          <t>Standard Season Pass</t>
        </is>
      </c>
      <c r="J825" t="inlineStr">
        <is>
          <t>https://www.fut.gg/evolutions/1775-make-your-idol-midfielder-2-sp-7/</t>
        </is>
      </c>
    </row>
    <row r="826">
      <c r="B826" t="inlineStr">
        <is>
          <t>Sub Stat</t>
        </is>
      </c>
      <c r="C826" t="inlineStr">
        <is>
          <t>Strength</t>
        </is>
      </c>
      <c r="D826" t="n">
        <v>20</v>
      </c>
      <c r="E826" t="n">
        <v>85</v>
      </c>
      <c r="F826" t="inlineStr">
        <is>
          <t>+20 Strength 85</t>
        </is>
      </c>
      <c r="G826" t="inlineStr">
        <is>
          <t>Make Your Idol - Midfielder 2 [SP 7] - EA SPORTS FC 26</t>
        </is>
      </c>
      <c r="H826" t="inlineStr">
        <is>
          <t>Reward</t>
        </is>
      </c>
      <c r="I826" t="inlineStr">
        <is>
          <t>Standard Season Pass</t>
        </is>
      </c>
      <c r="J826" t="inlineStr">
        <is>
          <t>https://www.fut.gg/evolutions/1775-make-your-idol-midfielder-2-sp-7/</t>
        </is>
      </c>
    </row>
    <row r="827">
      <c r="B827" t="inlineStr">
        <is>
          <t>Sub Stat</t>
        </is>
      </c>
      <c r="C827" t="inlineStr">
        <is>
          <t>Aggression</t>
        </is>
      </c>
      <c r="D827" t="n">
        <v>20</v>
      </c>
      <c r="E827" t="n">
        <v>83</v>
      </c>
      <c r="F827" t="inlineStr">
        <is>
          <t>+20 Aggression 83</t>
        </is>
      </c>
      <c r="G827" t="inlineStr">
        <is>
          <t>Make Your Idol - Midfielder 2 [SP 7] - EA SPORTS FC 26</t>
        </is>
      </c>
      <c r="H827" t="inlineStr">
        <is>
          <t>Reward</t>
        </is>
      </c>
      <c r="I827" t="inlineStr">
        <is>
          <t>Standard Season Pass</t>
        </is>
      </c>
      <c r="J827" t="inlineStr">
        <is>
          <t>https://www.fut.gg/evolutions/1775-make-your-idol-midfielder-2-sp-7/</t>
        </is>
      </c>
    </row>
    <row r="828">
      <c r="B828" t="inlineStr">
        <is>
          <t>Face Stat</t>
        </is>
      </c>
      <c r="C828" t="inlineStr">
        <is>
          <t>OVR</t>
        </is>
      </c>
      <c r="D828" t="n">
        <v>2</v>
      </c>
      <c r="E828" t="n">
        <v>89</v>
      </c>
      <c r="F828" t="inlineStr">
        <is>
          <t>+2 OVR 89</t>
        </is>
      </c>
      <c r="G828" t="inlineStr">
        <is>
          <t>Make Your Idol - Midfielder 2 [SP 7] - EA SPORTS FC 26</t>
        </is>
      </c>
      <c r="H828" t="inlineStr">
        <is>
          <t>Reward</t>
        </is>
      </c>
      <c r="I828" t="inlineStr">
        <is>
          <t>Standard Season Pass</t>
        </is>
      </c>
      <c r="J828" t="inlineStr">
        <is>
          <t>https://www.fut.gg/evolutions/1775-make-your-idol-midfielder-2-sp-7/</t>
        </is>
      </c>
    </row>
    <row r="829">
      <c r="B829" t="inlineStr">
        <is>
          <t>Face Stat</t>
        </is>
      </c>
      <c r="C829" t="inlineStr">
        <is>
          <t>PAS</t>
        </is>
      </c>
      <c r="D829" t="n">
        <v>3</v>
      </c>
      <c r="E829" t="n">
        <v>90</v>
      </c>
      <c r="F829" t="inlineStr">
        <is>
          <t>+3 PAS 90</t>
        </is>
      </c>
      <c r="G829" t="inlineStr">
        <is>
          <t>Make Your Idol - Midfielder 2 [SP 7] - EA SPORTS FC 26</t>
        </is>
      </c>
      <c r="H829" t="inlineStr">
        <is>
          <t>Reward</t>
        </is>
      </c>
      <c r="I829" t="inlineStr">
        <is>
          <t>Standard Season Pass</t>
        </is>
      </c>
      <c r="J829" t="inlineStr">
        <is>
          <t>https://www.fut.gg/evolutions/1775-make-your-idol-midfielder-2-sp-7/</t>
        </is>
      </c>
    </row>
    <row r="830">
      <c r="B830" t="inlineStr">
        <is>
          <t>Sub Stat</t>
        </is>
      </c>
      <c r="C830" t="inlineStr">
        <is>
          <t>Acceleration</t>
        </is>
      </c>
      <c r="D830" t="n">
        <v>10</v>
      </c>
      <c r="E830" t="n">
        <v>88</v>
      </c>
      <c r="F830" t="inlineStr">
        <is>
          <t>+10 Acceleration 88</t>
        </is>
      </c>
      <c r="G830" t="inlineStr">
        <is>
          <t>Make Your Idol - Midfielder 2 [SP 7] - EA SPORTS FC 26</t>
        </is>
      </c>
      <c r="H830" t="inlineStr">
        <is>
          <t>Reward</t>
        </is>
      </c>
      <c r="I830" t="inlineStr">
        <is>
          <t>Standard Season Pass</t>
        </is>
      </c>
      <c r="J830" t="inlineStr">
        <is>
          <t>https://www.fut.gg/evolutions/1775-make-your-idol-midfielder-2-sp-7/</t>
        </is>
      </c>
    </row>
    <row r="831">
      <c r="B831" t="inlineStr">
        <is>
          <t>Sub Stat</t>
        </is>
      </c>
      <c r="C831" t="inlineStr">
        <is>
          <t>Sprint Speed</t>
        </is>
      </c>
      <c r="D831" t="n">
        <v>10</v>
      </c>
      <c r="E831" t="n">
        <v>88</v>
      </c>
      <c r="F831" t="inlineStr">
        <is>
          <t>+10 Sprint Speed 88</t>
        </is>
      </c>
      <c r="G831" t="inlineStr">
        <is>
          <t>Make Your Idol - Midfielder 2 [SP 7] - EA SPORTS FC 26</t>
        </is>
      </c>
      <c r="H831" t="inlineStr">
        <is>
          <t>Reward</t>
        </is>
      </c>
      <c r="I831" t="inlineStr">
        <is>
          <t>Standard Season Pass</t>
        </is>
      </c>
      <c r="J831" t="inlineStr">
        <is>
          <t>https://www.fut.gg/evolutions/1775-make-your-idol-midfielder-2-sp-7/</t>
        </is>
      </c>
    </row>
    <row r="832">
      <c r="B832" t="inlineStr">
        <is>
          <t>Sub Stat</t>
        </is>
      </c>
      <c r="C832" t="inlineStr">
        <is>
          <t>Positioning</t>
        </is>
      </c>
      <c r="D832" t="n">
        <v>10</v>
      </c>
      <c r="E832" t="n">
        <v>87</v>
      </c>
      <c r="F832" t="inlineStr">
        <is>
          <t>+10 Positioning 87</t>
        </is>
      </c>
      <c r="G832" t="inlineStr">
        <is>
          <t>Make Your Idol - Midfielder 2 [SP 7] - EA SPORTS FC 26</t>
        </is>
      </c>
      <c r="H832" t="inlineStr">
        <is>
          <t>Reward</t>
        </is>
      </c>
      <c r="I832" t="inlineStr">
        <is>
          <t>Standard Season Pass</t>
        </is>
      </c>
      <c r="J832" t="inlineStr">
        <is>
          <t>https://www.fut.gg/evolutions/1775-make-your-idol-midfielder-2-sp-7/</t>
        </is>
      </c>
    </row>
    <row r="833">
      <c r="B833" t="inlineStr">
        <is>
          <t>Face Stat</t>
        </is>
      </c>
      <c r="C833" t="inlineStr">
        <is>
          <t>OVR</t>
        </is>
      </c>
      <c r="D833" t="n">
        <v>1</v>
      </c>
      <c r="F833" t="inlineStr">
        <is>
          <t>+1 OVR</t>
        </is>
      </c>
      <c r="G833" t="inlineStr">
        <is>
          <t>Dish 'em Out [SP+ 1] - EA SPORTS FC 26</t>
        </is>
      </c>
      <c r="H833" t="inlineStr">
        <is>
          <t>Reward</t>
        </is>
      </c>
      <c r="I833" t="inlineStr">
        <is>
          <t>Premium Season Pass</t>
        </is>
      </c>
      <c r="J833" t="inlineStr">
        <is>
          <t>https://www.fut.gg/evolutions/1772-dish-em-out-sp-1/</t>
        </is>
      </c>
    </row>
    <row r="834">
      <c r="B834" t="inlineStr">
        <is>
          <t>Sub Stat</t>
        </is>
      </c>
      <c r="C834" t="inlineStr">
        <is>
          <t>Vision</t>
        </is>
      </c>
      <c r="D834" t="n">
        <v>10</v>
      </c>
      <c r="E834" t="n">
        <v>92</v>
      </c>
      <c r="F834" t="inlineStr">
        <is>
          <t>+10 Vision 92</t>
        </is>
      </c>
      <c r="G834" t="inlineStr">
        <is>
          <t>Dish 'em Out [SP+ 1] - EA SPORTS FC 26</t>
        </is>
      </c>
      <c r="H834" t="inlineStr">
        <is>
          <t>Reward</t>
        </is>
      </c>
      <c r="I834" t="inlineStr">
        <is>
          <t>Premium Season Pass</t>
        </is>
      </c>
      <c r="J834" t="inlineStr">
        <is>
          <t>https://www.fut.gg/evolutions/1772-dish-em-out-sp-1/</t>
        </is>
      </c>
    </row>
    <row r="835">
      <c r="B835" t="inlineStr">
        <is>
          <t>Sub Stat</t>
        </is>
      </c>
      <c r="C835" t="inlineStr">
        <is>
          <t>Long Passing</t>
        </is>
      </c>
      <c r="D835" t="n">
        <v>10</v>
      </c>
      <c r="E835" t="n">
        <v>92</v>
      </c>
      <c r="F835" t="inlineStr">
        <is>
          <t>+10 Long Pass 92</t>
        </is>
      </c>
      <c r="G835" t="inlineStr">
        <is>
          <t>Dish 'em Out [SP+ 1] - EA SPORTS FC 26</t>
        </is>
      </c>
      <c r="H835" t="inlineStr">
        <is>
          <t>Reward</t>
        </is>
      </c>
      <c r="I835" t="inlineStr">
        <is>
          <t>Premium Season Pass</t>
        </is>
      </c>
      <c r="J835" t="inlineStr">
        <is>
          <t>https://www.fut.gg/evolutions/1772-dish-em-out-sp-1/</t>
        </is>
      </c>
    </row>
    <row r="836">
      <c r="B836" t="inlineStr">
        <is>
          <t>Sub Stat</t>
        </is>
      </c>
      <c r="C836" t="inlineStr">
        <is>
          <t>Curve</t>
        </is>
      </c>
      <c r="D836" t="n">
        <v>10</v>
      </c>
      <c r="E836" t="n">
        <v>92</v>
      </c>
      <c r="F836" t="inlineStr">
        <is>
          <t>+10 Curve 92</t>
        </is>
      </c>
      <c r="G836" t="inlineStr">
        <is>
          <t>Dish 'em Out [SP+ 1] - EA SPORTS FC 26</t>
        </is>
      </c>
      <c r="H836" t="inlineStr">
        <is>
          <t>Reward</t>
        </is>
      </c>
      <c r="I836" t="inlineStr">
        <is>
          <t>Premium Season Pass</t>
        </is>
      </c>
      <c r="J836" t="inlineStr">
        <is>
          <t>https://www.fut.gg/evolutions/1772-dish-em-out-sp-1/</t>
        </is>
      </c>
    </row>
    <row r="837">
      <c r="B837" t="inlineStr">
        <is>
          <t>Sub Stat</t>
        </is>
      </c>
      <c r="C837" t="inlineStr">
        <is>
          <t>Composure</t>
        </is>
      </c>
      <c r="D837" t="n">
        <v>10</v>
      </c>
      <c r="E837" t="n">
        <v>91</v>
      </c>
      <c r="F837" t="inlineStr">
        <is>
          <t>+10 Composure 91</t>
        </is>
      </c>
      <c r="G837" t="inlineStr">
        <is>
          <t>Dish 'em Out [SP+ 1] - EA SPORTS FC 26</t>
        </is>
      </c>
      <c r="H837" t="inlineStr">
        <is>
          <t>Reward</t>
        </is>
      </c>
      <c r="I837" t="inlineStr">
        <is>
          <t>Premium Season Pass</t>
        </is>
      </c>
      <c r="J837" t="inlineStr">
        <is>
          <t>https://www.fut.gg/evolutions/1772-dish-em-out-sp-1/</t>
        </is>
      </c>
    </row>
    <row r="838">
      <c r="B838" t="inlineStr">
        <is>
          <t>Sub Stat</t>
        </is>
      </c>
      <c r="C838" t="inlineStr">
        <is>
          <t>Defensive Awareness</t>
        </is>
      </c>
      <c r="D838" t="n">
        <v>10</v>
      </c>
      <c r="E838" t="n">
        <v>91</v>
      </c>
      <c r="F838" t="inlineStr">
        <is>
          <t>+10 Defensive Awareness 91</t>
        </is>
      </c>
      <c r="G838" t="inlineStr">
        <is>
          <t>Dish 'em Out [SP+ 1] - EA SPORTS FC 26</t>
        </is>
      </c>
      <c r="H838" t="inlineStr">
        <is>
          <t>Reward</t>
        </is>
      </c>
      <c r="I838" t="inlineStr">
        <is>
          <t>Premium Season Pass</t>
        </is>
      </c>
      <c r="J838" t="inlineStr">
        <is>
          <t>https://www.fut.gg/evolutions/1772-dish-em-out-sp-1/</t>
        </is>
      </c>
    </row>
    <row r="839">
      <c r="B839" t="inlineStr">
        <is>
          <t>Face Stat</t>
        </is>
      </c>
      <c r="C839" t="inlineStr">
        <is>
          <t>OVR</t>
        </is>
      </c>
      <c r="D839" t="n">
        <v>1</v>
      </c>
      <c r="F839" t="inlineStr">
        <is>
          <t>+1 OVR</t>
        </is>
      </c>
      <c r="G839" t="inlineStr">
        <is>
          <t>Dish 'em Out [SP+ 1] - EA SPORTS FC 26</t>
        </is>
      </c>
      <c r="H839" t="inlineStr">
        <is>
          <t>Reward</t>
        </is>
      </c>
      <c r="I839" t="inlineStr">
        <is>
          <t>Premium Season Pass</t>
        </is>
      </c>
      <c r="J839" t="inlineStr">
        <is>
          <t>https://www.fut.gg/evolutions/1772-dish-em-out-sp-1/</t>
        </is>
      </c>
    </row>
    <row r="840">
      <c r="B840" t="inlineStr">
        <is>
          <t>Sub Stat</t>
        </is>
      </c>
      <c r="C840" t="inlineStr">
        <is>
          <t>Vision</t>
        </is>
      </c>
      <c r="D840" t="n">
        <v>10</v>
      </c>
      <c r="E840" t="n">
        <v>92</v>
      </c>
      <c r="F840" t="inlineStr">
        <is>
          <t>+10 Vision 92</t>
        </is>
      </c>
      <c r="G840" t="inlineStr">
        <is>
          <t>Dish 'em Out [SP+ 1] - EA SPORTS FC 26</t>
        </is>
      </c>
      <c r="H840" t="inlineStr">
        <is>
          <t>Reward</t>
        </is>
      </c>
      <c r="I840" t="inlineStr">
        <is>
          <t>Premium Season Pass</t>
        </is>
      </c>
      <c r="J840" t="inlineStr">
        <is>
          <t>https://www.fut.gg/evolutions/1772-dish-em-out-sp-1/</t>
        </is>
      </c>
    </row>
    <row r="841">
      <c r="B841" t="inlineStr">
        <is>
          <t>Sub Stat</t>
        </is>
      </c>
      <c r="C841" t="inlineStr">
        <is>
          <t>Long Passing</t>
        </is>
      </c>
      <c r="D841" t="n">
        <v>10</v>
      </c>
      <c r="E841" t="n">
        <v>92</v>
      </c>
      <c r="F841" t="inlineStr">
        <is>
          <t>+10 Long Pass 92</t>
        </is>
      </c>
      <c r="G841" t="inlineStr">
        <is>
          <t>Dish 'em Out [SP+ 1] - EA SPORTS FC 26</t>
        </is>
      </c>
      <c r="H841" t="inlineStr">
        <is>
          <t>Reward</t>
        </is>
      </c>
      <c r="I841" t="inlineStr">
        <is>
          <t>Premium Season Pass</t>
        </is>
      </c>
      <c r="J841" t="inlineStr">
        <is>
          <t>https://www.fut.gg/evolutions/1772-dish-em-out-sp-1/</t>
        </is>
      </c>
    </row>
    <row r="842">
      <c r="B842" t="inlineStr">
        <is>
          <t>Sub Stat</t>
        </is>
      </c>
      <c r="C842" t="inlineStr">
        <is>
          <t>Curve</t>
        </is>
      </c>
      <c r="D842" t="n">
        <v>10</v>
      </c>
      <c r="E842" t="n">
        <v>92</v>
      </c>
      <c r="F842" t="inlineStr">
        <is>
          <t>+10 Curve 92</t>
        </is>
      </c>
      <c r="G842" t="inlineStr">
        <is>
          <t>Dish 'em Out [SP+ 1] - EA SPORTS FC 26</t>
        </is>
      </c>
      <c r="H842" t="inlineStr">
        <is>
          <t>Reward</t>
        </is>
      </c>
      <c r="I842" t="inlineStr">
        <is>
          <t>Premium Season Pass</t>
        </is>
      </c>
      <c r="J842" t="inlineStr">
        <is>
          <t>https://www.fut.gg/evolutions/1772-dish-em-out-sp-1/</t>
        </is>
      </c>
    </row>
    <row r="843">
      <c r="B843" t="inlineStr">
        <is>
          <t>Sub Stat</t>
        </is>
      </c>
      <c r="C843" t="inlineStr">
        <is>
          <t>Composure</t>
        </is>
      </c>
      <c r="D843" t="n">
        <v>10</v>
      </c>
      <c r="E843" t="n">
        <v>91</v>
      </c>
      <c r="F843" t="inlineStr">
        <is>
          <t>+10 Composure 91</t>
        </is>
      </c>
      <c r="G843" t="inlineStr">
        <is>
          <t>Dish 'em Out [SP+ 1] - EA SPORTS FC 26</t>
        </is>
      </c>
      <c r="H843" t="inlineStr">
        <is>
          <t>Reward</t>
        </is>
      </c>
      <c r="I843" t="inlineStr">
        <is>
          <t>Premium Season Pass</t>
        </is>
      </c>
      <c r="J843" t="inlineStr">
        <is>
          <t>https://www.fut.gg/evolutions/1772-dish-em-out-sp-1/</t>
        </is>
      </c>
    </row>
    <row r="844">
      <c r="B844" t="inlineStr">
        <is>
          <t>Sub Stat</t>
        </is>
      </c>
      <c r="C844" t="inlineStr">
        <is>
          <t>Defensive Awareness</t>
        </is>
      </c>
      <c r="D844" t="n">
        <v>10</v>
      </c>
      <c r="E844" t="n">
        <v>91</v>
      </c>
      <c r="F844" t="inlineStr">
        <is>
          <t>+10 Defensive Awareness 91</t>
        </is>
      </c>
      <c r="G844" t="inlineStr">
        <is>
          <t>Dish 'em Out [SP+ 1] - EA SPORTS FC 26</t>
        </is>
      </c>
      <c r="H844" t="inlineStr">
        <is>
          <t>Reward</t>
        </is>
      </c>
      <c r="I844" t="inlineStr">
        <is>
          <t>Premium Season Pass</t>
        </is>
      </c>
      <c r="J844" t="inlineStr">
        <is>
          <t>https://www.fut.gg/evolutions/1772-dish-em-out-sp-1/</t>
        </is>
      </c>
    </row>
    <row r="845">
      <c r="B845" t="inlineStr">
        <is>
          <t>Face Stat</t>
        </is>
      </c>
      <c r="C845" t="inlineStr">
        <is>
          <t>OVR</t>
        </is>
      </c>
      <c r="D845" t="n">
        <v>2</v>
      </c>
      <c r="F845" t="inlineStr">
        <is>
          <t>+2 OVR</t>
        </is>
      </c>
      <c r="G845" t="inlineStr">
        <is>
          <t>Locked &amp; Loaded [SP 25] - EA SPORTS FC 26</t>
        </is>
      </c>
      <c r="H845" t="inlineStr">
        <is>
          <t>Reward</t>
        </is>
      </c>
      <c r="I845" t="inlineStr">
        <is>
          <t>Standard Season Pass</t>
        </is>
      </c>
      <c r="J845" t="inlineStr">
        <is>
          <t>https://www.fut.gg/evolutions/1771-locked-loaded-sp-25/</t>
        </is>
      </c>
    </row>
    <row r="846">
      <c r="B846" t="inlineStr">
        <is>
          <t>Face Stat</t>
        </is>
      </c>
      <c r="C846" t="inlineStr">
        <is>
          <t>DEF</t>
        </is>
      </c>
      <c r="D846" t="n">
        <v>4</v>
      </c>
      <c r="E846" t="n">
        <v>90</v>
      </c>
      <c r="F846" t="inlineStr">
        <is>
          <t>+4 DEF 90</t>
        </is>
      </c>
      <c r="G846" t="inlineStr">
        <is>
          <t>Locked &amp; Loaded [SP 25] - EA SPORTS FC 26</t>
        </is>
      </c>
      <c r="H846" t="inlineStr">
        <is>
          <t>Reward</t>
        </is>
      </c>
      <c r="I846" t="inlineStr">
        <is>
          <t>Standard Season Pass</t>
        </is>
      </c>
      <c r="J846" t="inlineStr">
        <is>
          <t>https://www.fut.gg/evolutions/1771-locked-loaded-sp-25/</t>
        </is>
      </c>
    </row>
    <row r="847">
      <c r="B847" t="inlineStr">
        <is>
          <t>Face Stat</t>
        </is>
      </c>
      <c r="C847" t="inlineStr">
        <is>
          <t>PHY</t>
        </is>
      </c>
      <c r="D847" t="n">
        <v>4</v>
      </c>
      <c r="E847" t="n">
        <v>91</v>
      </c>
      <c r="F847" t="inlineStr">
        <is>
          <t>+4 PHY 91</t>
        </is>
      </c>
      <c r="G847" t="inlineStr">
        <is>
          <t>Locked &amp; Loaded [SP 25] - EA SPORTS FC 26</t>
        </is>
      </c>
      <c r="H847" t="inlineStr">
        <is>
          <t>Reward</t>
        </is>
      </c>
      <c r="I847" t="inlineStr">
        <is>
          <t>Standard Season Pass</t>
        </is>
      </c>
      <c r="J847" t="inlineStr">
        <is>
          <t>https://www.fut.gg/evolutions/1771-locked-loaded-sp-25/</t>
        </is>
      </c>
    </row>
    <row r="848">
      <c r="B848" t="inlineStr">
        <is>
          <t>Sub Stat</t>
        </is>
      </c>
      <c r="C848" t="inlineStr">
        <is>
          <t>Vision</t>
        </is>
      </c>
      <c r="D848" t="n">
        <v>6</v>
      </c>
      <c r="E848" t="n">
        <v>92</v>
      </c>
      <c r="F848" t="inlineStr">
        <is>
          <t>+6 Vision 92</t>
        </is>
      </c>
      <c r="G848" t="inlineStr">
        <is>
          <t>Locked &amp; Loaded [SP 25] - EA SPORTS FC 26</t>
        </is>
      </c>
      <c r="H848" t="inlineStr">
        <is>
          <t>Reward</t>
        </is>
      </c>
      <c r="I848" t="inlineStr">
        <is>
          <t>Standard Season Pass</t>
        </is>
      </c>
      <c r="J848" t="inlineStr">
        <is>
          <t>https://www.fut.gg/evolutions/1771-locked-loaded-sp-25/</t>
        </is>
      </c>
    </row>
    <row r="849">
      <c r="B849" t="inlineStr">
        <is>
          <t>Sub Stat</t>
        </is>
      </c>
      <c r="C849" t="inlineStr">
        <is>
          <t>Short Passing</t>
        </is>
      </c>
      <c r="D849" t="n">
        <v>6</v>
      </c>
      <c r="E849" t="n">
        <v>92</v>
      </c>
      <c r="F849" t="inlineStr">
        <is>
          <t>+6 Short Pass 92</t>
        </is>
      </c>
      <c r="G849" t="inlineStr">
        <is>
          <t>Locked &amp; Loaded [SP 25] - EA SPORTS FC 26</t>
        </is>
      </c>
      <c r="H849" t="inlineStr">
        <is>
          <t>Reward</t>
        </is>
      </c>
      <c r="I849" t="inlineStr">
        <is>
          <t>Standard Season Pass</t>
        </is>
      </c>
      <c r="J849" t="inlineStr">
        <is>
          <t>https://www.fut.gg/evolutions/1771-locked-loaded-sp-25/</t>
        </is>
      </c>
    </row>
    <row r="850">
      <c r="B850" t="inlineStr">
        <is>
          <t>Sub Stat</t>
        </is>
      </c>
      <c r="C850" t="inlineStr">
        <is>
          <t>Curve</t>
        </is>
      </c>
      <c r="D850" t="n">
        <v>6</v>
      </c>
      <c r="E850" t="n">
        <v>89</v>
      </c>
      <c r="F850" t="inlineStr">
        <is>
          <t>+6 Curve 89</t>
        </is>
      </c>
      <c r="G850" t="inlineStr">
        <is>
          <t>Locked &amp; Loaded [SP 25] - EA SPORTS FC 26</t>
        </is>
      </c>
      <c r="H850" t="inlineStr">
        <is>
          <t>Reward</t>
        </is>
      </c>
      <c r="I850" t="inlineStr">
        <is>
          <t>Standard Season Pass</t>
        </is>
      </c>
      <c r="J850" t="inlineStr">
        <is>
          <t>https://www.fut.gg/evolutions/1771-locked-loaded-sp-25/</t>
        </is>
      </c>
    </row>
    <row r="851">
      <c r="B851" t="inlineStr">
        <is>
          <t>Sub Stat</t>
        </is>
      </c>
      <c r="C851" t="inlineStr">
        <is>
          <t>Reactions</t>
        </is>
      </c>
      <c r="D851" t="n">
        <v>6</v>
      </c>
      <c r="E851" t="n">
        <v>90</v>
      </c>
      <c r="F851" t="inlineStr">
        <is>
          <t>+6 Reactions 90</t>
        </is>
      </c>
      <c r="G851" t="inlineStr">
        <is>
          <t>Locked &amp; Loaded [SP 25] - EA SPORTS FC 26</t>
        </is>
      </c>
      <c r="H851" t="inlineStr">
        <is>
          <t>Reward</t>
        </is>
      </c>
      <c r="I851" t="inlineStr">
        <is>
          <t>Standard Season Pass</t>
        </is>
      </c>
      <c r="J851" t="inlineStr">
        <is>
          <t>https://www.fut.gg/evolutions/1771-locked-loaded-sp-25/</t>
        </is>
      </c>
    </row>
    <row r="852">
      <c r="B852" t="inlineStr">
        <is>
          <t>Sub Stat</t>
        </is>
      </c>
      <c r="C852" t="inlineStr">
        <is>
          <t>Ball Control</t>
        </is>
      </c>
      <c r="D852" t="n">
        <v>6</v>
      </c>
      <c r="E852" t="n">
        <v>90</v>
      </c>
      <c r="F852" t="inlineStr">
        <is>
          <t>+6 Ball Control 90</t>
        </is>
      </c>
      <c r="G852" t="inlineStr">
        <is>
          <t>Locked &amp; Loaded [SP 25] - EA SPORTS FC 26</t>
        </is>
      </c>
      <c r="H852" t="inlineStr">
        <is>
          <t>Reward</t>
        </is>
      </c>
      <c r="I852" t="inlineStr">
        <is>
          <t>Standard Season Pass</t>
        </is>
      </c>
      <c r="J852" t="inlineStr">
        <is>
          <t>https://www.fut.gg/evolutions/1771-locked-loaded-sp-25/</t>
        </is>
      </c>
    </row>
    <row r="853">
      <c r="B853" t="inlineStr">
        <is>
          <t>Sub Stat</t>
        </is>
      </c>
      <c r="C853" t="inlineStr">
        <is>
          <t>Composure</t>
        </is>
      </c>
      <c r="D853" t="n">
        <v>6</v>
      </c>
      <c r="E853" t="n">
        <v>90</v>
      </c>
      <c r="F853" t="inlineStr">
        <is>
          <t>+6 Composure 90</t>
        </is>
      </c>
      <c r="G853" t="inlineStr">
        <is>
          <t>Locked &amp; Loaded [SP 25] - EA SPORTS FC 26</t>
        </is>
      </c>
      <c r="H853" t="inlineStr">
        <is>
          <t>Reward</t>
        </is>
      </c>
      <c r="I853" t="inlineStr">
        <is>
          <t>Standard Season Pass</t>
        </is>
      </c>
      <c r="J853" t="inlineStr">
        <is>
          <t>https://www.fut.gg/evolutions/1771-locked-loaded-sp-25/</t>
        </is>
      </c>
    </row>
    <row r="854">
      <c r="B854" t="inlineStr">
        <is>
          <t>Face Stat</t>
        </is>
      </c>
      <c r="C854" t="inlineStr">
        <is>
          <t>OVR</t>
        </is>
      </c>
      <c r="D854" t="n">
        <v>2</v>
      </c>
      <c r="F854" t="inlineStr">
        <is>
          <t>+2 OVR</t>
        </is>
      </c>
      <c r="G854" t="inlineStr">
        <is>
          <t>Locked &amp; Loaded [SP 25] - EA SPORTS FC 26</t>
        </is>
      </c>
      <c r="H854" t="inlineStr">
        <is>
          <t>Reward</t>
        </is>
      </c>
      <c r="I854" t="inlineStr">
        <is>
          <t>Standard Season Pass</t>
        </is>
      </c>
      <c r="J854" t="inlineStr">
        <is>
          <t>https://www.fut.gg/evolutions/1771-locked-loaded-sp-25/</t>
        </is>
      </c>
    </row>
    <row r="855">
      <c r="B855" t="inlineStr">
        <is>
          <t>Sub Stat</t>
        </is>
      </c>
      <c r="C855" t="inlineStr">
        <is>
          <t>Vision</t>
        </is>
      </c>
      <c r="D855" t="n">
        <v>6</v>
      </c>
      <c r="E855" t="n">
        <v>92</v>
      </c>
      <c r="F855" t="inlineStr">
        <is>
          <t>+6 Vision 92</t>
        </is>
      </c>
      <c r="G855" t="inlineStr">
        <is>
          <t>Locked &amp; Loaded [SP 25] - EA SPORTS FC 26</t>
        </is>
      </c>
      <c r="H855" t="inlineStr">
        <is>
          <t>Reward</t>
        </is>
      </c>
      <c r="I855" t="inlineStr">
        <is>
          <t>Standard Season Pass</t>
        </is>
      </c>
      <c r="J855" t="inlineStr">
        <is>
          <t>https://www.fut.gg/evolutions/1771-locked-loaded-sp-25/</t>
        </is>
      </c>
    </row>
    <row r="856">
      <c r="B856" t="inlineStr">
        <is>
          <t>Sub Stat</t>
        </is>
      </c>
      <c r="C856" t="inlineStr">
        <is>
          <t>Short Passing</t>
        </is>
      </c>
      <c r="D856" t="n">
        <v>6</v>
      </c>
      <c r="E856" t="n">
        <v>92</v>
      </c>
      <c r="F856" t="inlineStr">
        <is>
          <t>+6 Short Pass 92</t>
        </is>
      </c>
      <c r="G856" t="inlineStr">
        <is>
          <t>Locked &amp; Loaded [SP 25] - EA SPORTS FC 26</t>
        </is>
      </c>
      <c r="H856" t="inlineStr">
        <is>
          <t>Reward</t>
        </is>
      </c>
      <c r="I856" t="inlineStr">
        <is>
          <t>Standard Season Pass</t>
        </is>
      </c>
      <c r="J856" t="inlineStr">
        <is>
          <t>https://www.fut.gg/evolutions/1771-locked-loaded-sp-25/</t>
        </is>
      </c>
    </row>
    <row r="857">
      <c r="B857" t="inlineStr">
        <is>
          <t>Sub Stat</t>
        </is>
      </c>
      <c r="C857" t="inlineStr">
        <is>
          <t>Curve</t>
        </is>
      </c>
      <c r="D857" t="n">
        <v>6</v>
      </c>
      <c r="E857" t="n">
        <v>89</v>
      </c>
      <c r="F857" t="inlineStr">
        <is>
          <t>+6 Curve 89</t>
        </is>
      </c>
      <c r="G857" t="inlineStr">
        <is>
          <t>Locked &amp; Loaded [SP 25] - EA SPORTS FC 26</t>
        </is>
      </c>
      <c r="H857" t="inlineStr">
        <is>
          <t>Reward</t>
        </is>
      </c>
      <c r="I857" t="inlineStr">
        <is>
          <t>Standard Season Pass</t>
        </is>
      </c>
      <c r="J857" t="inlineStr">
        <is>
          <t>https://www.fut.gg/evolutions/1771-locked-loaded-sp-25/</t>
        </is>
      </c>
    </row>
    <row r="858">
      <c r="B858" t="inlineStr">
        <is>
          <t>Sub Stat</t>
        </is>
      </c>
      <c r="C858" t="inlineStr">
        <is>
          <t>Reactions</t>
        </is>
      </c>
      <c r="D858" t="n">
        <v>6</v>
      </c>
      <c r="E858" t="n">
        <v>90</v>
      </c>
      <c r="F858" t="inlineStr">
        <is>
          <t>+6 Reactions 90</t>
        </is>
      </c>
      <c r="G858" t="inlineStr">
        <is>
          <t>Locked &amp; Loaded [SP 25] - EA SPORTS FC 26</t>
        </is>
      </c>
      <c r="H858" t="inlineStr">
        <is>
          <t>Reward</t>
        </is>
      </c>
      <c r="I858" t="inlineStr">
        <is>
          <t>Standard Season Pass</t>
        </is>
      </c>
      <c r="J858" t="inlineStr">
        <is>
          <t>https://www.fut.gg/evolutions/1771-locked-loaded-sp-25/</t>
        </is>
      </c>
    </row>
    <row r="859">
      <c r="B859" t="inlineStr">
        <is>
          <t>Sub Stat</t>
        </is>
      </c>
      <c r="C859" t="inlineStr">
        <is>
          <t>Ball Control</t>
        </is>
      </c>
      <c r="D859" t="n">
        <v>6</v>
      </c>
      <c r="E859" t="n">
        <v>90</v>
      </c>
      <c r="F859" t="inlineStr">
        <is>
          <t>+6 Ball Control 90</t>
        </is>
      </c>
      <c r="G859" t="inlineStr">
        <is>
          <t>Locked &amp; Loaded [SP 25] - EA SPORTS FC 26</t>
        </is>
      </c>
      <c r="H859" t="inlineStr">
        <is>
          <t>Reward</t>
        </is>
      </c>
      <c r="I859" t="inlineStr">
        <is>
          <t>Standard Season Pass</t>
        </is>
      </c>
      <c r="J859" t="inlineStr">
        <is>
          <t>https://www.fut.gg/evolutions/1771-locked-loaded-sp-25/</t>
        </is>
      </c>
    </row>
    <row r="860">
      <c r="B860" t="inlineStr">
        <is>
          <t>Sub Stat</t>
        </is>
      </c>
      <c r="C860" t="inlineStr">
        <is>
          <t>Positioning</t>
        </is>
      </c>
      <c r="D860" t="n">
        <v>2</v>
      </c>
      <c r="E860" t="n">
        <v>90</v>
      </c>
      <c r="F860" t="inlineStr">
        <is>
          <t>+2 Positioning 90</t>
        </is>
      </c>
      <c r="G860" t="inlineStr">
        <is>
          <t>Goal Machine [SP 8] - EA SPORTS FC 26</t>
        </is>
      </c>
      <c r="H860" t="inlineStr">
        <is>
          <t>Reward</t>
        </is>
      </c>
      <c r="I860" t="inlineStr">
        <is>
          <t>Standard Season Pass</t>
        </is>
      </c>
      <c r="J860" t="inlineStr">
        <is>
          <t>https://www.fut.gg/evolutions/1770-goal-machine-sp-8/</t>
        </is>
      </c>
    </row>
    <row r="861">
      <c r="B861" t="inlineStr">
        <is>
          <t>Sub Stat</t>
        </is>
      </c>
      <c r="C861" t="inlineStr">
        <is>
          <t>Finishing</t>
        </is>
      </c>
      <c r="D861" t="n">
        <v>2</v>
      </c>
      <c r="E861" t="n">
        <v>90</v>
      </c>
      <c r="F861" t="inlineStr">
        <is>
          <t>+2 Finishing 90</t>
        </is>
      </c>
      <c r="G861" t="inlineStr">
        <is>
          <t>Goal Machine [SP 8] - EA SPORTS FC 26</t>
        </is>
      </c>
      <c r="H861" t="inlineStr">
        <is>
          <t>Reward</t>
        </is>
      </c>
      <c r="I861" t="inlineStr">
        <is>
          <t>Standard Season Pass</t>
        </is>
      </c>
      <c r="J861" t="inlineStr">
        <is>
          <t>https://www.fut.gg/evolutions/1770-goal-machine-sp-8/</t>
        </is>
      </c>
    </row>
    <row r="862">
      <c r="B862" t="inlineStr">
        <is>
          <t>Sub Stat</t>
        </is>
      </c>
      <c r="C862" t="inlineStr">
        <is>
          <t>Long Shots</t>
        </is>
      </c>
      <c r="D862" t="n">
        <v>2</v>
      </c>
      <c r="E862" t="n">
        <v>90</v>
      </c>
      <c r="F862" t="inlineStr">
        <is>
          <t>+2 Long Shots 90</t>
        </is>
      </c>
      <c r="G862" t="inlineStr">
        <is>
          <t>Goal Machine [SP 8] - EA SPORTS FC 26</t>
        </is>
      </c>
      <c r="H862" t="inlineStr">
        <is>
          <t>Reward</t>
        </is>
      </c>
      <c r="I862" t="inlineStr">
        <is>
          <t>Standard Season Pass</t>
        </is>
      </c>
      <c r="J862" t="inlineStr">
        <is>
          <t>https://www.fut.gg/evolutions/1770-goal-machine-sp-8/</t>
        </is>
      </c>
    </row>
    <row r="863">
      <c r="B863" t="inlineStr">
        <is>
          <t>Sub Stat</t>
        </is>
      </c>
      <c r="C863" t="inlineStr">
        <is>
          <t>Positioning</t>
        </is>
      </c>
      <c r="D863" t="n">
        <v>2</v>
      </c>
      <c r="E863" t="n">
        <v>90</v>
      </c>
      <c r="F863" t="inlineStr">
        <is>
          <t>+2 Positioning 90</t>
        </is>
      </c>
      <c r="G863" t="inlineStr">
        <is>
          <t>Goal Machine [SP 8] - EA SPORTS FC 26</t>
        </is>
      </c>
      <c r="H863" t="inlineStr">
        <is>
          <t>Reward</t>
        </is>
      </c>
      <c r="I863" t="inlineStr">
        <is>
          <t>Standard Season Pass</t>
        </is>
      </c>
      <c r="J863" t="inlineStr">
        <is>
          <t>https://www.fut.gg/evolutions/1770-goal-machine-sp-8/</t>
        </is>
      </c>
    </row>
    <row r="864">
      <c r="B864" t="inlineStr">
        <is>
          <t>Sub Stat</t>
        </is>
      </c>
      <c r="C864" t="inlineStr">
        <is>
          <t>Finishing</t>
        </is>
      </c>
      <c r="D864" t="n">
        <v>2</v>
      </c>
      <c r="E864" t="n">
        <v>90</v>
      </c>
      <c r="F864" t="inlineStr">
        <is>
          <t>+2 Finishing 90</t>
        </is>
      </c>
      <c r="G864" t="inlineStr">
        <is>
          <t>Goal Machine [SP 8] - EA SPORTS FC 26</t>
        </is>
      </c>
      <c r="H864" t="inlineStr">
        <is>
          <t>Reward</t>
        </is>
      </c>
      <c r="I864" t="inlineStr">
        <is>
          <t>Standard Season Pass</t>
        </is>
      </c>
      <c r="J864" t="inlineStr">
        <is>
          <t>https://www.fut.gg/evolutions/1770-goal-machine-sp-8/</t>
        </is>
      </c>
    </row>
    <row r="865">
      <c r="B865" t="inlineStr">
        <is>
          <t>Sub Stat</t>
        </is>
      </c>
      <c r="C865" t="inlineStr">
        <is>
          <t>Long Shots</t>
        </is>
      </c>
      <c r="D865" t="n">
        <v>2</v>
      </c>
      <c r="E865" t="n">
        <v>90</v>
      </c>
      <c r="F865" t="inlineStr">
        <is>
          <t>+2 Long Shots 90</t>
        </is>
      </c>
      <c r="G865" t="inlineStr">
        <is>
          <t>Goal Machine [SP 8] - EA SPORTS FC 26</t>
        </is>
      </c>
      <c r="H865" t="inlineStr">
        <is>
          <t>Reward</t>
        </is>
      </c>
      <c r="I865" t="inlineStr">
        <is>
          <t>Standard Season Pass</t>
        </is>
      </c>
      <c r="J865" t="inlineStr">
        <is>
          <t>https://www.fut.gg/evolutions/1770-goal-machine-sp-8/</t>
        </is>
      </c>
    </row>
    <row r="866">
      <c r="B866" t="inlineStr">
        <is>
          <t>Face Stat</t>
        </is>
      </c>
      <c r="C866" t="inlineStr">
        <is>
          <t>OVR</t>
        </is>
      </c>
      <c r="D866" t="n">
        <v>2</v>
      </c>
      <c r="F866" t="inlineStr">
        <is>
          <t>+2 OVR</t>
        </is>
      </c>
      <c r="G866" t="inlineStr">
        <is>
          <t>Roadrunner [SP+ 24] - EA SPORTS FC 26</t>
        </is>
      </c>
      <c r="H866" t="inlineStr">
        <is>
          <t>Reward</t>
        </is>
      </c>
      <c r="I866" t="inlineStr">
        <is>
          <t>Premium Season Pass</t>
        </is>
      </c>
      <c r="J866" t="inlineStr">
        <is>
          <t>https://www.fut.gg/evolutions/1769-roadrunner-sp-24/</t>
        </is>
      </c>
    </row>
    <row r="867">
      <c r="B867" t="inlineStr">
        <is>
          <t>Face Stat</t>
        </is>
      </c>
      <c r="C867" t="inlineStr">
        <is>
          <t>PAC</t>
        </is>
      </c>
      <c r="D867" t="n">
        <v>7</v>
      </c>
      <c r="E867" t="n">
        <v>90</v>
      </c>
      <c r="F867" t="inlineStr">
        <is>
          <t>+7 PAC 90</t>
        </is>
      </c>
      <c r="G867" t="inlineStr">
        <is>
          <t>Roadrunner [SP+ 24] - EA SPORTS FC 26</t>
        </is>
      </c>
      <c r="H867" t="inlineStr">
        <is>
          <t>Reward</t>
        </is>
      </c>
      <c r="I867" t="inlineStr">
        <is>
          <t>Premium Season Pass</t>
        </is>
      </c>
      <c r="J867" t="inlineStr">
        <is>
          <t>https://www.fut.gg/evolutions/1769-roadrunner-sp-24/</t>
        </is>
      </c>
    </row>
    <row r="868">
      <c r="B868" t="inlineStr">
        <is>
          <t>Face Stat</t>
        </is>
      </c>
      <c r="C868" t="inlineStr">
        <is>
          <t>DRI</t>
        </is>
      </c>
      <c r="D868" t="n">
        <v>7</v>
      </c>
      <c r="E868" t="n">
        <v>91</v>
      </c>
      <c r="F868" t="inlineStr">
        <is>
          <t>+7 DRI 91</t>
        </is>
      </c>
      <c r="G868" t="inlineStr">
        <is>
          <t>Roadrunner [SP+ 24] - EA SPORTS FC 26</t>
        </is>
      </c>
      <c r="H868" t="inlineStr">
        <is>
          <t>Reward</t>
        </is>
      </c>
      <c r="I868" t="inlineStr">
        <is>
          <t>Premium Season Pass</t>
        </is>
      </c>
      <c r="J868" t="inlineStr">
        <is>
          <t>https://www.fut.gg/evolutions/1769-roadrunner-sp-24/</t>
        </is>
      </c>
    </row>
    <row r="869">
      <c r="B869" t="inlineStr">
        <is>
          <t>Face Stat</t>
        </is>
      </c>
      <c r="C869" t="inlineStr">
        <is>
          <t>OVR</t>
        </is>
      </c>
      <c r="D869" t="n">
        <v>2</v>
      </c>
      <c r="F869" t="inlineStr">
        <is>
          <t>+2 OVR</t>
        </is>
      </c>
      <c r="G869" t="inlineStr">
        <is>
          <t>Roadrunner [SP+ 24] - EA SPORTS FC 26</t>
        </is>
      </c>
      <c r="H869" t="inlineStr">
        <is>
          <t>Reward</t>
        </is>
      </c>
      <c r="I869" t="inlineStr">
        <is>
          <t>Premium Season Pass</t>
        </is>
      </c>
      <c r="J869" t="inlineStr">
        <is>
          <t>https://www.fut.gg/evolutions/1769-roadrunner-sp-24/</t>
        </is>
      </c>
    </row>
    <row r="870">
      <c r="B870" t="inlineStr">
        <is>
          <t>Face Stat</t>
        </is>
      </c>
      <c r="C870" t="inlineStr">
        <is>
          <t>PAC</t>
        </is>
      </c>
      <c r="D870" t="n">
        <v>7</v>
      </c>
      <c r="E870" t="n">
        <v>90</v>
      </c>
      <c r="F870" t="inlineStr">
        <is>
          <t>+7 PAC 90</t>
        </is>
      </c>
      <c r="G870" t="inlineStr">
        <is>
          <t>Roadrunner [SP+ 24] - EA SPORTS FC 26</t>
        </is>
      </c>
      <c r="H870" t="inlineStr">
        <is>
          <t>Reward</t>
        </is>
      </c>
      <c r="I870" t="inlineStr">
        <is>
          <t>Premium Season Pass</t>
        </is>
      </c>
      <c r="J870" t="inlineStr">
        <is>
          <t>https://www.fut.gg/evolutions/1769-roadrunner-sp-24/</t>
        </is>
      </c>
    </row>
    <row r="871">
      <c r="B871" t="inlineStr">
        <is>
          <t>Face Stat</t>
        </is>
      </c>
      <c r="C871" t="inlineStr">
        <is>
          <t>DRI</t>
        </is>
      </c>
      <c r="D871" t="n">
        <v>7</v>
      </c>
      <c r="E871" t="n">
        <v>91</v>
      </c>
      <c r="F871" t="inlineStr">
        <is>
          <t>+7 DRI 91</t>
        </is>
      </c>
      <c r="G871" t="inlineStr">
        <is>
          <t>Roadrunner [SP+ 24] - EA SPORTS FC 26</t>
        </is>
      </c>
      <c r="H871" t="inlineStr">
        <is>
          <t>Reward</t>
        </is>
      </c>
      <c r="I871" t="inlineStr">
        <is>
          <t>Premium Season Pass</t>
        </is>
      </c>
      <c r="J871" t="inlineStr">
        <is>
          <t>https://www.fut.gg/evolutions/1769-roadrunner-sp-24/</t>
        </is>
      </c>
    </row>
    <row r="872">
      <c r="B872" t="inlineStr">
        <is>
          <t>Face Stat</t>
        </is>
      </c>
      <c r="C872" t="inlineStr">
        <is>
          <t>OVR</t>
        </is>
      </c>
      <c r="D872" t="n">
        <v>2</v>
      </c>
      <c r="F872" t="inlineStr">
        <is>
          <t>+2 OVR</t>
        </is>
      </c>
      <c r="G872" t="inlineStr">
        <is>
          <t>Sweep &amp; Supply [SP+ 18] - EA SPORTS FC 26</t>
        </is>
      </c>
      <c r="H872" t="inlineStr">
        <is>
          <t>Reward</t>
        </is>
      </c>
      <c r="I872" t="inlineStr">
        <is>
          <t>Premium Season Pass</t>
        </is>
      </c>
      <c r="J872" t="inlineStr">
        <is>
          <t>https://www.fut.gg/evolutions/1768-sweep-supply-sp-18/</t>
        </is>
      </c>
    </row>
    <row r="873">
      <c r="B873" t="inlineStr">
        <is>
          <t>Face Stat</t>
        </is>
      </c>
      <c r="C873" t="inlineStr">
        <is>
          <t>PAS</t>
        </is>
      </c>
      <c r="D873" t="n">
        <v>7</v>
      </c>
      <c r="E873" t="n">
        <v>91</v>
      </c>
      <c r="F873" t="inlineStr">
        <is>
          <t>+7 PAS 91</t>
        </is>
      </c>
      <c r="G873" t="inlineStr">
        <is>
          <t>Sweep &amp; Supply [SP+ 18] - EA SPORTS FC 26</t>
        </is>
      </c>
      <c r="H873" t="inlineStr">
        <is>
          <t>Reward</t>
        </is>
      </c>
      <c r="I873" t="inlineStr">
        <is>
          <t>Premium Season Pass</t>
        </is>
      </c>
      <c r="J873" t="inlineStr">
        <is>
          <t>https://www.fut.gg/evolutions/1768-sweep-supply-sp-18/</t>
        </is>
      </c>
    </row>
    <row r="874">
      <c r="B874" t="inlineStr">
        <is>
          <t>Face Stat</t>
        </is>
      </c>
      <c r="C874" t="inlineStr">
        <is>
          <t>DEF</t>
        </is>
      </c>
      <c r="D874" t="n">
        <v>7</v>
      </c>
      <c r="E874" t="n">
        <v>91</v>
      </c>
      <c r="F874" t="inlineStr">
        <is>
          <t>+7 DEF 91</t>
        </is>
      </c>
      <c r="G874" t="inlineStr">
        <is>
          <t>Sweep &amp; Supply [SP+ 18] - EA SPORTS FC 26</t>
        </is>
      </c>
      <c r="H874" t="inlineStr">
        <is>
          <t>Reward</t>
        </is>
      </c>
      <c r="I874" t="inlineStr">
        <is>
          <t>Premium Season Pass</t>
        </is>
      </c>
      <c r="J874" t="inlineStr">
        <is>
          <t>https://www.fut.gg/evolutions/1768-sweep-supply-sp-18/</t>
        </is>
      </c>
    </row>
    <row r="875">
      <c r="B875" t="inlineStr">
        <is>
          <t>Face Stat</t>
        </is>
      </c>
      <c r="C875" t="inlineStr">
        <is>
          <t>OVR</t>
        </is>
      </c>
      <c r="D875" t="n">
        <v>2</v>
      </c>
      <c r="F875" t="inlineStr">
        <is>
          <t>+2 OVR</t>
        </is>
      </c>
      <c r="G875" t="inlineStr">
        <is>
          <t>Sweep &amp; Supply [SP+ 18] - EA SPORTS FC 26</t>
        </is>
      </c>
      <c r="H875" t="inlineStr">
        <is>
          <t>Reward</t>
        </is>
      </c>
      <c r="I875" t="inlineStr">
        <is>
          <t>Premium Season Pass</t>
        </is>
      </c>
      <c r="J875" t="inlineStr">
        <is>
          <t>https://www.fut.gg/evolutions/1768-sweep-supply-sp-18/</t>
        </is>
      </c>
    </row>
    <row r="876">
      <c r="B876" t="inlineStr">
        <is>
          <t>Face Stat</t>
        </is>
      </c>
      <c r="C876" t="inlineStr">
        <is>
          <t>PAS</t>
        </is>
      </c>
      <c r="D876" t="n">
        <v>7</v>
      </c>
      <c r="E876" t="n">
        <v>91</v>
      </c>
      <c r="F876" t="inlineStr">
        <is>
          <t>+7 PAS 91</t>
        </is>
      </c>
      <c r="G876" t="inlineStr">
        <is>
          <t>Sweep &amp; Supply [SP+ 18] - EA SPORTS FC 26</t>
        </is>
      </c>
      <c r="H876" t="inlineStr">
        <is>
          <t>Reward</t>
        </is>
      </c>
      <c r="I876" t="inlineStr">
        <is>
          <t>Premium Season Pass</t>
        </is>
      </c>
      <c r="J876" t="inlineStr">
        <is>
          <t>https://www.fut.gg/evolutions/1768-sweep-supply-sp-18/</t>
        </is>
      </c>
    </row>
    <row r="877">
      <c r="B877" t="inlineStr">
        <is>
          <t>Face Stat</t>
        </is>
      </c>
      <c r="C877" t="inlineStr">
        <is>
          <t>DEF</t>
        </is>
      </c>
      <c r="D877" t="n">
        <v>7</v>
      </c>
      <c r="E877" t="n">
        <v>91</v>
      </c>
      <c r="F877" t="inlineStr">
        <is>
          <t>+7 DEF 91</t>
        </is>
      </c>
      <c r="G877" t="inlineStr">
        <is>
          <t>Sweep &amp; Supply [SP+ 18] - EA SPORTS FC 26</t>
        </is>
      </c>
      <c r="H877" t="inlineStr">
        <is>
          <t>Reward</t>
        </is>
      </c>
      <c r="I877" t="inlineStr">
        <is>
          <t>Premium Season Pass</t>
        </is>
      </c>
      <c r="J877" t="inlineStr">
        <is>
          <t>https://www.fut.gg/evolutions/1768-sweep-supply-sp-18/</t>
        </is>
      </c>
    </row>
    <row r="878">
      <c r="B878" t="inlineStr">
        <is>
          <t>Face Stat</t>
        </is>
      </c>
      <c r="C878" t="inlineStr">
        <is>
          <t>OVR</t>
        </is>
      </c>
      <c r="D878" t="n">
        <v>1</v>
      </c>
      <c r="F878" t="inlineStr">
        <is>
          <t>+1 OVR</t>
        </is>
      </c>
      <c r="G878" t="inlineStr">
        <is>
          <t>Intro to Rewards EVOs - EA SPORTS FC 26</t>
        </is>
      </c>
      <c r="H878" t="inlineStr">
        <is>
          <t>Reward</t>
        </is>
      </c>
      <c r="I878" t="inlineStr">
        <is>
          <t>Reward</t>
        </is>
      </c>
      <c r="J878" t="inlineStr">
        <is>
          <t>https://www.fut.gg/evolutions/1214-intro-to-rewards-evos/</t>
        </is>
      </c>
    </row>
    <row r="879">
      <c r="B879" t="inlineStr">
        <is>
          <t>Sub Stat</t>
        </is>
      </c>
      <c r="C879" t="inlineStr">
        <is>
          <t>Shot Power</t>
        </is>
      </c>
      <c r="D879" t="n">
        <v>3</v>
      </c>
      <c r="E879" t="n">
        <v>80</v>
      </c>
      <c r="F879" t="inlineStr">
        <is>
          <t>+3 Shot Power 80</t>
        </is>
      </c>
      <c r="G879" t="inlineStr">
        <is>
          <t>Intro to Rewards EVOs - EA SPORTS FC 26</t>
        </is>
      </c>
      <c r="H879" t="inlineStr">
        <is>
          <t>Reward</t>
        </is>
      </c>
      <c r="I879" t="inlineStr">
        <is>
          <t>Reward</t>
        </is>
      </c>
      <c r="J879" t="inlineStr">
        <is>
          <t>https://www.fut.gg/evolutions/1214-intro-to-rewards-evos/</t>
        </is>
      </c>
    </row>
    <row r="880">
      <c r="B880" t="inlineStr">
        <is>
          <t>Sub Stat</t>
        </is>
      </c>
      <c r="C880" t="inlineStr">
        <is>
          <t>Vision</t>
        </is>
      </c>
      <c r="D880" t="n">
        <v>3</v>
      </c>
      <c r="E880" t="n">
        <v>80</v>
      </c>
      <c r="F880" t="inlineStr">
        <is>
          <t>+3 Vision 80</t>
        </is>
      </c>
      <c r="G880" t="inlineStr">
        <is>
          <t>Intro to Rewards EVOs - EA SPORTS FC 26</t>
        </is>
      </c>
      <c r="H880" t="inlineStr">
        <is>
          <t>Reward</t>
        </is>
      </c>
      <c r="I880" t="inlineStr">
        <is>
          <t>Reward</t>
        </is>
      </c>
      <c r="J880" t="inlineStr">
        <is>
          <t>https://www.fut.gg/evolutions/1214-intro-to-rewards-evos/</t>
        </is>
      </c>
    </row>
    <row r="881">
      <c r="B881" t="inlineStr">
        <is>
          <t>Sub Stat</t>
        </is>
      </c>
      <c r="C881" t="inlineStr">
        <is>
          <t>Long Shots</t>
        </is>
      </c>
      <c r="D881" t="n">
        <v>4</v>
      </c>
      <c r="E881" t="n">
        <v>80</v>
      </c>
      <c r="F881" t="inlineStr">
        <is>
          <t>+4 Long Shots 80</t>
        </is>
      </c>
      <c r="G881" t="inlineStr">
        <is>
          <t>Intro to Rewards EVOs - EA SPORTS FC 26</t>
        </is>
      </c>
      <c r="H881" t="inlineStr">
        <is>
          <t>Reward</t>
        </is>
      </c>
      <c r="I881" t="inlineStr">
        <is>
          <t>Reward</t>
        </is>
      </c>
      <c r="J881" t="inlineStr">
        <is>
          <t>https://www.fut.gg/evolutions/1214-intro-to-rewards-evos/</t>
        </is>
      </c>
    </row>
    <row r="882">
      <c r="B882" t="inlineStr">
        <is>
          <t>Sub Stat</t>
        </is>
      </c>
      <c r="C882" t="inlineStr">
        <is>
          <t>Volleys</t>
        </is>
      </c>
      <c r="D882" t="n">
        <v>3</v>
      </c>
      <c r="E882" t="n">
        <v>79</v>
      </c>
      <c r="F882" t="inlineStr">
        <is>
          <t>+3 Volleys 79</t>
        </is>
      </c>
      <c r="G882" t="inlineStr">
        <is>
          <t>Intro to Rewards EVOs - EA SPORTS FC 26</t>
        </is>
      </c>
      <c r="H882" t="inlineStr">
        <is>
          <t>Reward</t>
        </is>
      </c>
      <c r="I882" t="inlineStr">
        <is>
          <t>Reward</t>
        </is>
      </c>
      <c r="J882" t="inlineStr">
        <is>
          <t>https://www.fut.gg/evolutions/1214-intro-to-rewards-evos/</t>
        </is>
      </c>
    </row>
    <row r="883">
      <c r="B883" t="inlineStr">
        <is>
          <t>Sub Stat</t>
        </is>
      </c>
      <c r="C883" t="inlineStr">
        <is>
          <t>Short Passing</t>
        </is>
      </c>
      <c r="D883" t="n">
        <v>3</v>
      </c>
      <c r="E883" t="n">
        <v>80</v>
      </c>
      <c r="F883" t="inlineStr">
        <is>
          <t>+3 Short Pass 80</t>
        </is>
      </c>
      <c r="G883" t="inlineStr">
        <is>
          <t>Intro to Rewards EVOs - EA SPORTS FC 26</t>
        </is>
      </c>
      <c r="H883" t="inlineStr">
        <is>
          <t>Reward</t>
        </is>
      </c>
      <c r="I883" t="inlineStr">
        <is>
          <t>Reward</t>
        </is>
      </c>
      <c r="J883" t="inlineStr">
        <is>
          <t>https://www.fut.gg/evolutions/1214-intro-to-rewards-evos/</t>
        </is>
      </c>
    </row>
    <row r="884">
      <c r="B884" t="inlineStr">
        <is>
          <t>Sub Stat</t>
        </is>
      </c>
      <c r="C884" t="inlineStr">
        <is>
          <t>Fk Accuracy</t>
        </is>
      </c>
      <c r="D884" t="n">
        <v>4</v>
      </c>
      <c r="E884" t="n">
        <v>80</v>
      </c>
      <c r="F884" t="inlineStr">
        <is>
          <t>+4 Fk Accuracy 80</t>
        </is>
      </c>
      <c r="G884" t="inlineStr">
        <is>
          <t>Intro to Rewards EVOs - EA SPORTS FC 26</t>
        </is>
      </c>
      <c r="H884" t="inlineStr">
        <is>
          <t>Reward</t>
        </is>
      </c>
      <c r="I884" t="inlineStr">
        <is>
          <t>Reward</t>
        </is>
      </c>
      <c r="J884" t="inlineStr">
        <is>
          <t>https://www.fut.gg/evolutions/1214-intro-to-rewards-evos/</t>
        </is>
      </c>
    </row>
    <row r="885">
      <c r="B885" t="inlineStr">
        <is>
          <t>Sub Stat</t>
        </is>
      </c>
      <c r="C885" t="inlineStr">
        <is>
          <t>Dribbling</t>
        </is>
      </c>
      <c r="D885" t="n">
        <v>4</v>
      </c>
      <c r="E885" t="n">
        <v>81</v>
      </c>
      <c r="F885" t="inlineStr">
        <is>
          <t>+4 Dribbling 81</t>
        </is>
      </c>
      <c r="G885" t="inlineStr">
        <is>
          <t>Intro to Rewards EVOs - EA SPORTS FC 26</t>
        </is>
      </c>
      <c r="H885" t="inlineStr">
        <is>
          <t>Reward</t>
        </is>
      </c>
      <c r="I885" t="inlineStr">
        <is>
          <t>Reward</t>
        </is>
      </c>
      <c r="J885" t="inlineStr">
        <is>
          <t>https://www.fut.gg/evolutions/1214-intro-to-rewards-evos/</t>
        </is>
      </c>
    </row>
    <row r="886">
      <c r="B886" t="inlineStr">
        <is>
          <t>Sub Stat</t>
        </is>
      </c>
      <c r="C886" t="inlineStr">
        <is>
          <t>Reactions</t>
        </is>
      </c>
      <c r="D886" t="n">
        <v>4</v>
      </c>
      <c r="E886" t="n">
        <v>81</v>
      </c>
      <c r="F886" t="inlineStr">
        <is>
          <t>+4 Reactions 81</t>
        </is>
      </c>
      <c r="G886" t="inlineStr">
        <is>
          <t>Intro to Rewards EVOs - EA SPORTS FC 26</t>
        </is>
      </c>
      <c r="H886" t="inlineStr">
        <is>
          <t>Reward</t>
        </is>
      </c>
      <c r="I886" t="inlineStr">
        <is>
          <t>Reward</t>
        </is>
      </c>
      <c r="J886" t="inlineStr">
        <is>
          <t>https://www.fut.gg/evolutions/1214-intro-to-rewards-evos/</t>
        </is>
      </c>
    </row>
    <row r="887">
      <c r="B887" t="inlineStr">
        <is>
          <t>Sub Stat</t>
        </is>
      </c>
      <c r="C887" t="inlineStr">
        <is>
          <t>Long Passing</t>
        </is>
      </c>
      <c r="D887" t="n">
        <v>4</v>
      </c>
      <c r="E887" t="n">
        <v>79</v>
      </c>
      <c r="F887" t="inlineStr">
        <is>
          <t>+4 Long Pass 79</t>
        </is>
      </c>
      <c r="G887" t="inlineStr">
        <is>
          <t>Intro to Rewards EVOs - EA SPORTS FC 26</t>
        </is>
      </c>
      <c r="H887" t="inlineStr">
        <is>
          <t>Reward</t>
        </is>
      </c>
      <c r="I887" t="inlineStr">
        <is>
          <t>Reward</t>
        </is>
      </c>
      <c r="J887" t="inlineStr">
        <is>
          <t>https://www.fut.gg/evolutions/1214-intro-to-rewards-evos/</t>
        </is>
      </c>
    </row>
    <row r="888">
      <c r="B888" t="inlineStr">
        <is>
          <t>Face Stat</t>
        </is>
      </c>
      <c r="C888" t="inlineStr">
        <is>
          <t>OVR</t>
        </is>
      </c>
      <c r="D888" t="n">
        <v>1</v>
      </c>
      <c r="F888" t="inlineStr">
        <is>
          <t>+1 OVR</t>
        </is>
      </c>
      <c r="G888" t="inlineStr">
        <is>
          <t>Intro to Rewards EVOs - EA SPORTS FC 26</t>
        </is>
      </c>
      <c r="H888" t="inlineStr">
        <is>
          <t>Reward</t>
        </is>
      </c>
      <c r="I888" t="inlineStr">
        <is>
          <t>Reward</t>
        </is>
      </c>
      <c r="J888" t="inlineStr">
        <is>
          <t>https://www.fut.gg/evolutions/1214-intro-to-rewards-evos/</t>
        </is>
      </c>
    </row>
    <row r="889">
      <c r="B889" t="inlineStr">
        <is>
          <t>Sub Stat</t>
        </is>
      </c>
      <c r="C889" t="inlineStr">
        <is>
          <t>Shot Power</t>
        </is>
      </c>
      <c r="D889" t="n">
        <v>3</v>
      </c>
      <c r="E889" t="n">
        <v>80</v>
      </c>
      <c r="F889" t="inlineStr">
        <is>
          <t>+3 Shot Power 80</t>
        </is>
      </c>
      <c r="G889" t="inlineStr">
        <is>
          <t>Intro to Rewards EVOs - EA SPORTS FC 26</t>
        </is>
      </c>
      <c r="H889" t="inlineStr">
        <is>
          <t>Reward</t>
        </is>
      </c>
      <c r="I889" t="inlineStr">
        <is>
          <t>Reward</t>
        </is>
      </c>
      <c r="J889" t="inlineStr">
        <is>
          <t>https://www.fut.gg/evolutions/1214-intro-to-rewards-evos/</t>
        </is>
      </c>
    </row>
    <row r="890">
      <c r="B890" t="inlineStr">
        <is>
          <t>Sub Stat</t>
        </is>
      </c>
      <c r="C890" t="inlineStr">
        <is>
          <t>Vision</t>
        </is>
      </c>
      <c r="D890" t="n">
        <v>3</v>
      </c>
      <c r="E890" t="n">
        <v>80</v>
      </c>
      <c r="F890" t="inlineStr">
        <is>
          <t>+3 Vision 80</t>
        </is>
      </c>
      <c r="G890" t="inlineStr">
        <is>
          <t>Intro to Rewards EVOs - EA SPORTS FC 26</t>
        </is>
      </c>
      <c r="H890" t="inlineStr">
        <is>
          <t>Reward</t>
        </is>
      </c>
      <c r="I890" t="inlineStr">
        <is>
          <t>Reward</t>
        </is>
      </c>
      <c r="J890" t="inlineStr">
        <is>
          <t>https://www.fut.gg/evolutions/1214-intro-to-rewards-evos/</t>
        </is>
      </c>
    </row>
    <row r="891">
      <c r="B891" t="inlineStr">
        <is>
          <t>Sub Stat</t>
        </is>
      </c>
      <c r="C891" t="inlineStr">
        <is>
          <t>Long Shots</t>
        </is>
      </c>
      <c r="D891" t="n">
        <v>4</v>
      </c>
      <c r="E891" t="n">
        <v>80</v>
      </c>
      <c r="F891" t="inlineStr">
        <is>
          <t>+4 Long Shots 80</t>
        </is>
      </c>
      <c r="G891" t="inlineStr">
        <is>
          <t>Intro to Rewards EVOs - EA SPORTS FC 26</t>
        </is>
      </c>
      <c r="H891" t="inlineStr">
        <is>
          <t>Reward</t>
        </is>
      </c>
      <c r="I891" t="inlineStr">
        <is>
          <t>Reward</t>
        </is>
      </c>
      <c r="J891" t="inlineStr">
        <is>
          <t>https://www.fut.gg/evolutions/1214-intro-to-rewards-evos/</t>
        </is>
      </c>
    </row>
    <row r="892">
      <c r="B892" t="inlineStr">
        <is>
          <t>Sub Stat</t>
        </is>
      </c>
      <c r="C892" t="inlineStr">
        <is>
          <t>Volleys</t>
        </is>
      </c>
      <c r="D892" t="n">
        <v>3</v>
      </c>
      <c r="E892" t="n">
        <v>79</v>
      </c>
      <c r="F892" t="inlineStr">
        <is>
          <t>+3 Volleys 79</t>
        </is>
      </c>
      <c r="G892" t="inlineStr">
        <is>
          <t>Intro to Rewards EVOs - EA SPORTS FC 26</t>
        </is>
      </c>
      <c r="H892" t="inlineStr">
        <is>
          <t>Reward</t>
        </is>
      </c>
      <c r="I892" t="inlineStr">
        <is>
          <t>Reward</t>
        </is>
      </c>
      <c r="J892" t="inlineStr">
        <is>
          <t>https://www.fut.gg/evolutions/1214-intro-to-rewards-evos/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6.5"/>
  <sheetData>
    <row r="1">
      <c r="A1" t="inlineStr">
        <is>
          <t>Requirement_Category</t>
        </is>
      </c>
      <c r="B1" t="inlineStr">
        <is>
          <t>Requirement_Name</t>
        </is>
      </c>
      <c r="C1" t="inlineStr">
        <is>
          <t>Operator</t>
        </is>
      </c>
      <c r="D1" t="inlineStr">
        <is>
          <t>Value</t>
        </is>
      </c>
      <c r="E1" t="inlineStr">
        <is>
          <t>Raw_Text</t>
        </is>
      </c>
      <c r="F1" t="inlineStr">
        <is>
          <t>Evolution_Name</t>
        </is>
      </c>
      <c r="G1" t="inlineStr">
        <is>
          <t>Source_Group</t>
        </is>
      </c>
      <c r="H1" t="inlineStr">
        <is>
          <t>Category</t>
        </is>
      </c>
      <c r="I1" t="inlineStr">
        <is>
          <t>URL</t>
        </is>
      </c>
    </row>
    <row r="2">
      <c r="A2" t="inlineStr">
        <is>
          <t>OVR_Max</t>
        </is>
      </c>
      <c r="B2" t="inlineStr">
        <is>
          <t>OVR_Max</t>
        </is>
      </c>
      <c r="C2" t="inlineStr">
        <is>
          <t>Max</t>
        </is>
      </c>
      <c r="D2" t="inlineStr">
        <is>
          <t>88</t>
        </is>
      </c>
      <c r="E2" t="inlineStr">
        <is>
          <t>Overall Max. 88</t>
        </is>
      </c>
      <c r="F2" t="inlineStr">
        <is>
          <t>Rapid Gains - EA SPORTS FC 26</t>
        </is>
      </c>
      <c r="G2" t="inlineStr">
        <is>
          <t>Current</t>
        </is>
      </c>
      <c r="H2" t="inlineStr">
        <is>
          <t>Current Evolutions</t>
        </is>
      </c>
      <c r="I2" t="inlineStr">
        <is>
          <t>https://www.fut.gg/evolutions/1962-rapid-gains/</t>
        </is>
      </c>
    </row>
    <row r="3">
      <c r="A3" t="inlineStr">
        <is>
          <t>Max_PS</t>
        </is>
      </c>
      <c r="B3" t="inlineStr">
        <is>
          <t>Max_PS</t>
        </is>
      </c>
      <c r="C3" t="inlineStr">
        <is>
          <t>Max</t>
        </is>
      </c>
      <c r="D3" t="inlineStr">
        <is>
          <t>10</t>
        </is>
      </c>
      <c r="E3" t="inlineStr">
        <is>
          <t>Max PS 10</t>
        </is>
      </c>
      <c r="F3" t="inlineStr">
        <is>
          <t>Rapid Gains - EA SPORTS FC 26</t>
        </is>
      </c>
      <c r="G3" t="inlineStr">
        <is>
          <t>Current</t>
        </is>
      </c>
      <c r="H3" t="inlineStr">
        <is>
          <t>Current Evolutions</t>
        </is>
      </c>
      <c r="I3" t="inlineStr">
        <is>
          <t>https://www.fut.gg/evolutions/1962-rapid-gains/</t>
        </is>
      </c>
    </row>
    <row r="4">
      <c r="A4" t="inlineStr">
        <is>
          <t>Excluded_Rarity</t>
        </is>
      </c>
      <c r="B4" t="inlineStr">
        <is>
          <t>Excluded Rarity</t>
        </is>
      </c>
      <c r="C4" t="inlineStr">
        <is>
          <t>Exclude</t>
        </is>
      </c>
      <c r="D4" t="inlineStr">
        <is>
          <t>World Tour Silver Stars</t>
        </is>
      </c>
      <c r="E4" t="inlineStr">
        <is>
          <t>Excluded Rarity World Tour Silver Stars</t>
        </is>
      </c>
      <c r="F4" t="inlineStr">
        <is>
          <t>Rapid Gains - EA SPORTS FC 26</t>
        </is>
      </c>
      <c r="G4" t="inlineStr">
        <is>
          <t>Current</t>
        </is>
      </c>
      <c r="H4" t="inlineStr">
        <is>
          <t>Current Evolutions</t>
        </is>
      </c>
      <c r="I4" t="inlineStr">
        <is>
          <t>https://www.fut.gg/evolutions/1962-rapid-gains/</t>
        </is>
      </c>
    </row>
    <row r="5">
      <c r="A5" t="inlineStr">
        <is>
          <t>Rarity</t>
        </is>
      </c>
      <c r="B5" t="inlineStr">
        <is>
          <t>Rarity</t>
        </is>
      </c>
      <c r="C5" t="inlineStr">
        <is>
          <t>Include</t>
        </is>
      </c>
      <c r="D5" t="inlineStr">
        <is>
          <t>World Tour Silver Stars</t>
        </is>
      </c>
      <c r="E5" t="inlineStr">
        <is>
          <t>Rarity World Tour Silver Stars</t>
        </is>
      </c>
      <c r="F5" t="inlineStr">
        <is>
          <t>Rapid Gains - EA SPORTS FC 26</t>
        </is>
      </c>
      <c r="G5" t="inlineStr">
        <is>
          <t>Current</t>
        </is>
      </c>
      <c r="H5" t="inlineStr">
        <is>
          <t>Current Evolutions</t>
        </is>
      </c>
      <c r="I5" t="inlineStr">
        <is>
          <t>https://www.fut.gg/evolutions/1962-rapid-gains/</t>
        </is>
      </c>
    </row>
    <row r="6">
      <c r="A6" t="inlineStr">
        <is>
          <t>OVR_Max</t>
        </is>
      </c>
      <c r="B6" t="inlineStr">
        <is>
          <t>OVR_Max</t>
        </is>
      </c>
      <c r="C6" t="inlineStr">
        <is>
          <t>Max</t>
        </is>
      </c>
      <c r="D6" t="inlineStr">
        <is>
          <t>88</t>
        </is>
      </c>
      <c r="E6" t="inlineStr">
        <is>
          <t>Overall Max. 88</t>
        </is>
      </c>
      <c r="F6" t="inlineStr">
        <is>
          <t>Tie Interceptor - EA SPORTS FC 26</t>
        </is>
      </c>
      <c r="G6" t="inlineStr">
        <is>
          <t>Current</t>
        </is>
      </c>
      <c r="H6" t="inlineStr">
        <is>
          <t>Current Evolutions</t>
        </is>
      </c>
      <c r="I6" t="inlineStr">
        <is>
          <t>https://www.fut.gg/evolutions/1954-tie-interceptor/</t>
        </is>
      </c>
    </row>
    <row r="7">
      <c r="A7" t="inlineStr">
        <is>
          <t>Max_PS_Plus</t>
        </is>
      </c>
      <c r="B7" t="inlineStr">
        <is>
          <t>Max_PS_Plus</t>
        </is>
      </c>
      <c r="C7" t="inlineStr">
        <is>
          <t>Max</t>
        </is>
      </c>
      <c r="D7" t="inlineStr">
        <is>
          <t>2</t>
        </is>
      </c>
      <c r="E7" t="inlineStr">
        <is>
          <t>Max PS+ 2</t>
        </is>
      </c>
      <c r="F7" t="inlineStr">
        <is>
          <t>Tie Interceptor - EA SPORTS FC 26</t>
        </is>
      </c>
      <c r="G7" t="inlineStr">
        <is>
          <t>Current</t>
        </is>
      </c>
      <c r="H7" t="inlineStr">
        <is>
          <t>Current Evolutions</t>
        </is>
      </c>
      <c r="I7" t="inlineStr">
        <is>
          <t>https://www.fut.gg/evolutions/1954-tie-interceptor/</t>
        </is>
      </c>
    </row>
    <row r="8">
      <c r="A8" t="inlineStr">
        <is>
          <t>Max_PS</t>
        </is>
      </c>
      <c r="B8" t="inlineStr">
        <is>
          <t>Max_PS</t>
        </is>
      </c>
      <c r="C8" t="inlineStr">
        <is>
          <t>Max</t>
        </is>
      </c>
      <c r="D8" t="inlineStr">
        <is>
          <t>10</t>
        </is>
      </c>
      <c r="E8" t="inlineStr">
        <is>
          <t>Max PS 10</t>
        </is>
      </c>
      <c r="F8" t="inlineStr">
        <is>
          <t>Tie Interceptor - EA SPORTS FC 26</t>
        </is>
      </c>
      <c r="G8" t="inlineStr">
        <is>
          <t>Current</t>
        </is>
      </c>
      <c r="H8" t="inlineStr">
        <is>
          <t>Current Evolutions</t>
        </is>
      </c>
      <c r="I8" t="inlineStr">
        <is>
          <t>https://www.fut.gg/evolutions/1954-tie-interceptor/</t>
        </is>
      </c>
    </row>
    <row r="9">
      <c r="A9" t="inlineStr">
        <is>
          <t>Excluded_Rarity</t>
        </is>
      </c>
      <c r="B9" t="inlineStr">
        <is>
          <t>Excluded Rarity</t>
        </is>
      </c>
      <c r="C9" t="inlineStr">
        <is>
          <t>Exclude</t>
        </is>
      </c>
      <c r="D9" t="inlineStr">
        <is>
          <t>World Tour Silver Stars</t>
        </is>
      </c>
      <c r="E9" t="inlineStr">
        <is>
          <t>Excluded Rarity World Tour Silver Stars</t>
        </is>
      </c>
      <c r="F9" t="inlineStr">
        <is>
          <t>Tie Interceptor - EA SPORTS FC 26</t>
        </is>
      </c>
      <c r="G9" t="inlineStr">
        <is>
          <t>Current</t>
        </is>
      </c>
      <c r="H9" t="inlineStr">
        <is>
          <t>Current Evolutions</t>
        </is>
      </c>
      <c r="I9" t="inlineStr">
        <is>
          <t>https://www.fut.gg/evolutions/1954-tie-interceptor/</t>
        </is>
      </c>
    </row>
    <row r="10">
      <c r="A10" t="inlineStr">
        <is>
          <t>Rarity</t>
        </is>
      </c>
      <c r="B10" t="inlineStr">
        <is>
          <t>Rarity</t>
        </is>
      </c>
      <c r="C10" t="inlineStr">
        <is>
          <t>Include</t>
        </is>
      </c>
      <c r="D10" t="inlineStr">
        <is>
          <t>World Tour Silver Stars</t>
        </is>
      </c>
      <c r="E10" t="inlineStr">
        <is>
          <t>Rarity World Tour Silver Stars</t>
        </is>
      </c>
      <c r="F10" t="inlineStr">
        <is>
          <t>Tie Interceptor - EA SPORTS FC 26</t>
        </is>
      </c>
      <c r="G10" t="inlineStr">
        <is>
          <t>Current</t>
        </is>
      </c>
      <c r="H10" t="inlineStr">
        <is>
          <t>Current Evolutions</t>
        </is>
      </c>
      <c r="I10" t="inlineStr">
        <is>
          <t>https://www.fut.gg/evolutions/1954-tie-interceptor/</t>
        </is>
      </c>
    </row>
    <row r="11">
      <c r="A11" t="inlineStr">
        <is>
          <t>OVR_Max</t>
        </is>
      </c>
      <c r="B11" t="inlineStr">
        <is>
          <t>OVR_Max</t>
        </is>
      </c>
      <c r="C11" t="inlineStr">
        <is>
          <t>Max</t>
        </is>
      </c>
      <c r="D11" t="inlineStr">
        <is>
          <t>89</t>
        </is>
      </c>
      <c r="E11" t="inlineStr">
        <is>
          <t>Overall Max. 89</t>
        </is>
      </c>
      <c r="F11" t="inlineStr">
        <is>
          <t>The Trailblazer - EA SPORTS FC 26</t>
        </is>
      </c>
      <c r="G11" t="inlineStr">
        <is>
          <t>Current</t>
        </is>
      </c>
      <c r="H11" t="inlineStr">
        <is>
          <t>Current Evolutions</t>
        </is>
      </c>
      <c r="I11" t="inlineStr">
        <is>
          <t>https://www.fut.gg/evolutions/1953-the-trailblazer/</t>
        </is>
      </c>
    </row>
    <row r="12">
      <c r="A12" t="inlineStr">
        <is>
          <t>Max_PS_Plus</t>
        </is>
      </c>
      <c r="B12" t="inlineStr">
        <is>
          <t>Max_PS_Plus</t>
        </is>
      </c>
      <c r="C12" t="inlineStr">
        <is>
          <t>Max</t>
        </is>
      </c>
      <c r="D12" t="inlineStr">
        <is>
          <t>2</t>
        </is>
      </c>
      <c r="E12" t="inlineStr">
        <is>
          <t>Max PS+ 2</t>
        </is>
      </c>
      <c r="F12" t="inlineStr">
        <is>
          <t>The Trailblazer - EA SPORTS FC 26</t>
        </is>
      </c>
      <c r="G12" t="inlineStr">
        <is>
          <t>Current</t>
        </is>
      </c>
      <c r="H12" t="inlineStr">
        <is>
          <t>Current Evolutions</t>
        </is>
      </c>
      <c r="I12" t="inlineStr">
        <is>
          <t>https://www.fut.gg/evolutions/1953-the-trailblazer/</t>
        </is>
      </c>
    </row>
    <row r="13">
      <c r="A13" t="inlineStr">
        <is>
          <t>Max_PS</t>
        </is>
      </c>
      <c r="B13" t="inlineStr">
        <is>
          <t>Max_PS</t>
        </is>
      </c>
      <c r="C13" t="inlineStr">
        <is>
          <t>Max</t>
        </is>
      </c>
      <c r="D13" t="inlineStr">
        <is>
          <t>10</t>
        </is>
      </c>
      <c r="E13" t="inlineStr">
        <is>
          <t>Max PS 10</t>
        </is>
      </c>
      <c r="F13" t="inlineStr">
        <is>
          <t>The Trailblazer - EA SPORTS FC 26</t>
        </is>
      </c>
      <c r="G13" t="inlineStr">
        <is>
          <t>Current</t>
        </is>
      </c>
      <c r="H13" t="inlineStr">
        <is>
          <t>Current Evolutions</t>
        </is>
      </c>
      <c r="I13" t="inlineStr">
        <is>
          <t>https://www.fut.gg/evolutions/1953-the-trailblazer/</t>
        </is>
      </c>
    </row>
    <row r="14">
      <c r="A14" t="inlineStr">
        <is>
          <t>Excluded_Position</t>
        </is>
      </c>
      <c r="B14" t="inlineStr">
        <is>
          <t>Excluded Position</t>
        </is>
      </c>
      <c r="C14" t="inlineStr">
        <is>
          <t>Exclude</t>
        </is>
      </c>
      <c r="D14" t="inlineStr">
        <is>
          <t>CB</t>
        </is>
      </c>
      <c r="E14" t="inlineStr">
        <is>
          <t>Excluded Position CB</t>
        </is>
      </c>
      <c r="F14" t="inlineStr">
        <is>
          <t>The Trailblazer - EA SPORTS FC 26</t>
        </is>
      </c>
      <c r="G14" t="inlineStr">
        <is>
          <t>Current</t>
        </is>
      </c>
      <c r="H14" t="inlineStr">
        <is>
          <t>Current Evolutions</t>
        </is>
      </c>
      <c r="I14" t="inlineStr">
        <is>
          <t>https://www.fut.gg/evolutions/1953-the-trailblazer/</t>
        </is>
      </c>
    </row>
    <row r="15">
      <c r="A15" t="inlineStr">
        <is>
          <t>Position</t>
        </is>
      </c>
      <c r="B15" t="inlineStr">
        <is>
          <t>Position</t>
        </is>
      </c>
      <c r="C15" t="inlineStr">
        <is>
          <t>Include</t>
        </is>
      </c>
      <c r="D15" t="inlineStr">
        <is>
          <t>RB</t>
        </is>
      </c>
      <c r="E15" t="inlineStr">
        <is>
          <t>Position RB</t>
        </is>
      </c>
      <c r="F15" t="inlineStr">
        <is>
          <t>The Trailblazer - EA SPORTS FC 26</t>
        </is>
      </c>
      <c r="G15" t="inlineStr">
        <is>
          <t>Current</t>
        </is>
      </c>
      <c r="H15" t="inlineStr">
        <is>
          <t>Current Evolutions</t>
        </is>
      </c>
      <c r="I15" t="inlineStr">
        <is>
          <t>https://www.fut.gg/evolutions/1953-the-trailblazer/</t>
        </is>
      </c>
    </row>
    <row r="16">
      <c r="A16" t="inlineStr">
        <is>
          <t>Excluded_Rarity</t>
        </is>
      </c>
      <c r="B16" t="inlineStr">
        <is>
          <t>Excluded Rarity</t>
        </is>
      </c>
      <c r="C16" t="inlineStr">
        <is>
          <t>Exclude</t>
        </is>
      </c>
      <c r="D16" t="inlineStr">
        <is>
          <t>World Tour Silver Stars</t>
        </is>
      </c>
      <c r="E16" t="inlineStr">
        <is>
          <t>Excluded Rarity World Tour Silver Stars</t>
        </is>
      </c>
      <c r="F16" t="inlineStr">
        <is>
          <t>The Trailblazer - EA SPORTS FC 26</t>
        </is>
      </c>
      <c r="G16" t="inlineStr">
        <is>
          <t>Current</t>
        </is>
      </c>
      <c r="H16" t="inlineStr">
        <is>
          <t>Current Evolutions</t>
        </is>
      </c>
      <c r="I16" t="inlineStr">
        <is>
          <t>https://www.fut.gg/evolutions/1953-the-trailblazer/</t>
        </is>
      </c>
    </row>
    <row r="17">
      <c r="A17" t="inlineStr">
        <is>
          <t>Rarity</t>
        </is>
      </c>
      <c r="B17" t="inlineStr">
        <is>
          <t>Rarity</t>
        </is>
      </c>
      <c r="C17" t="inlineStr">
        <is>
          <t>Include</t>
        </is>
      </c>
      <c r="D17" t="inlineStr">
        <is>
          <t>World Tour Silver Stars</t>
        </is>
      </c>
      <c r="E17" t="inlineStr">
        <is>
          <t>Rarity World Tour Silver Stars</t>
        </is>
      </c>
      <c r="F17" t="inlineStr">
        <is>
          <t>The Trailblazer - EA SPORTS FC 26</t>
        </is>
      </c>
      <c r="G17" t="inlineStr">
        <is>
          <t>Current</t>
        </is>
      </c>
      <c r="H17" t="inlineStr">
        <is>
          <t>Current Evolutions</t>
        </is>
      </c>
      <c r="I17" t="inlineStr">
        <is>
          <t>https://www.fut.gg/evolutions/1953-the-trailblazer/</t>
        </is>
      </c>
    </row>
    <row r="18">
      <c r="A18" t="inlineStr">
        <is>
          <t>OVR_Max</t>
        </is>
      </c>
      <c r="B18" t="inlineStr">
        <is>
          <t>OVR_Max</t>
        </is>
      </c>
      <c r="C18" t="inlineStr">
        <is>
          <t>Max</t>
        </is>
      </c>
      <c r="D18" t="inlineStr">
        <is>
          <t>88</t>
        </is>
      </c>
      <c r="E18" t="inlineStr">
        <is>
          <t>Overall Max. 88</t>
        </is>
      </c>
      <c r="F18" t="inlineStr">
        <is>
          <t>Fountain of Youth - EA SPORTS FC 26</t>
        </is>
      </c>
      <c r="G18" t="inlineStr">
        <is>
          <t>Current</t>
        </is>
      </c>
      <c r="H18" t="inlineStr">
        <is>
          <t>Current Evolutions</t>
        </is>
      </c>
      <c r="I18" t="inlineStr">
        <is>
          <t>https://www.fut.gg/evolutions/1951-fountain-of-youth/</t>
        </is>
      </c>
    </row>
    <row r="19">
      <c r="A19" t="inlineStr">
        <is>
          <t>Born_Before</t>
        </is>
      </c>
      <c r="B19" t="inlineStr">
        <is>
          <t>Born_Before</t>
        </is>
      </c>
      <c r="C19" t="inlineStr">
        <is>
          <t>Value</t>
        </is>
      </c>
      <c r="D19" t="inlineStr">
        <is>
          <t>1996-04-25</t>
        </is>
      </c>
      <c r="E19" t="inlineStr">
        <is>
          <t>Born Before 1996-04-25</t>
        </is>
      </c>
      <c r="F19" t="inlineStr">
        <is>
          <t>Fountain of Youth - EA SPORTS FC 26</t>
        </is>
      </c>
      <c r="G19" t="inlineStr">
        <is>
          <t>Current</t>
        </is>
      </c>
      <c r="H19" t="inlineStr">
        <is>
          <t>Current Evolutions</t>
        </is>
      </c>
      <c r="I19" t="inlineStr">
        <is>
          <t>https://www.fut.gg/evolutions/1951-fountain-of-youth/</t>
        </is>
      </c>
    </row>
    <row r="20">
      <c r="A20" t="inlineStr">
        <is>
          <t>Excluded_Rarity</t>
        </is>
      </c>
      <c r="B20" t="inlineStr">
        <is>
          <t>Excluded Rarity</t>
        </is>
      </c>
      <c r="C20" t="inlineStr">
        <is>
          <t>Exclude</t>
        </is>
      </c>
      <c r="D20" t="inlineStr">
        <is>
          <t>World Tour Silver Stars</t>
        </is>
      </c>
      <c r="E20" t="inlineStr">
        <is>
          <t>Excluded Rarity World Tour Silver Stars</t>
        </is>
      </c>
      <c r="F20" t="inlineStr">
        <is>
          <t>Fountain of Youth - EA SPORTS FC 26</t>
        </is>
      </c>
      <c r="G20" t="inlineStr">
        <is>
          <t>Current</t>
        </is>
      </c>
      <c r="H20" t="inlineStr">
        <is>
          <t>Current Evolutions</t>
        </is>
      </c>
      <c r="I20" t="inlineStr">
        <is>
          <t>https://www.fut.gg/evolutions/1951-fountain-of-youth/</t>
        </is>
      </c>
    </row>
    <row r="21">
      <c r="A21" t="inlineStr">
        <is>
          <t>Rarity</t>
        </is>
      </c>
      <c r="B21" t="inlineStr">
        <is>
          <t>Rarity</t>
        </is>
      </c>
      <c r="C21" t="inlineStr">
        <is>
          <t>Include</t>
        </is>
      </c>
      <c r="D21" t="inlineStr">
        <is>
          <t>World Tour Silver Stars</t>
        </is>
      </c>
      <c r="E21" t="inlineStr">
        <is>
          <t>Rarity World Tour Silver Stars</t>
        </is>
      </c>
      <c r="F21" t="inlineStr">
        <is>
          <t>Fountain of Youth - EA SPORTS FC 26</t>
        </is>
      </c>
      <c r="G21" t="inlineStr">
        <is>
          <t>Current</t>
        </is>
      </c>
      <c r="H21" t="inlineStr">
        <is>
          <t>Current Evolutions</t>
        </is>
      </c>
      <c r="I21" t="inlineStr">
        <is>
          <t>https://www.fut.gg/evolutions/1951-fountain-of-youth/</t>
        </is>
      </c>
    </row>
    <row r="22">
      <c r="A22" t="inlineStr">
        <is>
          <t>OVR_Max</t>
        </is>
      </c>
      <c r="B22" t="inlineStr">
        <is>
          <t>OVR_Max</t>
        </is>
      </c>
      <c r="C22" t="inlineStr">
        <is>
          <t>Max</t>
        </is>
      </c>
      <c r="D22" t="inlineStr">
        <is>
          <t>90</t>
        </is>
      </c>
      <c r="E22" t="inlineStr">
        <is>
          <t>Overall Max. 90</t>
        </is>
      </c>
      <c r="F22" t="inlineStr">
        <is>
          <t>The King of Highbury - EA SPORTS FC 26</t>
        </is>
      </c>
      <c r="G22" t="inlineStr">
        <is>
          <t>Current</t>
        </is>
      </c>
      <c r="H22" t="inlineStr">
        <is>
          <t>Current Evolutions</t>
        </is>
      </c>
      <c r="I22" t="inlineStr">
        <is>
          <t>https://www.fut.gg/evolutions/1939-the-king-of-highbury/</t>
        </is>
      </c>
    </row>
    <row r="23">
      <c r="A23" t="inlineStr">
        <is>
          <t>PAC_Max</t>
        </is>
      </c>
      <c r="B23" t="inlineStr">
        <is>
          <t>PAC_Max</t>
        </is>
      </c>
      <c r="C23" t="inlineStr">
        <is>
          <t>Max</t>
        </is>
      </c>
      <c r="D23" t="inlineStr">
        <is>
          <t>95</t>
        </is>
      </c>
      <c r="E23" t="inlineStr">
        <is>
          <t>Pace Max. 95</t>
        </is>
      </c>
      <c r="F23" t="inlineStr">
        <is>
          <t>The King of Highbury - EA SPORTS FC 26</t>
        </is>
      </c>
      <c r="G23" t="inlineStr">
        <is>
          <t>Current</t>
        </is>
      </c>
      <c r="H23" t="inlineStr">
        <is>
          <t>Current Evolutions</t>
        </is>
      </c>
      <c r="I23" t="inlineStr">
        <is>
          <t>https://www.fut.gg/evolutions/1939-the-king-of-highbury/</t>
        </is>
      </c>
    </row>
    <row r="24">
      <c r="A24" t="inlineStr">
        <is>
          <t>Max_PS_Plus</t>
        </is>
      </c>
      <c r="B24" t="inlineStr">
        <is>
          <t>Max_PS_Plus</t>
        </is>
      </c>
      <c r="C24" t="inlineStr">
        <is>
          <t>Max</t>
        </is>
      </c>
      <c r="D24" t="inlineStr">
        <is>
          <t>2</t>
        </is>
      </c>
      <c r="E24" t="inlineStr">
        <is>
          <t>Max PS+ 2</t>
        </is>
      </c>
      <c r="F24" t="inlineStr">
        <is>
          <t>The King of Highbury - EA SPORTS FC 26</t>
        </is>
      </c>
      <c r="G24" t="inlineStr">
        <is>
          <t>Current</t>
        </is>
      </c>
      <c r="H24" t="inlineStr">
        <is>
          <t>Current Evolutions</t>
        </is>
      </c>
      <c r="I24" t="inlineStr">
        <is>
          <t>https://www.fut.gg/evolutions/1939-the-king-of-highbury/</t>
        </is>
      </c>
    </row>
    <row r="25">
      <c r="A25" t="inlineStr">
        <is>
          <t>Max_PS</t>
        </is>
      </c>
      <c r="B25" t="inlineStr">
        <is>
          <t>Max_PS</t>
        </is>
      </c>
      <c r="C25" t="inlineStr">
        <is>
          <t>Max</t>
        </is>
      </c>
      <c r="D25" t="inlineStr">
        <is>
          <t>10</t>
        </is>
      </c>
      <c r="E25" t="inlineStr">
        <is>
          <t>Max PS 10</t>
        </is>
      </c>
      <c r="F25" t="inlineStr">
        <is>
          <t>The King of Highbury - EA SPORTS FC 26</t>
        </is>
      </c>
      <c r="G25" t="inlineStr">
        <is>
          <t>Current</t>
        </is>
      </c>
      <c r="H25" t="inlineStr">
        <is>
          <t>Current Evolutions</t>
        </is>
      </c>
      <c r="I25" t="inlineStr">
        <is>
          <t>https://www.fut.gg/evolutions/1939-the-king-of-highbury/</t>
        </is>
      </c>
    </row>
    <row r="26">
      <c r="A26" t="inlineStr">
        <is>
          <t>Position</t>
        </is>
      </c>
      <c r="B26" t="inlineStr">
        <is>
          <t>Position</t>
        </is>
      </c>
      <c r="C26" t="inlineStr">
        <is>
          <t>Include</t>
        </is>
      </c>
      <c r="D26" t="inlineStr">
        <is>
          <t>ST, LW</t>
        </is>
      </c>
      <c r="E26" t="inlineStr">
        <is>
          <t>Position ST, LW</t>
        </is>
      </c>
      <c r="F26" t="inlineStr">
        <is>
          <t>The King of Highbury - EA SPORTS FC 26</t>
        </is>
      </c>
      <c r="G26" t="inlineStr">
        <is>
          <t>Current</t>
        </is>
      </c>
      <c r="H26" t="inlineStr">
        <is>
          <t>Current Evolutions</t>
        </is>
      </c>
      <c r="I26" t="inlineStr">
        <is>
          <t>https://www.fut.gg/evolutions/1939-the-king-of-highbury/</t>
        </is>
      </c>
    </row>
    <row r="27">
      <c r="A27" t="inlineStr">
        <is>
          <t>Excluded_Rarity</t>
        </is>
      </c>
      <c r="B27" t="inlineStr">
        <is>
          <t>Excluded Rarity</t>
        </is>
      </c>
      <c r="C27" t="inlineStr">
        <is>
          <t>Exclude</t>
        </is>
      </c>
      <c r="D27" t="inlineStr">
        <is>
          <t>World Tour Silver Stars</t>
        </is>
      </c>
      <c r="E27" t="inlineStr">
        <is>
          <t>Excluded Rarity World Tour Silver Stars</t>
        </is>
      </c>
      <c r="F27" t="inlineStr">
        <is>
          <t>The King of Highbury - EA SPORTS FC 26</t>
        </is>
      </c>
      <c r="G27" t="inlineStr">
        <is>
          <t>Current</t>
        </is>
      </c>
      <c r="H27" t="inlineStr">
        <is>
          <t>Current Evolutions</t>
        </is>
      </c>
      <c r="I27" t="inlineStr">
        <is>
          <t>https://www.fut.gg/evolutions/1939-the-king-of-highbury/</t>
        </is>
      </c>
    </row>
    <row r="28">
      <c r="A28" t="inlineStr">
        <is>
          <t>Rarity</t>
        </is>
      </c>
      <c r="B28" t="inlineStr">
        <is>
          <t>Rarity</t>
        </is>
      </c>
      <c r="C28" t="inlineStr">
        <is>
          <t>Include</t>
        </is>
      </c>
      <c r="D28" t="inlineStr">
        <is>
          <t>World Tour Silver Stars</t>
        </is>
      </c>
      <c r="E28" t="inlineStr">
        <is>
          <t>Rarity World Tour Silver Stars</t>
        </is>
      </c>
      <c r="F28" t="inlineStr">
        <is>
          <t>The King of Highbury - EA SPORTS FC 26</t>
        </is>
      </c>
      <c r="G28" t="inlineStr">
        <is>
          <t>Current</t>
        </is>
      </c>
      <c r="H28" t="inlineStr">
        <is>
          <t>Current Evolutions</t>
        </is>
      </c>
      <c r="I28" t="inlineStr">
        <is>
          <t>https://www.fut.gg/evolutions/1939-the-king-of-highbury/</t>
        </is>
      </c>
    </row>
    <row r="29">
      <c r="A29" t="inlineStr">
        <is>
          <t>OVR_Max</t>
        </is>
      </c>
      <c r="B29" t="inlineStr">
        <is>
          <t>OVR_Max</t>
        </is>
      </c>
      <c r="C29" t="inlineStr">
        <is>
          <t>Max</t>
        </is>
      </c>
      <c r="D29" t="inlineStr">
        <is>
          <t>88</t>
        </is>
      </c>
      <c r="E29" t="inlineStr">
        <is>
          <t>Overall Max. 88</t>
        </is>
      </c>
      <c r="F29" t="inlineStr">
        <is>
          <t>Power Up - EA SPORTS FC 26</t>
        </is>
      </c>
      <c r="G29" t="inlineStr">
        <is>
          <t>Current</t>
        </is>
      </c>
      <c r="H29" t="inlineStr">
        <is>
          <t>Current Evolutions</t>
        </is>
      </c>
      <c r="I29" t="inlineStr">
        <is>
          <t>https://www.fut.gg/evolutions/1938-power-up/</t>
        </is>
      </c>
    </row>
    <row r="30">
      <c r="A30" t="inlineStr">
        <is>
          <t>Max_PS</t>
        </is>
      </c>
      <c r="B30" t="inlineStr">
        <is>
          <t>Max_PS</t>
        </is>
      </c>
      <c r="C30" t="inlineStr">
        <is>
          <t>Max</t>
        </is>
      </c>
      <c r="D30" t="inlineStr">
        <is>
          <t>10</t>
        </is>
      </c>
      <c r="E30" t="inlineStr">
        <is>
          <t>Max PS 10</t>
        </is>
      </c>
      <c r="F30" t="inlineStr">
        <is>
          <t>Power Up - EA SPORTS FC 26</t>
        </is>
      </c>
      <c r="G30" t="inlineStr">
        <is>
          <t>Current</t>
        </is>
      </c>
      <c r="H30" t="inlineStr">
        <is>
          <t>Current Evolutions</t>
        </is>
      </c>
      <c r="I30" t="inlineStr">
        <is>
          <t>https://www.fut.gg/evolutions/1938-power-up/</t>
        </is>
      </c>
    </row>
    <row r="31">
      <c r="A31" t="inlineStr">
        <is>
          <t>Excluded_Rarity</t>
        </is>
      </c>
      <c r="B31" t="inlineStr">
        <is>
          <t>Excluded Rarity</t>
        </is>
      </c>
      <c r="C31" t="inlineStr">
        <is>
          <t>Exclude</t>
        </is>
      </c>
      <c r="D31" t="inlineStr">
        <is>
          <t>World Tour Silver Stars</t>
        </is>
      </c>
      <c r="E31" t="inlineStr">
        <is>
          <t>Excluded Rarity World Tour Silver Stars</t>
        </is>
      </c>
      <c r="F31" t="inlineStr">
        <is>
          <t>Power Up - EA SPORTS FC 26</t>
        </is>
      </c>
      <c r="G31" t="inlineStr">
        <is>
          <t>Current</t>
        </is>
      </c>
      <c r="H31" t="inlineStr">
        <is>
          <t>Current Evolutions</t>
        </is>
      </c>
      <c r="I31" t="inlineStr">
        <is>
          <t>https://www.fut.gg/evolutions/1938-power-up/</t>
        </is>
      </c>
    </row>
    <row r="32">
      <c r="A32" t="inlineStr">
        <is>
          <t>Rarity</t>
        </is>
      </c>
      <c r="B32" t="inlineStr">
        <is>
          <t>Rarity</t>
        </is>
      </c>
      <c r="C32" t="inlineStr">
        <is>
          <t>Include</t>
        </is>
      </c>
      <c r="D32" t="inlineStr">
        <is>
          <t>World Tour Silver Stars</t>
        </is>
      </c>
      <c r="E32" t="inlineStr">
        <is>
          <t>Rarity World Tour Silver Stars</t>
        </is>
      </c>
      <c r="F32" t="inlineStr">
        <is>
          <t>Power Up - EA SPORTS FC 26</t>
        </is>
      </c>
      <c r="G32" t="inlineStr">
        <is>
          <t>Current</t>
        </is>
      </c>
      <c r="H32" t="inlineStr">
        <is>
          <t>Current Evolutions</t>
        </is>
      </c>
      <c r="I32" t="inlineStr">
        <is>
          <t>https://www.fut.gg/evolutions/1938-power-up/</t>
        </is>
      </c>
    </row>
    <row r="33">
      <c r="A33" t="inlineStr">
        <is>
          <t>OVR_Max</t>
        </is>
      </c>
      <c r="B33" t="inlineStr">
        <is>
          <t>OVR_Max</t>
        </is>
      </c>
      <c r="C33" t="inlineStr">
        <is>
          <t>Max</t>
        </is>
      </c>
      <c r="D33" t="inlineStr">
        <is>
          <t>88</t>
        </is>
      </c>
      <c r="E33" t="inlineStr">
        <is>
          <t>Overall Max. 88</t>
        </is>
      </c>
      <c r="F33" t="inlineStr">
        <is>
          <t>Back on Track - EA SPORTS FC 26</t>
        </is>
      </c>
      <c r="G33" t="inlineStr">
        <is>
          <t>Current</t>
        </is>
      </c>
      <c r="H33" t="inlineStr">
        <is>
          <t>Current Evolutions</t>
        </is>
      </c>
      <c r="I33" t="inlineStr">
        <is>
          <t>https://www.fut.gg/evolutions/1937-back-on-track/</t>
        </is>
      </c>
    </row>
    <row r="34">
      <c r="A34" t="inlineStr">
        <is>
          <t>Max_PS</t>
        </is>
      </c>
      <c r="B34" t="inlineStr">
        <is>
          <t>Max_PS</t>
        </is>
      </c>
      <c r="C34" t="inlineStr">
        <is>
          <t>Max</t>
        </is>
      </c>
      <c r="D34" t="inlineStr">
        <is>
          <t>10</t>
        </is>
      </c>
      <c r="E34" t="inlineStr">
        <is>
          <t>Max PS 10</t>
        </is>
      </c>
      <c r="F34" t="inlineStr">
        <is>
          <t>Back on Track - EA SPORTS FC 26</t>
        </is>
      </c>
      <c r="G34" t="inlineStr">
        <is>
          <t>Current</t>
        </is>
      </c>
      <c r="H34" t="inlineStr">
        <is>
          <t>Current Evolutions</t>
        </is>
      </c>
      <c r="I34" t="inlineStr">
        <is>
          <t>https://www.fut.gg/evolutions/1937-back-on-track/</t>
        </is>
      </c>
    </row>
    <row r="35">
      <c r="A35" t="inlineStr">
        <is>
          <t>Excluded_Rarity</t>
        </is>
      </c>
      <c r="B35" t="inlineStr">
        <is>
          <t>Excluded Rarity</t>
        </is>
      </c>
      <c r="C35" t="inlineStr">
        <is>
          <t>Exclude</t>
        </is>
      </c>
      <c r="D35" t="inlineStr">
        <is>
          <t>World Tour Silver Stars</t>
        </is>
      </c>
      <c r="E35" t="inlineStr">
        <is>
          <t>Excluded Rarity World Tour Silver Stars</t>
        </is>
      </c>
      <c r="F35" t="inlineStr">
        <is>
          <t>Back on Track - EA SPORTS FC 26</t>
        </is>
      </c>
      <c r="G35" t="inlineStr">
        <is>
          <t>Current</t>
        </is>
      </c>
      <c r="H35" t="inlineStr">
        <is>
          <t>Current Evolutions</t>
        </is>
      </c>
      <c r="I35" t="inlineStr">
        <is>
          <t>https://www.fut.gg/evolutions/1937-back-on-track/</t>
        </is>
      </c>
    </row>
    <row r="36">
      <c r="A36" t="inlineStr">
        <is>
          <t>Rarity</t>
        </is>
      </c>
      <c r="B36" t="inlineStr">
        <is>
          <t>Rarity</t>
        </is>
      </c>
      <c r="C36" t="inlineStr">
        <is>
          <t>Include</t>
        </is>
      </c>
      <c r="D36" t="inlineStr">
        <is>
          <t>World Tour Silver Stars</t>
        </is>
      </c>
      <c r="E36" t="inlineStr">
        <is>
          <t>Rarity World Tour Silver Stars</t>
        </is>
      </c>
      <c r="F36" t="inlineStr">
        <is>
          <t>Back on Track - EA SPORTS FC 26</t>
        </is>
      </c>
      <c r="G36" t="inlineStr">
        <is>
          <t>Current</t>
        </is>
      </c>
      <c r="H36" t="inlineStr">
        <is>
          <t>Current Evolutions</t>
        </is>
      </c>
      <c r="I36" t="inlineStr">
        <is>
          <t>https://www.fut.gg/evolutions/1937-back-on-track/</t>
        </is>
      </c>
    </row>
    <row r="37">
      <c r="A37" t="inlineStr">
        <is>
          <t>OVR_Max</t>
        </is>
      </c>
      <c r="B37" t="inlineStr">
        <is>
          <t>OVR_Max</t>
        </is>
      </c>
      <c r="C37" t="inlineStr">
        <is>
          <t>Max</t>
        </is>
      </c>
      <c r="D37" t="inlineStr">
        <is>
          <t>88</t>
        </is>
      </c>
      <c r="E37" t="inlineStr">
        <is>
          <t>Overall Max. 88</t>
        </is>
      </c>
      <c r="F37" t="inlineStr">
        <is>
          <t>Columbus Conductor - EA SPORTS FC 26</t>
        </is>
      </c>
      <c r="G37" t="inlineStr">
        <is>
          <t>Current</t>
        </is>
      </c>
      <c r="H37" t="inlineStr">
        <is>
          <t>Current Evolutions</t>
        </is>
      </c>
      <c r="I37" t="inlineStr">
        <is>
          <t>https://www.fut.gg/evolutions/1922-columbus-conductor/</t>
        </is>
      </c>
    </row>
    <row r="38">
      <c r="A38" t="inlineStr">
        <is>
          <t>DEF_Max</t>
        </is>
      </c>
      <c r="B38" t="inlineStr">
        <is>
          <t>DEF_Max</t>
        </is>
      </c>
      <c r="C38" t="inlineStr">
        <is>
          <t>Max</t>
        </is>
      </c>
      <c r="D38" t="inlineStr">
        <is>
          <t>98</t>
        </is>
      </c>
      <c r="E38" t="inlineStr">
        <is>
          <t>Defending Max. 98</t>
        </is>
      </c>
      <c r="F38" t="inlineStr">
        <is>
          <t>Columbus Conductor - EA SPORTS FC 26</t>
        </is>
      </c>
      <c r="G38" t="inlineStr">
        <is>
          <t>Current</t>
        </is>
      </c>
      <c r="H38" t="inlineStr">
        <is>
          <t>Current Evolutions</t>
        </is>
      </c>
      <c r="I38" t="inlineStr">
        <is>
          <t>https://www.fut.gg/evolutions/1922-columbus-conductor/</t>
        </is>
      </c>
    </row>
    <row r="39">
      <c r="A39" t="inlineStr">
        <is>
          <t>Max_PS_Plus</t>
        </is>
      </c>
      <c r="B39" t="inlineStr">
        <is>
          <t>Max_PS_Plus</t>
        </is>
      </c>
      <c r="C39" t="inlineStr">
        <is>
          <t>Max</t>
        </is>
      </c>
      <c r="D39" t="inlineStr">
        <is>
          <t>2</t>
        </is>
      </c>
      <c r="E39" t="inlineStr">
        <is>
          <t>Max PS+ 2</t>
        </is>
      </c>
      <c r="F39" t="inlineStr">
        <is>
          <t>Columbus Conductor - EA SPORTS FC 26</t>
        </is>
      </c>
      <c r="G39" t="inlineStr">
        <is>
          <t>Current</t>
        </is>
      </c>
      <c r="H39" t="inlineStr">
        <is>
          <t>Current Evolutions</t>
        </is>
      </c>
      <c r="I39" t="inlineStr">
        <is>
          <t>https://www.fut.gg/evolutions/1922-columbus-conductor/</t>
        </is>
      </c>
    </row>
    <row r="40">
      <c r="A40" t="inlineStr">
        <is>
          <t>Max_PS</t>
        </is>
      </c>
      <c r="B40" t="inlineStr">
        <is>
          <t>Max_PS</t>
        </is>
      </c>
      <c r="C40" t="inlineStr">
        <is>
          <t>Max</t>
        </is>
      </c>
      <c r="D40" t="inlineStr">
        <is>
          <t>10</t>
        </is>
      </c>
      <c r="E40" t="inlineStr">
        <is>
          <t>Max PS 10</t>
        </is>
      </c>
      <c r="F40" t="inlineStr">
        <is>
          <t>Columbus Conductor - EA SPORTS FC 26</t>
        </is>
      </c>
      <c r="G40" t="inlineStr">
        <is>
          <t>Current</t>
        </is>
      </c>
      <c r="H40" t="inlineStr">
        <is>
          <t>Current Evolutions</t>
        </is>
      </c>
      <c r="I40" t="inlineStr">
        <is>
          <t>https://www.fut.gg/evolutions/1922-columbus-conductor/</t>
        </is>
      </c>
    </row>
    <row r="41">
      <c r="A41" t="inlineStr">
        <is>
          <t>Position</t>
        </is>
      </c>
      <c r="B41" t="inlineStr">
        <is>
          <t>Position</t>
        </is>
      </c>
      <c r="C41" t="inlineStr">
        <is>
          <t>Include</t>
        </is>
      </c>
      <c r="D41" t="inlineStr">
        <is>
          <t>CDM</t>
        </is>
      </c>
      <c r="E41" t="inlineStr">
        <is>
          <t>Position CDM</t>
        </is>
      </c>
      <c r="F41" t="inlineStr">
        <is>
          <t>Columbus Conductor - EA SPORTS FC 26</t>
        </is>
      </c>
      <c r="G41" t="inlineStr">
        <is>
          <t>Current</t>
        </is>
      </c>
      <c r="H41" t="inlineStr">
        <is>
          <t>Current Evolutions</t>
        </is>
      </c>
      <c r="I41" t="inlineStr">
        <is>
          <t>https://www.fut.gg/evolutions/1922-columbus-conductor/</t>
        </is>
      </c>
    </row>
    <row r="42">
      <c r="A42" t="inlineStr">
        <is>
          <t>Excluded_Rarity</t>
        </is>
      </c>
      <c r="B42" t="inlineStr">
        <is>
          <t>Excluded Rarity</t>
        </is>
      </c>
      <c r="C42" t="inlineStr">
        <is>
          <t>Exclude</t>
        </is>
      </c>
      <c r="D42" t="inlineStr">
        <is>
          <t>World Tour Silver Stars</t>
        </is>
      </c>
      <c r="E42" t="inlineStr">
        <is>
          <t>Excluded Rarity World Tour Silver Stars</t>
        </is>
      </c>
      <c r="F42" t="inlineStr">
        <is>
          <t>Columbus Conductor - EA SPORTS FC 26</t>
        </is>
      </c>
      <c r="G42" t="inlineStr">
        <is>
          <t>Current</t>
        </is>
      </c>
      <c r="H42" t="inlineStr">
        <is>
          <t>Current Evolutions</t>
        </is>
      </c>
      <c r="I42" t="inlineStr">
        <is>
          <t>https://www.fut.gg/evolutions/1922-columbus-conductor/</t>
        </is>
      </c>
    </row>
    <row r="43">
      <c r="A43" t="inlineStr">
        <is>
          <t>Rarity</t>
        </is>
      </c>
      <c r="B43" t="inlineStr">
        <is>
          <t>Rarity</t>
        </is>
      </c>
      <c r="C43" t="inlineStr">
        <is>
          <t>Include</t>
        </is>
      </c>
      <c r="D43" t="inlineStr">
        <is>
          <t>World Tour Silver Stars</t>
        </is>
      </c>
      <c r="E43" t="inlineStr">
        <is>
          <t>Rarity World Tour Silver Stars</t>
        </is>
      </c>
      <c r="F43" t="inlineStr">
        <is>
          <t>Columbus Conductor - EA SPORTS FC 26</t>
        </is>
      </c>
      <c r="G43" t="inlineStr">
        <is>
          <t>Current</t>
        </is>
      </c>
      <c r="H43" t="inlineStr">
        <is>
          <t>Current Evolutions</t>
        </is>
      </c>
      <c r="I43" t="inlineStr">
        <is>
          <t>https://www.fut.gg/evolutions/1922-columbus-conductor/</t>
        </is>
      </c>
    </row>
    <row r="44">
      <c r="A44" t="inlineStr">
        <is>
          <t>OVR_Max</t>
        </is>
      </c>
      <c r="B44" t="inlineStr">
        <is>
          <t>OVR_Max</t>
        </is>
      </c>
      <c r="C44" t="inlineStr">
        <is>
          <t>Max</t>
        </is>
      </c>
      <c r="D44" t="inlineStr">
        <is>
          <t>88</t>
        </is>
      </c>
      <c r="E44" t="inlineStr">
        <is>
          <t>Overall Max. 88</t>
        </is>
      </c>
      <c r="F44" t="inlineStr">
        <is>
          <t>Tricksy Hobbits - EA SPORTS FC 26</t>
        </is>
      </c>
      <c r="G44" t="inlineStr">
        <is>
          <t>Current</t>
        </is>
      </c>
      <c r="H44" t="inlineStr">
        <is>
          <t>Current Evolutions</t>
        </is>
      </c>
      <c r="I44" t="inlineStr">
        <is>
          <t>https://www.fut.gg/evolutions/1921-tricksy-hobbits/</t>
        </is>
      </c>
    </row>
    <row r="45">
      <c r="A45" t="inlineStr">
        <is>
          <t>Max_PS</t>
        </is>
      </c>
      <c r="B45" t="inlineStr">
        <is>
          <t>Max_PS</t>
        </is>
      </c>
      <c r="C45" t="inlineStr">
        <is>
          <t>Max</t>
        </is>
      </c>
      <c r="D45" t="inlineStr">
        <is>
          <t>10</t>
        </is>
      </c>
      <c r="E45" t="inlineStr">
        <is>
          <t>Max PS 10</t>
        </is>
      </c>
      <c r="F45" t="inlineStr">
        <is>
          <t>Tricksy Hobbits - EA SPORTS FC 26</t>
        </is>
      </c>
      <c r="G45" t="inlineStr">
        <is>
          <t>Current</t>
        </is>
      </c>
      <c r="H45" t="inlineStr">
        <is>
          <t>Current Evolutions</t>
        </is>
      </c>
      <c r="I45" t="inlineStr">
        <is>
          <t>https://www.fut.gg/evolutions/1921-tricksy-hobbits/</t>
        </is>
      </c>
    </row>
    <row r="46">
      <c r="A46" t="inlineStr">
        <is>
          <t>Position</t>
        </is>
      </c>
      <c r="B46" t="inlineStr">
        <is>
          <t>Position</t>
        </is>
      </c>
      <c r="C46" t="inlineStr">
        <is>
          <t>Include</t>
        </is>
      </c>
      <c r="D46" t="inlineStr">
        <is>
          <t>LW, RW</t>
        </is>
      </c>
      <c r="E46" t="inlineStr">
        <is>
          <t>Position LW, RW</t>
        </is>
      </c>
      <c r="F46" t="inlineStr">
        <is>
          <t>Tricksy Hobbits - EA SPORTS FC 26</t>
        </is>
      </c>
      <c r="G46" t="inlineStr">
        <is>
          <t>Current</t>
        </is>
      </c>
      <c r="H46" t="inlineStr">
        <is>
          <t>Current Evolutions</t>
        </is>
      </c>
      <c r="I46" t="inlineStr">
        <is>
          <t>https://www.fut.gg/evolutions/1921-tricksy-hobbits/</t>
        </is>
      </c>
    </row>
    <row r="47">
      <c r="A47" t="inlineStr">
        <is>
          <t>Excluded_Rarity</t>
        </is>
      </c>
      <c r="B47" t="inlineStr">
        <is>
          <t>Excluded Rarity</t>
        </is>
      </c>
      <c r="C47" t="inlineStr">
        <is>
          <t>Exclude</t>
        </is>
      </c>
      <c r="D47" t="inlineStr">
        <is>
          <t>World Tour Silver Stars</t>
        </is>
      </c>
      <c r="E47" t="inlineStr">
        <is>
          <t>Excluded Rarity World Tour Silver Stars</t>
        </is>
      </c>
      <c r="F47" t="inlineStr">
        <is>
          <t>Tricksy Hobbits - EA SPORTS FC 26</t>
        </is>
      </c>
      <c r="G47" t="inlineStr">
        <is>
          <t>Current</t>
        </is>
      </c>
      <c r="H47" t="inlineStr">
        <is>
          <t>Current Evolutions</t>
        </is>
      </c>
      <c r="I47" t="inlineStr">
        <is>
          <t>https://www.fut.gg/evolutions/1921-tricksy-hobbits/</t>
        </is>
      </c>
    </row>
    <row r="48">
      <c r="A48" t="inlineStr">
        <is>
          <t>Rarity</t>
        </is>
      </c>
      <c r="B48" t="inlineStr">
        <is>
          <t>Rarity</t>
        </is>
      </c>
      <c r="C48" t="inlineStr">
        <is>
          <t>Include</t>
        </is>
      </c>
      <c r="D48" t="inlineStr">
        <is>
          <t>World Tour Silver Stars</t>
        </is>
      </c>
      <c r="E48" t="inlineStr">
        <is>
          <t>Rarity World Tour Silver Stars</t>
        </is>
      </c>
      <c r="F48" t="inlineStr">
        <is>
          <t>Tricksy Hobbits - EA SPORTS FC 26</t>
        </is>
      </c>
      <c r="G48" t="inlineStr">
        <is>
          <t>Current</t>
        </is>
      </c>
      <c r="H48" t="inlineStr">
        <is>
          <t>Current Evolutions</t>
        </is>
      </c>
      <c r="I48" t="inlineStr">
        <is>
          <t>https://www.fut.gg/evolutions/1921-tricksy-hobbits/</t>
        </is>
      </c>
    </row>
    <row r="49">
      <c r="A49" t="inlineStr">
        <is>
          <t>OVR_Max</t>
        </is>
      </c>
      <c r="B49" t="inlineStr">
        <is>
          <t>OVR_Max</t>
        </is>
      </c>
      <c r="C49" t="inlineStr">
        <is>
          <t>Max</t>
        </is>
      </c>
      <c r="D49" t="inlineStr">
        <is>
          <t>88</t>
        </is>
      </c>
      <c r="E49" t="inlineStr">
        <is>
          <t>Overall Max. 88</t>
        </is>
      </c>
      <c r="F49" t="inlineStr">
        <is>
          <t>Express Delivery - EA SPORTS FC 26</t>
        </is>
      </c>
      <c r="G49" t="inlineStr">
        <is>
          <t>Current</t>
        </is>
      </c>
      <c r="H49" t="inlineStr">
        <is>
          <t>Current Evolutions</t>
        </is>
      </c>
      <c r="I49" t="inlineStr">
        <is>
          <t>https://www.fut.gg/evolutions/1920-express-delivery/</t>
        </is>
      </c>
    </row>
    <row r="50">
      <c r="A50" t="inlineStr">
        <is>
          <t>Max_PS_Plus</t>
        </is>
      </c>
      <c r="B50" t="inlineStr">
        <is>
          <t>Max_PS_Plus</t>
        </is>
      </c>
      <c r="C50" t="inlineStr">
        <is>
          <t>Max</t>
        </is>
      </c>
      <c r="D50" t="inlineStr">
        <is>
          <t>2</t>
        </is>
      </c>
      <c r="E50" t="inlineStr">
        <is>
          <t>Max PS+ 2</t>
        </is>
      </c>
      <c r="F50" t="inlineStr">
        <is>
          <t>Express Delivery - EA SPORTS FC 26</t>
        </is>
      </c>
      <c r="G50" t="inlineStr">
        <is>
          <t>Current</t>
        </is>
      </c>
      <c r="H50" t="inlineStr">
        <is>
          <t>Current Evolutions</t>
        </is>
      </c>
      <c r="I50" t="inlineStr">
        <is>
          <t>https://www.fut.gg/evolutions/1920-express-delivery/</t>
        </is>
      </c>
    </row>
    <row r="51">
      <c r="A51" t="inlineStr">
        <is>
          <t>Max_PS</t>
        </is>
      </c>
      <c r="B51" t="inlineStr">
        <is>
          <t>Max_PS</t>
        </is>
      </c>
      <c r="C51" t="inlineStr">
        <is>
          <t>Max</t>
        </is>
      </c>
      <c r="D51" t="inlineStr">
        <is>
          <t>10</t>
        </is>
      </c>
      <c r="E51" t="inlineStr">
        <is>
          <t>Max PS 10</t>
        </is>
      </c>
      <c r="F51" t="inlineStr">
        <is>
          <t>Express Delivery - EA SPORTS FC 26</t>
        </is>
      </c>
      <c r="G51" t="inlineStr">
        <is>
          <t>Current</t>
        </is>
      </c>
      <c r="H51" t="inlineStr">
        <is>
          <t>Current Evolutions</t>
        </is>
      </c>
      <c r="I51" t="inlineStr">
        <is>
          <t>https://www.fut.gg/evolutions/1920-express-delivery/</t>
        </is>
      </c>
    </row>
    <row r="52">
      <c r="A52" t="inlineStr">
        <is>
          <t>Excluded_Position</t>
        </is>
      </c>
      <c r="B52" t="inlineStr">
        <is>
          <t>Excluded Position</t>
        </is>
      </c>
      <c r="C52" t="inlineStr">
        <is>
          <t>Exclude</t>
        </is>
      </c>
      <c r="D52" t="inlineStr">
        <is>
          <t>CB</t>
        </is>
      </c>
      <c r="E52" t="inlineStr">
        <is>
          <t>Excluded Position CB</t>
        </is>
      </c>
      <c r="F52" t="inlineStr">
        <is>
          <t>Express Delivery - EA SPORTS FC 26</t>
        </is>
      </c>
      <c r="G52" t="inlineStr">
        <is>
          <t>Current</t>
        </is>
      </c>
      <c r="H52" t="inlineStr">
        <is>
          <t>Current Evolutions</t>
        </is>
      </c>
      <c r="I52" t="inlineStr">
        <is>
          <t>https://www.fut.gg/evolutions/1920-express-delivery/</t>
        </is>
      </c>
    </row>
    <row r="53">
      <c r="A53" t="inlineStr">
        <is>
          <t>Position</t>
        </is>
      </c>
      <c r="B53" t="inlineStr">
        <is>
          <t>Position</t>
        </is>
      </c>
      <c r="C53" t="inlineStr">
        <is>
          <t>Include</t>
        </is>
      </c>
      <c r="D53" t="inlineStr">
        <is>
          <t>LB, RB</t>
        </is>
      </c>
      <c r="E53" t="inlineStr">
        <is>
          <t>Position LB, RB</t>
        </is>
      </c>
      <c r="F53" t="inlineStr">
        <is>
          <t>Express Delivery - EA SPORTS FC 26</t>
        </is>
      </c>
      <c r="G53" t="inlineStr">
        <is>
          <t>Current</t>
        </is>
      </c>
      <c r="H53" t="inlineStr">
        <is>
          <t>Current Evolutions</t>
        </is>
      </c>
      <c r="I53" t="inlineStr">
        <is>
          <t>https://www.fut.gg/evolutions/1920-express-delivery/</t>
        </is>
      </c>
    </row>
    <row r="54">
      <c r="A54" t="inlineStr">
        <is>
          <t>Excluded_Rarity</t>
        </is>
      </c>
      <c r="B54" t="inlineStr">
        <is>
          <t>Excluded Rarity</t>
        </is>
      </c>
      <c r="C54" t="inlineStr">
        <is>
          <t>Exclude</t>
        </is>
      </c>
      <c r="D54" t="inlineStr">
        <is>
          <t>World Tour Silver Stars</t>
        </is>
      </c>
      <c r="E54" t="inlineStr">
        <is>
          <t>Excluded Rarity World Tour Silver Stars</t>
        </is>
      </c>
      <c r="F54" t="inlineStr">
        <is>
          <t>Express Delivery - EA SPORTS FC 26</t>
        </is>
      </c>
      <c r="G54" t="inlineStr">
        <is>
          <t>Current</t>
        </is>
      </c>
      <c r="H54" t="inlineStr">
        <is>
          <t>Current Evolutions</t>
        </is>
      </c>
      <c r="I54" t="inlineStr">
        <is>
          <t>https://www.fut.gg/evolutions/1920-express-delivery/</t>
        </is>
      </c>
    </row>
    <row r="55">
      <c r="A55" t="inlineStr">
        <is>
          <t>Rarity</t>
        </is>
      </c>
      <c r="B55" t="inlineStr">
        <is>
          <t>Rarity</t>
        </is>
      </c>
      <c r="C55" t="inlineStr">
        <is>
          <t>Include</t>
        </is>
      </c>
      <c r="D55" t="inlineStr">
        <is>
          <t>World Tour Silver Stars</t>
        </is>
      </c>
      <c r="E55" t="inlineStr">
        <is>
          <t>Rarity World Tour Silver Stars</t>
        </is>
      </c>
      <c r="F55" t="inlineStr">
        <is>
          <t>Express Delivery - EA SPORTS FC 26</t>
        </is>
      </c>
      <c r="G55" t="inlineStr">
        <is>
          <t>Current</t>
        </is>
      </c>
      <c r="H55" t="inlineStr">
        <is>
          <t>Current Evolutions</t>
        </is>
      </c>
      <c r="I55" t="inlineStr">
        <is>
          <t>https://www.fut.gg/evolutions/1920-express-delivery/</t>
        </is>
      </c>
    </row>
    <row r="56">
      <c r="A56" t="inlineStr">
        <is>
          <t>OVR_Max</t>
        </is>
      </c>
      <c r="B56" t="inlineStr">
        <is>
          <t>OVR_Max</t>
        </is>
      </c>
      <c r="C56" t="inlineStr">
        <is>
          <t>Max</t>
        </is>
      </c>
      <c r="D56" t="inlineStr">
        <is>
          <t>89</t>
        </is>
      </c>
      <c r="E56" t="inlineStr">
        <is>
          <t>Overall Max. 89</t>
        </is>
      </c>
      <c r="F56" t="inlineStr">
        <is>
          <t>The Swan of Utrecht - EA SPORTS FC 26</t>
        </is>
      </c>
      <c r="G56" t="inlineStr">
        <is>
          <t>Current</t>
        </is>
      </c>
      <c r="H56" t="inlineStr">
        <is>
          <t>Current Evolutions</t>
        </is>
      </c>
      <c r="I56" t="inlineStr">
        <is>
          <t>https://www.fut.gg/evolutions/1919-the-swan-of-utrecht/</t>
        </is>
      </c>
    </row>
    <row r="57">
      <c r="A57" t="inlineStr">
        <is>
          <t>PAC_Max</t>
        </is>
      </c>
      <c r="B57" t="inlineStr">
        <is>
          <t>PAC_Max</t>
        </is>
      </c>
      <c r="C57" t="inlineStr">
        <is>
          <t>Max</t>
        </is>
      </c>
      <c r="D57" t="inlineStr">
        <is>
          <t>91</t>
        </is>
      </c>
      <c r="E57" t="inlineStr">
        <is>
          <t>Pace Max. 91</t>
        </is>
      </c>
      <c r="F57" t="inlineStr">
        <is>
          <t>The Swan of Utrecht - EA SPORTS FC 26</t>
        </is>
      </c>
      <c r="G57" t="inlineStr">
        <is>
          <t>Current</t>
        </is>
      </c>
      <c r="H57" t="inlineStr">
        <is>
          <t>Current Evolutions</t>
        </is>
      </c>
      <c r="I57" t="inlineStr">
        <is>
          <t>https://www.fut.gg/evolutions/1919-the-swan-of-utrecht/</t>
        </is>
      </c>
    </row>
    <row r="58">
      <c r="A58" t="inlineStr">
        <is>
          <t>Max_PS_Plus</t>
        </is>
      </c>
      <c r="B58" t="inlineStr">
        <is>
          <t>Max_PS_Plus</t>
        </is>
      </c>
      <c r="C58" t="inlineStr">
        <is>
          <t>Max</t>
        </is>
      </c>
      <c r="D58" t="inlineStr">
        <is>
          <t>2</t>
        </is>
      </c>
      <c r="E58" t="inlineStr">
        <is>
          <t>Max PS+ 2</t>
        </is>
      </c>
      <c r="F58" t="inlineStr">
        <is>
          <t>The Swan of Utrecht - EA SPORTS FC 26</t>
        </is>
      </c>
      <c r="G58" t="inlineStr">
        <is>
          <t>Current</t>
        </is>
      </c>
      <c r="H58" t="inlineStr">
        <is>
          <t>Current Evolutions</t>
        </is>
      </c>
      <c r="I58" t="inlineStr">
        <is>
          <t>https://www.fut.gg/evolutions/1919-the-swan-of-utrecht/</t>
        </is>
      </c>
    </row>
    <row r="59">
      <c r="A59" t="inlineStr">
        <is>
          <t>Max_PS</t>
        </is>
      </c>
      <c r="B59" t="inlineStr">
        <is>
          <t>Max_PS</t>
        </is>
      </c>
      <c r="C59" t="inlineStr">
        <is>
          <t>Max</t>
        </is>
      </c>
      <c r="D59" t="inlineStr">
        <is>
          <t>10</t>
        </is>
      </c>
      <c r="E59" t="inlineStr">
        <is>
          <t>Max PS 10</t>
        </is>
      </c>
      <c r="F59" t="inlineStr">
        <is>
          <t>The Swan of Utrecht - EA SPORTS FC 26</t>
        </is>
      </c>
      <c r="G59" t="inlineStr">
        <is>
          <t>Current</t>
        </is>
      </c>
      <c r="H59" t="inlineStr">
        <is>
          <t>Current Evolutions</t>
        </is>
      </c>
      <c r="I59" t="inlineStr">
        <is>
          <t>https://www.fut.gg/evolutions/1919-the-swan-of-utrecht/</t>
        </is>
      </c>
    </row>
    <row r="60">
      <c r="A60" t="inlineStr">
        <is>
          <t>Position</t>
        </is>
      </c>
      <c r="B60" t="inlineStr">
        <is>
          <t>Position</t>
        </is>
      </c>
      <c r="C60" t="inlineStr">
        <is>
          <t>Include</t>
        </is>
      </c>
      <c r="D60" t="inlineStr">
        <is>
          <t>ST</t>
        </is>
      </c>
      <c r="E60" t="inlineStr">
        <is>
          <t>Position ST</t>
        </is>
      </c>
      <c r="F60" t="inlineStr">
        <is>
          <t>The Swan of Utrecht - EA SPORTS FC 26</t>
        </is>
      </c>
      <c r="G60" t="inlineStr">
        <is>
          <t>Current</t>
        </is>
      </c>
      <c r="H60" t="inlineStr">
        <is>
          <t>Current Evolutions</t>
        </is>
      </c>
      <c r="I60" t="inlineStr">
        <is>
          <t>https://www.fut.gg/evolutions/1919-the-swan-of-utrecht/</t>
        </is>
      </c>
    </row>
    <row r="61">
      <c r="A61" t="inlineStr">
        <is>
          <t>Excluded_Rarity</t>
        </is>
      </c>
      <c r="B61" t="inlineStr">
        <is>
          <t>Excluded Rarity</t>
        </is>
      </c>
      <c r="C61" t="inlineStr">
        <is>
          <t>Exclude</t>
        </is>
      </c>
      <c r="D61" t="inlineStr">
        <is>
          <t>World Tour Silver Stars</t>
        </is>
      </c>
      <c r="E61" t="inlineStr">
        <is>
          <t>Excluded Rarity World Tour Silver Stars</t>
        </is>
      </c>
      <c r="F61" t="inlineStr">
        <is>
          <t>The Swan of Utrecht - EA SPORTS FC 26</t>
        </is>
      </c>
      <c r="G61" t="inlineStr">
        <is>
          <t>Current</t>
        </is>
      </c>
      <c r="H61" t="inlineStr">
        <is>
          <t>Current Evolutions</t>
        </is>
      </c>
      <c r="I61" t="inlineStr">
        <is>
          <t>https://www.fut.gg/evolutions/1919-the-swan-of-utrecht/</t>
        </is>
      </c>
    </row>
    <row r="62">
      <c r="A62" t="inlineStr">
        <is>
          <t>Rarity</t>
        </is>
      </c>
      <c r="B62" t="inlineStr">
        <is>
          <t>Rarity</t>
        </is>
      </c>
      <c r="C62" t="inlineStr">
        <is>
          <t>Include</t>
        </is>
      </c>
      <c r="D62" t="inlineStr">
        <is>
          <t>World Tour Silver Stars</t>
        </is>
      </c>
      <c r="E62" t="inlineStr">
        <is>
          <t>Rarity World Tour Silver Stars</t>
        </is>
      </c>
      <c r="F62" t="inlineStr">
        <is>
          <t>The Swan of Utrecht - EA SPORTS FC 26</t>
        </is>
      </c>
      <c r="G62" t="inlineStr">
        <is>
          <t>Current</t>
        </is>
      </c>
      <c r="H62" t="inlineStr">
        <is>
          <t>Current Evolutions</t>
        </is>
      </c>
      <c r="I62" t="inlineStr">
        <is>
          <t>https://www.fut.gg/evolutions/1919-the-swan-of-utrecht/</t>
        </is>
      </c>
    </row>
    <row r="63">
      <c r="A63" t="inlineStr">
        <is>
          <t>OVR_Max</t>
        </is>
      </c>
      <c r="B63" t="inlineStr">
        <is>
          <t>OVR_Max</t>
        </is>
      </c>
      <c r="C63" t="inlineStr">
        <is>
          <t>Max</t>
        </is>
      </c>
      <c r="D63" t="inlineStr">
        <is>
          <t>85</t>
        </is>
      </c>
      <c r="E63" t="inlineStr">
        <is>
          <t>Overall Max. 85</t>
        </is>
      </c>
      <c r="F63" t="inlineStr">
        <is>
          <t>Star in Motion - EA SPORTS FC 26</t>
        </is>
      </c>
      <c r="G63" t="inlineStr">
        <is>
          <t>Current</t>
        </is>
      </c>
      <c r="H63" t="inlineStr">
        <is>
          <t>Current Evolutions</t>
        </is>
      </c>
      <c r="I63" t="inlineStr">
        <is>
          <t>https://www.fut.gg/evolutions/1280-star-in-motion/</t>
        </is>
      </c>
    </row>
    <row r="64">
      <c r="A64" t="inlineStr">
        <is>
          <t>PAC_Max</t>
        </is>
      </c>
      <c r="B64" t="inlineStr">
        <is>
          <t>PAC_Max</t>
        </is>
      </c>
      <c r="C64" t="inlineStr">
        <is>
          <t>Max</t>
        </is>
      </c>
      <c r="D64" t="inlineStr">
        <is>
          <t>85</t>
        </is>
      </c>
      <c r="E64" t="inlineStr">
        <is>
          <t>Pace Max. 85</t>
        </is>
      </c>
      <c r="F64" t="inlineStr">
        <is>
          <t>Star in Motion - EA SPORTS FC 26</t>
        </is>
      </c>
      <c r="G64" t="inlineStr">
        <is>
          <t>Current</t>
        </is>
      </c>
      <c r="H64" t="inlineStr">
        <is>
          <t>Current Evolutions</t>
        </is>
      </c>
      <c r="I64" t="inlineStr">
        <is>
          <t>https://www.fut.gg/evolutions/1280-star-in-motion/</t>
        </is>
      </c>
    </row>
    <row r="65">
      <c r="A65" t="inlineStr">
        <is>
          <t>Max_PS_Plus</t>
        </is>
      </c>
      <c r="B65" t="inlineStr">
        <is>
          <t>Max_PS_Plus</t>
        </is>
      </c>
      <c r="C65" t="inlineStr">
        <is>
          <t>Max</t>
        </is>
      </c>
      <c r="D65" t="inlineStr">
        <is>
          <t>1</t>
        </is>
      </c>
      <c r="E65" t="inlineStr">
        <is>
          <t>Max PS+ 1</t>
        </is>
      </c>
      <c r="F65" t="inlineStr">
        <is>
          <t>Star in Motion - EA SPORTS FC 26</t>
        </is>
      </c>
      <c r="G65" t="inlineStr">
        <is>
          <t>Current</t>
        </is>
      </c>
      <c r="H65" t="inlineStr">
        <is>
          <t>Current Evolutions</t>
        </is>
      </c>
      <c r="I65" t="inlineStr">
        <is>
          <t>https://www.fut.gg/evolutions/1280-star-in-motion/</t>
        </is>
      </c>
    </row>
    <row r="66">
      <c r="A66" t="inlineStr">
        <is>
          <t>Max_PS</t>
        </is>
      </c>
      <c r="B66" t="inlineStr">
        <is>
          <t>Max_PS</t>
        </is>
      </c>
      <c r="C66" t="inlineStr">
        <is>
          <t>Max</t>
        </is>
      </c>
      <c r="D66" t="inlineStr">
        <is>
          <t>10</t>
        </is>
      </c>
      <c r="E66" t="inlineStr">
        <is>
          <t>Max PS 10</t>
        </is>
      </c>
      <c r="F66" t="inlineStr">
        <is>
          <t>Star in Motion - EA SPORTS FC 26</t>
        </is>
      </c>
      <c r="G66" t="inlineStr">
        <is>
          <t>Current</t>
        </is>
      </c>
      <c r="H66" t="inlineStr">
        <is>
          <t>Current Evolutions</t>
        </is>
      </c>
      <c r="I66" t="inlineStr">
        <is>
          <t>https://www.fut.gg/evolutions/1280-star-in-motion/</t>
        </is>
      </c>
    </row>
    <row r="67">
      <c r="A67" t="inlineStr">
        <is>
          <t>Position</t>
        </is>
      </c>
      <c r="B67" t="inlineStr">
        <is>
          <t>Position</t>
        </is>
      </c>
      <c r="C67" t="inlineStr">
        <is>
          <t>Include</t>
        </is>
      </c>
      <c r="D67" t="inlineStr">
        <is>
          <t>CAM</t>
        </is>
      </c>
      <c r="E67" t="inlineStr">
        <is>
          <t>Position CAM</t>
        </is>
      </c>
      <c r="F67" t="inlineStr">
        <is>
          <t>Star in Motion - EA SPORTS FC 26</t>
        </is>
      </c>
      <c r="G67" t="inlineStr">
        <is>
          <t>Current</t>
        </is>
      </c>
      <c r="H67" t="inlineStr">
        <is>
          <t>Current Evolutions</t>
        </is>
      </c>
      <c r="I67" t="inlineStr">
        <is>
          <t>https://www.fut.gg/evolutions/1280-star-in-motion/</t>
        </is>
      </c>
    </row>
    <row r="68">
      <c r="A68" t="inlineStr">
        <is>
          <t>Excluded_Rarity</t>
        </is>
      </c>
      <c r="B68" t="inlineStr">
        <is>
          <t>Excluded Rarity</t>
        </is>
      </c>
      <c r="C68" t="inlineStr">
        <is>
          <t>Exclude</t>
        </is>
      </c>
      <c r="D68" t="inlineStr">
        <is>
          <t>World Tour Silver Stars</t>
        </is>
      </c>
      <c r="E68" t="inlineStr">
        <is>
          <t>Excluded Rarity World Tour Silver Stars</t>
        </is>
      </c>
      <c r="F68" t="inlineStr">
        <is>
          <t>Star in Motion - EA SPORTS FC 26</t>
        </is>
      </c>
      <c r="G68" t="inlineStr">
        <is>
          <t>Current</t>
        </is>
      </c>
      <c r="H68" t="inlineStr">
        <is>
          <t>Current Evolutions</t>
        </is>
      </c>
      <c r="I68" t="inlineStr">
        <is>
          <t>https://www.fut.gg/evolutions/1280-star-in-motion/</t>
        </is>
      </c>
    </row>
    <row r="69">
      <c r="A69" t="inlineStr">
        <is>
          <t>Rarity</t>
        </is>
      </c>
      <c r="B69" t="inlineStr">
        <is>
          <t>Rarity</t>
        </is>
      </c>
      <c r="C69" t="inlineStr">
        <is>
          <t>Include</t>
        </is>
      </c>
      <c r="D69" t="inlineStr">
        <is>
          <t>World Tour Silver Stars</t>
        </is>
      </c>
      <c r="E69" t="inlineStr">
        <is>
          <t>Rarity World Tour Silver Stars</t>
        </is>
      </c>
      <c r="F69" t="inlineStr">
        <is>
          <t>Star in Motion - EA SPORTS FC 26</t>
        </is>
      </c>
      <c r="G69" t="inlineStr">
        <is>
          <t>Current</t>
        </is>
      </c>
      <c r="H69" t="inlineStr">
        <is>
          <t>Current Evolutions</t>
        </is>
      </c>
      <c r="I69" t="inlineStr">
        <is>
          <t>https://www.fut.gg/evolutions/1280-star-in-motion/</t>
        </is>
      </c>
    </row>
    <row r="70">
      <c r="A70" t="inlineStr">
        <is>
          <t>OVR_Max</t>
        </is>
      </c>
      <c r="B70" t="inlineStr">
        <is>
          <t>OVR_Max</t>
        </is>
      </c>
      <c r="C70" t="inlineStr">
        <is>
          <t>Max</t>
        </is>
      </c>
      <c r="D70" t="inlineStr">
        <is>
          <t>82</t>
        </is>
      </c>
      <c r="E70" t="inlineStr">
        <is>
          <t>Overall Max. 82</t>
        </is>
      </c>
      <c r="F70" t="inlineStr">
        <is>
          <t>Intro to Training Camp EVOs I - EA SPORTS FC 26</t>
        </is>
      </c>
      <c r="G70" t="inlineStr">
        <is>
          <t>Current</t>
        </is>
      </c>
      <c r="H70" t="inlineStr">
        <is>
          <t>Current Evolutions</t>
        </is>
      </c>
      <c r="I70" t="inlineStr">
        <is>
          <t>https://www.fut.gg/evolutions/1213-intro-to-training-camp-evos-i/</t>
        </is>
      </c>
    </row>
    <row r="71">
      <c r="A71" t="inlineStr">
        <is>
          <t>Position</t>
        </is>
      </c>
      <c r="B71" t="inlineStr">
        <is>
          <t>Position</t>
        </is>
      </c>
      <c r="C71" t="inlineStr">
        <is>
          <t>Include</t>
        </is>
      </c>
      <c r="D71" t="inlineStr">
        <is>
          <t>GK Details Submit by in 5 months Expiry in 5 months Coins Cost Free Points Cost Free</t>
        </is>
      </c>
      <c r="E71" t="inlineStr">
        <is>
          <t>Position GK Details Submit by in 5 months Expiry in 5 months Coins Cost Free Points Cost Free</t>
        </is>
      </c>
      <c r="F71" t="inlineStr">
        <is>
          <t>Intro to Training Camp EVOs I - EA SPORTS FC 26</t>
        </is>
      </c>
      <c r="G71" t="inlineStr">
        <is>
          <t>Current</t>
        </is>
      </c>
      <c r="H71" t="inlineStr">
        <is>
          <t>Current Evolutions</t>
        </is>
      </c>
      <c r="I71" t="inlineStr">
        <is>
          <t>https://www.fut.gg/evolutions/1213-intro-to-training-camp-evos-i/</t>
        </is>
      </c>
    </row>
    <row r="72">
      <c r="A72" t="inlineStr">
        <is>
          <t>Excluded_Rarity</t>
        </is>
      </c>
      <c r="B72" t="inlineStr">
        <is>
          <t>Excluded Rarity</t>
        </is>
      </c>
      <c r="C72" t="inlineStr">
        <is>
          <t>Exclude</t>
        </is>
      </c>
      <c r="D72" t="inlineStr">
        <is>
          <t>World Tour Silver Stars</t>
        </is>
      </c>
      <c r="E72" t="inlineStr">
        <is>
          <t>Excluded Rarity World Tour Silver Stars</t>
        </is>
      </c>
      <c r="F72" t="inlineStr">
        <is>
          <t>Intro to Training Camp EVOs I - EA SPORTS FC 26</t>
        </is>
      </c>
      <c r="G72" t="inlineStr">
        <is>
          <t>Current</t>
        </is>
      </c>
      <c r="H72" t="inlineStr">
        <is>
          <t>Current Evolutions</t>
        </is>
      </c>
      <c r="I72" t="inlineStr">
        <is>
          <t>https://www.fut.gg/evolutions/1213-intro-to-training-camp-evos-i/</t>
        </is>
      </c>
    </row>
    <row r="73">
      <c r="A73" t="inlineStr">
        <is>
          <t>Rarity</t>
        </is>
      </c>
      <c r="B73" t="inlineStr">
        <is>
          <t>Rarity</t>
        </is>
      </c>
      <c r="C73" t="inlineStr">
        <is>
          <t>Include</t>
        </is>
      </c>
      <c r="D73" t="inlineStr">
        <is>
          <t>World Tour Silver Stars</t>
        </is>
      </c>
      <c r="E73" t="inlineStr">
        <is>
          <t>Rarity World Tour Silver Stars</t>
        </is>
      </c>
      <c r="F73" t="inlineStr">
        <is>
          <t>Intro to Training Camp EVOs I - EA SPORTS FC 26</t>
        </is>
      </c>
      <c r="G73" t="inlineStr">
        <is>
          <t>Current</t>
        </is>
      </c>
      <c r="H73" t="inlineStr">
        <is>
          <t>Current Evolutions</t>
        </is>
      </c>
      <c r="I73" t="inlineStr">
        <is>
          <t>https://www.fut.gg/evolutions/1213-intro-to-training-camp-evos-i/</t>
        </is>
      </c>
    </row>
    <row r="74">
      <c r="A74" t="inlineStr">
        <is>
          <t>OVR_Max</t>
        </is>
      </c>
      <c r="B74" t="inlineStr">
        <is>
          <t>OVR_Max</t>
        </is>
      </c>
      <c r="C74" t="inlineStr">
        <is>
          <t>Max</t>
        </is>
      </c>
      <c r="D74" t="inlineStr">
        <is>
          <t>82</t>
        </is>
      </c>
      <c r="E74" t="inlineStr">
        <is>
          <t>Overall Max. 82</t>
        </is>
      </c>
      <c r="F74" t="inlineStr">
        <is>
          <t>Intro to Training Camp EVOs II - EA SPORTS FC 26</t>
        </is>
      </c>
      <c r="G74" t="inlineStr">
        <is>
          <t>Current</t>
        </is>
      </c>
      <c r="H74" t="inlineStr">
        <is>
          <t>Current Evolutions</t>
        </is>
      </c>
      <c r="I74" t="inlineStr">
        <is>
          <t>https://www.fut.gg/evolutions/1212-intro-to-training-camp-evos-ii/</t>
        </is>
      </c>
    </row>
    <row r="75">
      <c r="A75" t="inlineStr">
        <is>
          <t>Max_PS</t>
        </is>
      </c>
      <c r="B75" t="inlineStr">
        <is>
          <t>Max_PS</t>
        </is>
      </c>
      <c r="C75" t="inlineStr">
        <is>
          <t>Max</t>
        </is>
      </c>
      <c r="D75" t="inlineStr">
        <is>
          <t>3</t>
        </is>
      </c>
      <c r="E75" t="inlineStr">
        <is>
          <t>Max PS 3</t>
        </is>
      </c>
      <c r="F75" t="inlineStr">
        <is>
          <t>Intro to Training Camp EVOs II - EA SPORTS FC 26</t>
        </is>
      </c>
      <c r="G75" t="inlineStr">
        <is>
          <t>Current</t>
        </is>
      </c>
      <c r="H75" t="inlineStr">
        <is>
          <t>Current Evolutions</t>
        </is>
      </c>
      <c r="I75" t="inlineStr">
        <is>
          <t>https://www.fut.gg/evolutions/1212-intro-to-training-camp-evos-ii/</t>
        </is>
      </c>
    </row>
    <row r="76">
      <c r="A76" t="inlineStr">
        <is>
          <t>Excluded_Rarity</t>
        </is>
      </c>
      <c r="B76" t="inlineStr">
        <is>
          <t>Excluded Rarity</t>
        </is>
      </c>
      <c r="C76" t="inlineStr">
        <is>
          <t>Exclude</t>
        </is>
      </c>
      <c r="D76" t="inlineStr">
        <is>
          <t>World Tour Silver Stars</t>
        </is>
      </c>
      <c r="E76" t="inlineStr">
        <is>
          <t>Excluded Rarity World Tour Silver Stars</t>
        </is>
      </c>
      <c r="F76" t="inlineStr">
        <is>
          <t>Intro to Training Camp EVOs II - EA SPORTS FC 26</t>
        </is>
      </c>
      <c r="G76" t="inlineStr">
        <is>
          <t>Current</t>
        </is>
      </c>
      <c r="H76" t="inlineStr">
        <is>
          <t>Current Evolutions</t>
        </is>
      </c>
      <c r="I76" t="inlineStr">
        <is>
          <t>https://www.fut.gg/evolutions/1212-intro-to-training-camp-evos-ii/</t>
        </is>
      </c>
    </row>
    <row r="77">
      <c r="A77" t="inlineStr">
        <is>
          <t>Rarity</t>
        </is>
      </c>
      <c r="B77" t="inlineStr">
        <is>
          <t>Rarity</t>
        </is>
      </c>
      <c r="C77" t="inlineStr">
        <is>
          <t>Include</t>
        </is>
      </c>
      <c r="D77" t="inlineStr">
        <is>
          <t>World Tour Silver Stars</t>
        </is>
      </c>
      <c r="E77" t="inlineStr">
        <is>
          <t>Rarity World Tour Silver Stars</t>
        </is>
      </c>
      <c r="F77" t="inlineStr">
        <is>
          <t>Intro to Training Camp EVOs II - EA SPORTS FC 26</t>
        </is>
      </c>
      <c r="G77" t="inlineStr">
        <is>
          <t>Current</t>
        </is>
      </c>
      <c r="H77" t="inlineStr">
        <is>
          <t>Current Evolutions</t>
        </is>
      </c>
      <c r="I77" t="inlineStr">
        <is>
          <t>https://www.fut.gg/evolutions/1212-intro-to-training-camp-evos-ii/</t>
        </is>
      </c>
    </row>
    <row r="78">
      <c r="A78" t="inlineStr">
        <is>
          <t>OVR_Max</t>
        </is>
      </c>
      <c r="B78" t="inlineStr">
        <is>
          <t>OVR_Max</t>
        </is>
      </c>
      <c r="C78" t="inlineStr">
        <is>
          <t>Max</t>
        </is>
      </c>
      <c r="D78" t="inlineStr">
        <is>
          <t>81</t>
        </is>
      </c>
      <c r="E78" t="inlineStr">
        <is>
          <t>Overall Max. 81</t>
        </is>
      </c>
      <c r="F78" t="inlineStr">
        <is>
          <t>Intro to Evolutions - EA SPORTS FC 26</t>
        </is>
      </c>
      <c r="G78" t="inlineStr">
        <is>
          <t>Current</t>
        </is>
      </c>
      <c r="H78" t="inlineStr">
        <is>
          <t>Current Evolutions</t>
        </is>
      </c>
      <c r="I78" t="inlineStr">
        <is>
          <t>https://www.fut.gg/evolutions/1211-intro-to-evolutions/</t>
        </is>
      </c>
    </row>
    <row r="79">
      <c r="A79" t="inlineStr">
        <is>
          <t>Excluded_Rarity</t>
        </is>
      </c>
      <c r="B79" t="inlineStr">
        <is>
          <t>Excluded Rarity</t>
        </is>
      </c>
      <c r="C79" t="inlineStr">
        <is>
          <t>Exclude</t>
        </is>
      </c>
      <c r="D79" t="inlineStr">
        <is>
          <t>World Tour Silver Stars</t>
        </is>
      </c>
      <c r="E79" t="inlineStr">
        <is>
          <t>Excluded Rarity World Tour Silver Stars</t>
        </is>
      </c>
      <c r="F79" t="inlineStr">
        <is>
          <t>Intro to Evolutions - EA SPORTS FC 26</t>
        </is>
      </c>
      <c r="G79" t="inlineStr">
        <is>
          <t>Current</t>
        </is>
      </c>
      <c r="H79" t="inlineStr">
        <is>
          <t>Current Evolutions</t>
        </is>
      </c>
      <c r="I79" t="inlineStr">
        <is>
          <t>https://www.fut.gg/evolutions/1211-intro-to-evolutions/</t>
        </is>
      </c>
    </row>
    <row r="80">
      <c r="A80" t="inlineStr">
        <is>
          <t>Rarity</t>
        </is>
      </c>
      <c r="B80" t="inlineStr">
        <is>
          <t>Rarity</t>
        </is>
      </c>
      <c r="C80" t="inlineStr">
        <is>
          <t>Include</t>
        </is>
      </c>
      <c r="D80" t="inlineStr">
        <is>
          <t>World Tour Silver Stars</t>
        </is>
      </c>
      <c r="E80" t="inlineStr">
        <is>
          <t>Rarity World Tour Silver Stars</t>
        </is>
      </c>
      <c r="F80" t="inlineStr">
        <is>
          <t>Intro to Evolutions - EA SPORTS FC 26</t>
        </is>
      </c>
      <c r="G80" t="inlineStr">
        <is>
          <t>Current</t>
        </is>
      </c>
      <c r="H80" t="inlineStr">
        <is>
          <t>Current Evolutions</t>
        </is>
      </c>
      <c r="I80" t="inlineStr">
        <is>
          <t>https://www.fut.gg/evolutions/1211-intro-to-evolutions/</t>
        </is>
      </c>
    </row>
    <row r="81">
      <c r="A81" t="inlineStr">
        <is>
          <t>OVR_Max</t>
        </is>
      </c>
      <c r="B81" t="inlineStr">
        <is>
          <t>OVR_Max</t>
        </is>
      </c>
      <c r="C81" t="inlineStr">
        <is>
          <t>Max</t>
        </is>
      </c>
      <c r="D81" t="inlineStr">
        <is>
          <t>87</t>
        </is>
      </c>
      <c r="E81" t="inlineStr">
        <is>
          <t>Overall Max. 87</t>
        </is>
      </c>
      <c r="F81" t="inlineStr">
        <is>
          <t>Welsh Wonder Strike [Store] - EA SPORTS FC 26</t>
        </is>
      </c>
      <c r="G81" t="inlineStr">
        <is>
          <t>Reward</t>
        </is>
      </c>
      <c r="H81" t="inlineStr">
        <is>
          <t>Reward</t>
        </is>
      </c>
      <c r="I81" t="inlineStr">
        <is>
          <t>https://www.fut.gg/evolutions/1960-welsh-wonder-strike-store/</t>
        </is>
      </c>
    </row>
    <row r="82">
      <c r="A82" t="inlineStr">
        <is>
          <t>Max_PS_Plus</t>
        </is>
      </c>
      <c r="B82" t="inlineStr">
        <is>
          <t>Max_PS_Plus</t>
        </is>
      </c>
      <c r="C82" t="inlineStr">
        <is>
          <t>Max</t>
        </is>
      </c>
      <c r="D82" t="inlineStr">
        <is>
          <t>2</t>
        </is>
      </c>
      <c r="E82" t="inlineStr">
        <is>
          <t>Max PS+ 2</t>
        </is>
      </c>
      <c r="F82" t="inlineStr">
        <is>
          <t>Welsh Wonder Strike [Store] - EA SPORTS FC 26</t>
        </is>
      </c>
      <c r="G82" t="inlineStr">
        <is>
          <t>Reward</t>
        </is>
      </c>
      <c r="H82" t="inlineStr">
        <is>
          <t>Reward</t>
        </is>
      </c>
      <c r="I82" t="inlineStr">
        <is>
          <t>https://www.fut.gg/evolutions/1960-welsh-wonder-strike-store/</t>
        </is>
      </c>
    </row>
    <row r="83">
      <c r="A83" t="inlineStr">
        <is>
          <t>Max_PS</t>
        </is>
      </c>
      <c r="B83" t="inlineStr">
        <is>
          <t>Max_PS</t>
        </is>
      </c>
      <c r="C83" t="inlineStr">
        <is>
          <t>Max</t>
        </is>
      </c>
      <c r="D83" t="inlineStr">
        <is>
          <t>10</t>
        </is>
      </c>
      <c r="E83" t="inlineStr">
        <is>
          <t>Max PS 10</t>
        </is>
      </c>
      <c r="F83" t="inlineStr">
        <is>
          <t>Welsh Wonder Strike [Store] - EA SPORTS FC 26</t>
        </is>
      </c>
      <c r="G83" t="inlineStr">
        <is>
          <t>Reward</t>
        </is>
      </c>
      <c r="H83" t="inlineStr">
        <is>
          <t>Reward</t>
        </is>
      </c>
      <c r="I83" t="inlineStr">
        <is>
          <t>https://www.fut.gg/evolutions/1960-welsh-wonder-strike-store/</t>
        </is>
      </c>
    </row>
    <row r="84">
      <c r="A84" t="inlineStr">
        <is>
          <t>Excluded_Rarity</t>
        </is>
      </c>
      <c r="B84" t="inlineStr">
        <is>
          <t>Excluded Rarity</t>
        </is>
      </c>
      <c r="C84" t="inlineStr">
        <is>
          <t>Exclude</t>
        </is>
      </c>
      <c r="D84" t="inlineStr">
        <is>
          <t>World Tour Silver Stars</t>
        </is>
      </c>
      <c r="E84" t="inlineStr">
        <is>
          <t>Excluded Rarity World Tour Silver Stars</t>
        </is>
      </c>
      <c r="F84" t="inlineStr">
        <is>
          <t>Welsh Wonder Strike [Store] - EA SPORTS FC 26</t>
        </is>
      </c>
      <c r="G84" t="inlineStr">
        <is>
          <t>Reward</t>
        </is>
      </c>
      <c r="H84" t="inlineStr">
        <is>
          <t>Reward</t>
        </is>
      </c>
      <c r="I84" t="inlineStr">
        <is>
          <t>https://www.fut.gg/evolutions/1960-welsh-wonder-strike-store/</t>
        </is>
      </c>
    </row>
    <row r="85">
      <c r="A85" t="inlineStr">
        <is>
          <t>Rarity</t>
        </is>
      </c>
      <c r="B85" t="inlineStr">
        <is>
          <t>Rarity</t>
        </is>
      </c>
      <c r="C85" t="inlineStr">
        <is>
          <t>Include</t>
        </is>
      </c>
      <c r="D85" t="inlineStr">
        <is>
          <t>World Tour Silver Stars</t>
        </is>
      </c>
      <c r="E85" t="inlineStr">
        <is>
          <t>Rarity World Tour Silver Stars</t>
        </is>
      </c>
      <c r="F85" t="inlineStr">
        <is>
          <t>Welsh Wonder Strike [Store] - EA SPORTS FC 26</t>
        </is>
      </c>
      <c r="G85" t="inlineStr">
        <is>
          <t>Reward</t>
        </is>
      </c>
      <c r="H85" t="inlineStr">
        <is>
          <t>Reward</t>
        </is>
      </c>
      <c r="I85" t="inlineStr">
        <is>
          <t>https://www.fut.gg/evolutions/1960-welsh-wonder-strike-store/</t>
        </is>
      </c>
    </row>
    <row r="86">
      <c r="A86" t="inlineStr">
        <is>
          <t>OVR_Max</t>
        </is>
      </c>
      <c r="B86" t="inlineStr">
        <is>
          <t>OVR_Max</t>
        </is>
      </c>
      <c r="C86" t="inlineStr">
        <is>
          <t>Max</t>
        </is>
      </c>
      <c r="D86" t="inlineStr">
        <is>
          <t>89</t>
        </is>
      </c>
      <c r="E86" t="inlineStr">
        <is>
          <t>Overall Max. 89</t>
        </is>
      </c>
      <c r="F86" t="inlineStr">
        <is>
          <t>Il Capitano [Store] - EA SPORTS FC 26</t>
        </is>
      </c>
      <c r="G86" t="inlineStr">
        <is>
          <t>Reward</t>
        </is>
      </c>
      <c r="H86" t="inlineStr">
        <is>
          <t>Reward</t>
        </is>
      </c>
      <c r="I86" t="inlineStr">
        <is>
          <t>https://www.fut.gg/evolutions/1961-il-capitano-store/</t>
        </is>
      </c>
    </row>
    <row r="87">
      <c r="A87" t="inlineStr">
        <is>
          <t>PAC_Max</t>
        </is>
      </c>
      <c r="B87" t="inlineStr">
        <is>
          <t>PAC_Max</t>
        </is>
      </c>
      <c r="C87" t="inlineStr">
        <is>
          <t>Max</t>
        </is>
      </c>
      <c r="D87" t="inlineStr">
        <is>
          <t>90</t>
        </is>
      </c>
      <c r="E87" t="inlineStr">
        <is>
          <t>Pace Max. 90</t>
        </is>
      </c>
      <c r="F87" t="inlineStr">
        <is>
          <t>Il Capitano [Store] - EA SPORTS FC 26</t>
        </is>
      </c>
      <c r="G87" t="inlineStr">
        <is>
          <t>Reward</t>
        </is>
      </c>
      <c r="H87" t="inlineStr">
        <is>
          <t>Reward</t>
        </is>
      </c>
      <c r="I87" t="inlineStr">
        <is>
          <t>https://www.fut.gg/evolutions/1961-il-capitano-store/</t>
        </is>
      </c>
    </row>
    <row r="88">
      <c r="A88" t="inlineStr">
        <is>
          <t>Max_PS_Plus</t>
        </is>
      </c>
      <c r="B88" t="inlineStr">
        <is>
          <t>Max_PS_Plus</t>
        </is>
      </c>
      <c r="C88" t="inlineStr">
        <is>
          <t>Max</t>
        </is>
      </c>
      <c r="D88" t="inlineStr">
        <is>
          <t>2</t>
        </is>
      </c>
      <c r="E88" t="inlineStr">
        <is>
          <t>Max PS+ 2</t>
        </is>
      </c>
      <c r="F88" t="inlineStr">
        <is>
          <t>Il Capitano [Store] - EA SPORTS FC 26</t>
        </is>
      </c>
      <c r="G88" t="inlineStr">
        <is>
          <t>Reward</t>
        </is>
      </c>
      <c r="H88" t="inlineStr">
        <is>
          <t>Reward</t>
        </is>
      </c>
      <c r="I88" t="inlineStr">
        <is>
          <t>https://www.fut.gg/evolutions/1961-il-capitano-store/</t>
        </is>
      </c>
    </row>
    <row r="89">
      <c r="A89" t="inlineStr">
        <is>
          <t>Max_PS</t>
        </is>
      </c>
      <c r="B89" t="inlineStr">
        <is>
          <t>Max_PS</t>
        </is>
      </c>
      <c r="C89" t="inlineStr">
        <is>
          <t>Max</t>
        </is>
      </c>
      <c r="D89" t="inlineStr">
        <is>
          <t>10</t>
        </is>
      </c>
      <c r="E89" t="inlineStr">
        <is>
          <t>Max PS 10</t>
        </is>
      </c>
      <c r="F89" t="inlineStr">
        <is>
          <t>Il Capitano [Store] - EA SPORTS FC 26</t>
        </is>
      </c>
      <c r="G89" t="inlineStr">
        <is>
          <t>Reward</t>
        </is>
      </c>
      <c r="H89" t="inlineStr">
        <is>
          <t>Reward</t>
        </is>
      </c>
      <c r="I89" t="inlineStr">
        <is>
          <t>https://www.fut.gg/evolutions/1961-il-capitano-store/</t>
        </is>
      </c>
    </row>
    <row r="90">
      <c r="A90" t="inlineStr">
        <is>
          <t>Excluded_Position</t>
        </is>
      </c>
      <c r="B90" t="inlineStr">
        <is>
          <t>Excluded Position</t>
        </is>
      </c>
      <c r="C90" t="inlineStr">
        <is>
          <t>Exclude</t>
        </is>
      </c>
      <c r="D90" t="inlineStr">
        <is>
          <t>CM</t>
        </is>
      </c>
      <c r="E90" t="inlineStr">
        <is>
          <t>Excluded Position CM</t>
        </is>
      </c>
      <c r="F90" t="inlineStr">
        <is>
          <t>Il Capitano [Store] - EA SPORTS FC 26</t>
        </is>
      </c>
      <c r="G90" t="inlineStr">
        <is>
          <t>Reward</t>
        </is>
      </c>
      <c r="H90" t="inlineStr">
        <is>
          <t>Reward</t>
        </is>
      </c>
      <c r="I90" t="inlineStr">
        <is>
          <t>https://www.fut.gg/evolutions/1961-il-capitano-store/</t>
        </is>
      </c>
    </row>
    <row r="91">
      <c r="A91" t="inlineStr">
        <is>
          <t>Position</t>
        </is>
      </c>
      <c r="B91" t="inlineStr">
        <is>
          <t>Position</t>
        </is>
      </c>
      <c r="C91" t="inlineStr">
        <is>
          <t>Include</t>
        </is>
      </c>
      <c r="D91" t="inlineStr">
        <is>
          <t>CB</t>
        </is>
      </c>
      <c r="E91" t="inlineStr">
        <is>
          <t>Position CB</t>
        </is>
      </c>
      <c r="F91" t="inlineStr">
        <is>
          <t>Il Capitano [Store] - EA SPORTS FC 26</t>
        </is>
      </c>
      <c r="G91" t="inlineStr">
        <is>
          <t>Reward</t>
        </is>
      </c>
      <c r="H91" t="inlineStr">
        <is>
          <t>Reward</t>
        </is>
      </c>
      <c r="I91" t="inlineStr">
        <is>
          <t>https://www.fut.gg/evolutions/1961-il-capitano-store/</t>
        </is>
      </c>
    </row>
    <row r="92">
      <c r="A92" t="inlineStr">
        <is>
          <t>Excluded_Rarity</t>
        </is>
      </c>
      <c r="B92" t="inlineStr">
        <is>
          <t>Excluded Rarity</t>
        </is>
      </c>
      <c r="C92" t="inlineStr">
        <is>
          <t>Exclude</t>
        </is>
      </c>
      <c r="D92" t="inlineStr">
        <is>
          <t>World Tour Silver Stars</t>
        </is>
      </c>
      <c r="E92" t="inlineStr">
        <is>
          <t>Excluded Rarity World Tour Silver Stars</t>
        </is>
      </c>
      <c r="F92" t="inlineStr">
        <is>
          <t>Il Capitano [Store] - EA SPORTS FC 26</t>
        </is>
      </c>
      <c r="G92" t="inlineStr">
        <is>
          <t>Reward</t>
        </is>
      </c>
      <c r="H92" t="inlineStr">
        <is>
          <t>Reward</t>
        </is>
      </c>
      <c r="I92" t="inlineStr">
        <is>
          <t>https://www.fut.gg/evolutions/1961-il-capitano-store/</t>
        </is>
      </c>
    </row>
    <row r="93">
      <c r="A93" t="inlineStr">
        <is>
          <t>Rarity</t>
        </is>
      </c>
      <c r="B93" t="inlineStr">
        <is>
          <t>Rarity</t>
        </is>
      </c>
      <c r="C93" t="inlineStr">
        <is>
          <t>Include</t>
        </is>
      </c>
      <c r="D93" t="inlineStr">
        <is>
          <t>World Tour Silver Stars</t>
        </is>
      </c>
      <c r="E93" t="inlineStr">
        <is>
          <t>Rarity World Tour Silver Stars</t>
        </is>
      </c>
      <c r="F93" t="inlineStr">
        <is>
          <t>Il Capitano [Store] - EA SPORTS FC 26</t>
        </is>
      </c>
      <c r="G93" t="inlineStr">
        <is>
          <t>Reward</t>
        </is>
      </c>
      <c r="H93" t="inlineStr">
        <is>
          <t>Reward</t>
        </is>
      </c>
      <c r="I93" t="inlineStr">
        <is>
          <t>https://www.fut.gg/evolutions/1961-il-capitano-store/</t>
        </is>
      </c>
    </row>
    <row r="94">
      <c r="A94" t="inlineStr">
        <is>
          <t>OVR_Max</t>
        </is>
      </c>
      <c r="B94" t="inlineStr">
        <is>
          <t>OVR_Max</t>
        </is>
      </c>
      <c r="C94" t="inlineStr">
        <is>
          <t>Max</t>
        </is>
      </c>
      <c r="D94" t="inlineStr">
        <is>
          <t>89</t>
        </is>
      </c>
      <c r="E94" t="inlineStr">
        <is>
          <t>Overall Max. 89</t>
        </is>
      </c>
      <c r="F94" t="inlineStr">
        <is>
          <t>Gamechanger - EA SPORTS FC 26</t>
        </is>
      </c>
      <c r="G94" t="inlineStr">
        <is>
          <t>Reward</t>
        </is>
      </c>
      <c r="H94" t="inlineStr">
        <is>
          <t>Objective</t>
        </is>
      </c>
      <c r="I94" t="inlineStr">
        <is>
          <t>https://www.fut.gg/evolutions/1959-gamechanger/</t>
        </is>
      </c>
    </row>
    <row r="95">
      <c r="A95" t="inlineStr">
        <is>
          <t>Max_PS</t>
        </is>
      </c>
      <c r="B95" t="inlineStr">
        <is>
          <t>Max_PS</t>
        </is>
      </c>
      <c r="C95" t="inlineStr">
        <is>
          <t>Max</t>
        </is>
      </c>
      <c r="D95" t="inlineStr">
        <is>
          <t>7</t>
        </is>
      </c>
      <c r="E95" t="inlineStr">
        <is>
          <t>Max PS 7</t>
        </is>
      </c>
      <c r="F95" t="inlineStr">
        <is>
          <t>Gamechanger - EA SPORTS FC 26</t>
        </is>
      </c>
      <c r="G95" t="inlineStr">
        <is>
          <t>Reward</t>
        </is>
      </c>
      <c r="H95" t="inlineStr">
        <is>
          <t>Objective</t>
        </is>
      </c>
      <c r="I95" t="inlineStr">
        <is>
          <t>https://www.fut.gg/evolutions/1959-gamechanger/</t>
        </is>
      </c>
    </row>
    <row r="96">
      <c r="A96" t="inlineStr">
        <is>
          <t>Excluded_Rarity</t>
        </is>
      </c>
      <c r="B96" t="inlineStr">
        <is>
          <t>Excluded Rarity</t>
        </is>
      </c>
      <c r="C96" t="inlineStr">
        <is>
          <t>Exclude</t>
        </is>
      </c>
      <c r="D96" t="inlineStr">
        <is>
          <t>World Tour Silver Stars</t>
        </is>
      </c>
      <c r="E96" t="inlineStr">
        <is>
          <t>Excluded Rarity World Tour Silver Stars</t>
        </is>
      </c>
      <c r="F96" t="inlineStr">
        <is>
          <t>Gamechanger - EA SPORTS FC 26</t>
        </is>
      </c>
      <c r="G96" t="inlineStr">
        <is>
          <t>Reward</t>
        </is>
      </c>
      <c r="H96" t="inlineStr">
        <is>
          <t>Objective</t>
        </is>
      </c>
      <c r="I96" t="inlineStr">
        <is>
          <t>https://www.fut.gg/evolutions/1959-gamechanger/</t>
        </is>
      </c>
    </row>
    <row r="97">
      <c r="A97" t="inlineStr">
        <is>
          <t>Rarity</t>
        </is>
      </c>
      <c r="B97" t="inlineStr">
        <is>
          <t>Rarity</t>
        </is>
      </c>
      <c r="C97" t="inlineStr">
        <is>
          <t>Include</t>
        </is>
      </c>
      <c r="D97" t="inlineStr">
        <is>
          <t>World Tour Silver Stars</t>
        </is>
      </c>
      <c r="E97" t="inlineStr">
        <is>
          <t>Rarity World Tour Silver Stars</t>
        </is>
      </c>
      <c r="F97" t="inlineStr">
        <is>
          <t>Gamechanger - EA SPORTS FC 26</t>
        </is>
      </c>
      <c r="G97" t="inlineStr">
        <is>
          <t>Reward</t>
        </is>
      </c>
      <c r="H97" t="inlineStr">
        <is>
          <t>Objective</t>
        </is>
      </c>
      <c r="I97" t="inlineStr">
        <is>
          <t>https://www.fut.gg/evolutions/1959-gamechanger/</t>
        </is>
      </c>
    </row>
    <row r="98">
      <c r="A98" t="inlineStr">
        <is>
          <t>OVR_Max</t>
        </is>
      </c>
      <c r="B98" t="inlineStr">
        <is>
          <t>OVR_Max</t>
        </is>
      </c>
      <c r="C98" t="inlineStr">
        <is>
          <t>Max</t>
        </is>
      </c>
      <c r="D98" t="inlineStr">
        <is>
          <t>89</t>
        </is>
      </c>
      <c r="E98" t="inlineStr">
        <is>
          <t>Overall Max. 89</t>
        </is>
      </c>
      <c r="F98" t="inlineStr">
        <is>
          <t>Intercept - EA SPORTS FC 26</t>
        </is>
      </c>
      <c r="G98" t="inlineStr">
        <is>
          <t>Reward</t>
        </is>
      </c>
      <c r="H98" t="inlineStr">
        <is>
          <t>Objective</t>
        </is>
      </c>
      <c r="I98" t="inlineStr">
        <is>
          <t>https://www.fut.gg/evolutions/1958-intercept/</t>
        </is>
      </c>
    </row>
    <row r="99">
      <c r="A99" t="inlineStr">
        <is>
          <t>Max_PS</t>
        </is>
      </c>
      <c r="B99" t="inlineStr">
        <is>
          <t>Max_PS</t>
        </is>
      </c>
      <c r="C99" t="inlineStr">
        <is>
          <t>Max</t>
        </is>
      </c>
      <c r="D99" t="inlineStr">
        <is>
          <t>7</t>
        </is>
      </c>
      <c r="E99" t="inlineStr">
        <is>
          <t>Max PS 7</t>
        </is>
      </c>
      <c r="F99" t="inlineStr">
        <is>
          <t>Intercept - EA SPORTS FC 26</t>
        </is>
      </c>
      <c r="G99" t="inlineStr">
        <is>
          <t>Reward</t>
        </is>
      </c>
      <c r="H99" t="inlineStr">
        <is>
          <t>Objective</t>
        </is>
      </c>
      <c r="I99" t="inlineStr">
        <is>
          <t>https://www.fut.gg/evolutions/1958-intercept/</t>
        </is>
      </c>
    </row>
    <row r="100">
      <c r="A100" t="inlineStr">
        <is>
          <t>Excluded_Rarity</t>
        </is>
      </c>
      <c r="B100" t="inlineStr">
        <is>
          <t>Excluded Rarity</t>
        </is>
      </c>
      <c r="C100" t="inlineStr">
        <is>
          <t>Exclude</t>
        </is>
      </c>
      <c r="D100" t="inlineStr">
        <is>
          <t>World Tour Silver Stars</t>
        </is>
      </c>
      <c r="E100" t="inlineStr">
        <is>
          <t>Excluded Rarity World Tour Silver Stars</t>
        </is>
      </c>
      <c r="F100" t="inlineStr">
        <is>
          <t>Intercept - EA SPORTS FC 26</t>
        </is>
      </c>
      <c r="G100" t="inlineStr">
        <is>
          <t>Reward</t>
        </is>
      </c>
      <c r="H100" t="inlineStr">
        <is>
          <t>Objective</t>
        </is>
      </c>
      <c r="I100" t="inlineStr">
        <is>
          <t>https://www.fut.gg/evolutions/1958-intercept/</t>
        </is>
      </c>
    </row>
    <row r="101">
      <c r="A101" t="inlineStr">
        <is>
          <t>Rarity</t>
        </is>
      </c>
      <c r="B101" t="inlineStr">
        <is>
          <t>Rarity</t>
        </is>
      </c>
      <c r="C101" t="inlineStr">
        <is>
          <t>Include</t>
        </is>
      </c>
      <c r="D101" t="inlineStr">
        <is>
          <t>World Tour Silver Stars</t>
        </is>
      </c>
      <c r="E101" t="inlineStr">
        <is>
          <t>Rarity World Tour Silver Stars</t>
        </is>
      </c>
      <c r="F101" t="inlineStr">
        <is>
          <t>Intercept - EA SPORTS FC 26</t>
        </is>
      </c>
      <c r="G101" t="inlineStr">
        <is>
          <t>Reward</t>
        </is>
      </c>
      <c r="H101" t="inlineStr">
        <is>
          <t>Objective</t>
        </is>
      </c>
      <c r="I101" t="inlineStr">
        <is>
          <t>https://www.fut.gg/evolutions/1958-intercept/</t>
        </is>
      </c>
    </row>
    <row r="102">
      <c r="A102" t="inlineStr">
        <is>
          <t>OVR_Max</t>
        </is>
      </c>
      <c r="B102" t="inlineStr">
        <is>
          <t>OVR_Max</t>
        </is>
      </c>
      <c r="C102" t="inlineStr">
        <is>
          <t>Max</t>
        </is>
      </c>
      <c r="D102" t="inlineStr">
        <is>
          <t>89</t>
        </is>
      </c>
      <c r="E102" t="inlineStr">
        <is>
          <t>Overall Max. 89</t>
        </is>
      </c>
      <c r="F102" t="inlineStr">
        <is>
          <t>Defensive Awareness - EA SPORTS FC 26</t>
        </is>
      </c>
      <c r="G102" t="inlineStr">
        <is>
          <t>Reward</t>
        </is>
      </c>
      <c r="H102" t="inlineStr">
        <is>
          <t>Objective</t>
        </is>
      </c>
      <c r="I102" t="inlineStr">
        <is>
          <t>https://www.fut.gg/evolutions/1957-defensive-awareness/</t>
        </is>
      </c>
    </row>
    <row r="103">
      <c r="A103" t="inlineStr">
        <is>
          <t>Max_PS</t>
        </is>
      </c>
      <c r="B103" t="inlineStr">
        <is>
          <t>Max_PS</t>
        </is>
      </c>
      <c r="C103" t="inlineStr">
        <is>
          <t>Max</t>
        </is>
      </c>
      <c r="D103" t="inlineStr">
        <is>
          <t>7</t>
        </is>
      </c>
      <c r="E103" t="inlineStr">
        <is>
          <t>Max PS 7</t>
        </is>
      </c>
      <c r="F103" t="inlineStr">
        <is>
          <t>Defensive Awareness - EA SPORTS FC 26</t>
        </is>
      </c>
      <c r="G103" t="inlineStr">
        <is>
          <t>Reward</t>
        </is>
      </c>
      <c r="H103" t="inlineStr">
        <is>
          <t>Objective</t>
        </is>
      </c>
      <c r="I103" t="inlineStr">
        <is>
          <t>https://www.fut.gg/evolutions/1957-defensive-awareness/</t>
        </is>
      </c>
    </row>
    <row r="104">
      <c r="A104" t="inlineStr">
        <is>
          <t>Excluded_Rarity</t>
        </is>
      </c>
      <c r="B104" t="inlineStr">
        <is>
          <t>Excluded Rarity</t>
        </is>
      </c>
      <c r="C104" t="inlineStr">
        <is>
          <t>Exclude</t>
        </is>
      </c>
      <c r="D104" t="inlineStr">
        <is>
          <t>World Tour Silver Stars</t>
        </is>
      </c>
      <c r="E104" t="inlineStr">
        <is>
          <t>Excluded Rarity World Tour Silver Stars</t>
        </is>
      </c>
      <c r="F104" t="inlineStr">
        <is>
          <t>Defensive Awareness - EA SPORTS FC 26</t>
        </is>
      </c>
      <c r="G104" t="inlineStr">
        <is>
          <t>Reward</t>
        </is>
      </c>
      <c r="H104" t="inlineStr">
        <is>
          <t>Objective</t>
        </is>
      </c>
      <c r="I104" t="inlineStr">
        <is>
          <t>https://www.fut.gg/evolutions/1957-defensive-awareness/</t>
        </is>
      </c>
    </row>
    <row r="105">
      <c r="A105" t="inlineStr">
        <is>
          <t>Rarity</t>
        </is>
      </c>
      <c r="B105" t="inlineStr">
        <is>
          <t>Rarity</t>
        </is>
      </c>
      <c r="C105" t="inlineStr">
        <is>
          <t>Include</t>
        </is>
      </c>
      <c r="D105" t="inlineStr">
        <is>
          <t>World Tour Silver Stars</t>
        </is>
      </c>
      <c r="E105" t="inlineStr">
        <is>
          <t>Rarity World Tour Silver Stars</t>
        </is>
      </c>
      <c r="F105" t="inlineStr">
        <is>
          <t>Defensive Awareness - EA SPORTS FC 26</t>
        </is>
      </c>
      <c r="G105" t="inlineStr">
        <is>
          <t>Reward</t>
        </is>
      </c>
      <c r="H105" t="inlineStr">
        <is>
          <t>Objective</t>
        </is>
      </c>
      <c r="I105" t="inlineStr">
        <is>
          <t>https://www.fut.gg/evolutions/1957-defensive-awareness/</t>
        </is>
      </c>
    </row>
    <row r="106">
      <c r="A106" t="inlineStr">
        <is>
          <t>OVR_Max</t>
        </is>
      </c>
      <c r="B106" t="inlineStr">
        <is>
          <t>OVR_Max</t>
        </is>
      </c>
      <c r="C106" t="inlineStr">
        <is>
          <t>Max</t>
        </is>
      </c>
      <c r="D106" t="inlineStr">
        <is>
          <t>89</t>
        </is>
      </c>
      <c r="E106" t="inlineStr">
        <is>
          <t>Overall Max. 89</t>
        </is>
      </c>
      <c r="F106" t="inlineStr">
        <is>
          <t>In Form - EA SPORTS FC 26</t>
        </is>
      </c>
      <c r="G106" t="inlineStr">
        <is>
          <t>Reward</t>
        </is>
      </c>
      <c r="H106" t="inlineStr">
        <is>
          <t>Objective</t>
        </is>
      </c>
      <c r="I106" t="inlineStr">
        <is>
          <t>https://www.fut.gg/evolutions/1956-in-form/</t>
        </is>
      </c>
    </row>
    <row r="107">
      <c r="A107" t="inlineStr">
        <is>
          <t>Excluded_Rarity</t>
        </is>
      </c>
      <c r="B107" t="inlineStr">
        <is>
          <t>Excluded Rarity</t>
        </is>
      </c>
      <c r="C107" t="inlineStr">
        <is>
          <t>Exclude</t>
        </is>
      </c>
      <c r="D107" t="inlineStr">
        <is>
          <t>World Tour Silver Stars</t>
        </is>
      </c>
      <c r="E107" t="inlineStr">
        <is>
          <t>Excluded Rarity World Tour Silver Stars</t>
        </is>
      </c>
      <c r="F107" t="inlineStr">
        <is>
          <t>In Form - EA SPORTS FC 26</t>
        </is>
      </c>
      <c r="G107" t="inlineStr">
        <is>
          <t>Reward</t>
        </is>
      </c>
      <c r="H107" t="inlineStr">
        <is>
          <t>Objective</t>
        </is>
      </c>
      <c r="I107" t="inlineStr">
        <is>
          <t>https://www.fut.gg/evolutions/1956-in-form/</t>
        </is>
      </c>
    </row>
    <row r="108">
      <c r="A108" t="inlineStr">
        <is>
          <t>Rarity</t>
        </is>
      </c>
      <c r="B108" t="inlineStr">
        <is>
          <t>Rarity</t>
        </is>
      </c>
      <c r="C108" t="inlineStr">
        <is>
          <t>Include</t>
        </is>
      </c>
      <c r="D108" t="inlineStr">
        <is>
          <t>World Tour Silver Stars</t>
        </is>
      </c>
      <c r="E108" t="inlineStr">
        <is>
          <t>Rarity World Tour Silver Stars</t>
        </is>
      </c>
      <c r="F108" t="inlineStr">
        <is>
          <t>In Form - EA SPORTS FC 26</t>
        </is>
      </c>
      <c r="G108" t="inlineStr">
        <is>
          <t>Reward</t>
        </is>
      </c>
      <c r="H108" t="inlineStr">
        <is>
          <t>Objective</t>
        </is>
      </c>
      <c r="I108" t="inlineStr">
        <is>
          <t>https://www.fut.gg/evolutions/1956-in-form/</t>
        </is>
      </c>
    </row>
    <row r="109">
      <c r="A109" t="inlineStr">
        <is>
          <t>OVR_Max</t>
        </is>
      </c>
      <c r="B109" t="inlineStr">
        <is>
          <t>OVR_Max</t>
        </is>
      </c>
      <c r="C109" t="inlineStr">
        <is>
          <t>Max</t>
        </is>
      </c>
      <c r="D109" t="inlineStr">
        <is>
          <t>89</t>
        </is>
      </c>
      <c r="E109" t="inlineStr">
        <is>
          <t>Overall Max. 89</t>
        </is>
      </c>
      <c r="F109" t="inlineStr">
        <is>
          <t>Gamechanger+ - EA SPORTS FC 26</t>
        </is>
      </c>
      <c r="G109" t="inlineStr">
        <is>
          <t>Reward</t>
        </is>
      </c>
      <c r="H109" t="inlineStr">
        <is>
          <t>Objective</t>
        </is>
      </c>
      <c r="I109" t="inlineStr">
        <is>
          <t>https://www.fut.gg/evolutions/1955-gamechanger/</t>
        </is>
      </c>
    </row>
    <row r="110">
      <c r="A110" t="inlineStr">
        <is>
          <t>Max_PS</t>
        </is>
      </c>
      <c r="B110" t="inlineStr">
        <is>
          <t>Max_PS</t>
        </is>
      </c>
      <c r="C110" t="inlineStr">
        <is>
          <t>Max</t>
        </is>
      </c>
      <c r="D110" t="inlineStr">
        <is>
          <t>1</t>
        </is>
      </c>
      <c r="E110" t="inlineStr">
        <is>
          <t>Max PS 1</t>
        </is>
      </c>
      <c r="F110" t="inlineStr">
        <is>
          <t>Gamechanger+ - EA SPORTS FC 26</t>
        </is>
      </c>
      <c r="G110" t="inlineStr">
        <is>
          <t>Reward</t>
        </is>
      </c>
      <c r="H110" t="inlineStr">
        <is>
          <t>Objective</t>
        </is>
      </c>
      <c r="I110" t="inlineStr">
        <is>
          <t>https://www.fut.gg/evolutions/1955-gamechanger/</t>
        </is>
      </c>
    </row>
    <row r="111">
      <c r="A111" t="inlineStr">
        <is>
          <t>Excluded_Rarity</t>
        </is>
      </c>
      <c r="B111" t="inlineStr">
        <is>
          <t>Excluded Rarity</t>
        </is>
      </c>
      <c r="C111" t="inlineStr">
        <is>
          <t>Exclude</t>
        </is>
      </c>
      <c r="D111" t="inlineStr">
        <is>
          <t>World Tour Silver Stars</t>
        </is>
      </c>
      <c r="E111" t="inlineStr">
        <is>
          <t>Excluded Rarity World Tour Silver Stars</t>
        </is>
      </c>
      <c r="F111" t="inlineStr">
        <is>
          <t>Gamechanger+ - EA SPORTS FC 26</t>
        </is>
      </c>
      <c r="G111" t="inlineStr">
        <is>
          <t>Reward</t>
        </is>
      </c>
      <c r="H111" t="inlineStr">
        <is>
          <t>Objective</t>
        </is>
      </c>
      <c r="I111" t="inlineStr">
        <is>
          <t>https://www.fut.gg/evolutions/1955-gamechanger/</t>
        </is>
      </c>
    </row>
    <row r="112">
      <c r="A112" t="inlineStr">
        <is>
          <t>Rarity</t>
        </is>
      </c>
      <c r="B112" t="inlineStr">
        <is>
          <t>Rarity</t>
        </is>
      </c>
      <c r="C112" t="inlineStr">
        <is>
          <t>Include</t>
        </is>
      </c>
      <c r="D112" t="inlineStr">
        <is>
          <t>World Tour Silver Stars</t>
        </is>
      </c>
      <c r="E112" t="inlineStr">
        <is>
          <t>Rarity World Tour Silver Stars</t>
        </is>
      </c>
      <c r="F112" t="inlineStr">
        <is>
          <t>Gamechanger+ - EA SPORTS FC 26</t>
        </is>
      </c>
      <c r="G112" t="inlineStr">
        <is>
          <t>Reward</t>
        </is>
      </c>
      <c r="H112" t="inlineStr">
        <is>
          <t>Objective</t>
        </is>
      </c>
      <c r="I112" t="inlineStr">
        <is>
          <t>https://www.fut.gg/evolutions/1955-gamechanger/</t>
        </is>
      </c>
    </row>
    <row r="113">
      <c r="A113" t="inlineStr">
        <is>
          <t>OVR_Max</t>
        </is>
      </c>
      <c r="B113" t="inlineStr">
        <is>
          <t>OVR_Max</t>
        </is>
      </c>
      <c r="C113" t="inlineStr">
        <is>
          <t>Max</t>
        </is>
      </c>
      <c r="D113" t="inlineStr">
        <is>
          <t>89</t>
        </is>
      </c>
      <c r="E113" t="inlineStr">
        <is>
          <t>Overall Max. 89</t>
        </is>
      </c>
      <c r="F113" t="inlineStr">
        <is>
          <t>Intercept+ &amp; Quick Step+ - EA SPORTS FC 26</t>
        </is>
      </c>
      <c r="G113" t="inlineStr">
        <is>
          <t>Reward</t>
        </is>
      </c>
      <c r="H113" t="inlineStr">
        <is>
          <t>Objective</t>
        </is>
      </c>
      <c r="I113" t="inlineStr">
        <is>
          <t>https://www.fut.gg/evolutions/1952-intercept-quick-step/</t>
        </is>
      </c>
    </row>
    <row r="114">
      <c r="A114" t="inlineStr">
        <is>
          <t>Max_PS_Plus</t>
        </is>
      </c>
      <c r="B114" t="inlineStr">
        <is>
          <t>Max_PS_Plus</t>
        </is>
      </c>
      <c r="C114" t="inlineStr">
        <is>
          <t>Max</t>
        </is>
      </c>
      <c r="D114" t="inlineStr">
        <is>
          <t>1</t>
        </is>
      </c>
      <c r="E114" t="inlineStr">
        <is>
          <t>Max PS+ 1</t>
        </is>
      </c>
      <c r="F114" t="inlineStr">
        <is>
          <t>Intercept+ &amp; Quick Step+ - EA SPORTS FC 26</t>
        </is>
      </c>
      <c r="G114" t="inlineStr">
        <is>
          <t>Reward</t>
        </is>
      </c>
      <c r="H114" t="inlineStr">
        <is>
          <t>Objective</t>
        </is>
      </c>
      <c r="I114" t="inlineStr">
        <is>
          <t>https://www.fut.gg/evolutions/1952-intercept-quick-step/</t>
        </is>
      </c>
    </row>
    <row r="115">
      <c r="A115" t="inlineStr">
        <is>
          <t>Excluded_Rarity</t>
        </is>
      </c>
      <c r="B115" t="inlineStr">
        <is>
          <t>Excluded Rarity</t>
        </is>
      </c>
      <c r="C115" t="inlineStr">
        <is>
          <t>Exclude</t>
        </is>
      </c>
      <c r="D115" t="inlineStr">
        <is>
          <t>World Tour Silver Stars</t>
        </is>
      </c>
      <c r="E115" t="inlineStr">
        <is>
          <t>Excluded Rarity World Tour Silver Stars</t>
        </is>
      </c>
      <c r="F115" t="inlineStr">
        <is>
          <t>Intercept+ &amp; Quick Step+ - EA SPORTS FC 26</t>
        </is>
      </c>
      <c r="G115" t="inlineStr">
        <is>
          <t>Reward</t>
        </is>
      </c>
      <c r="H115" t="inlineStr">
        <is>
          <t>Objective</t>
        </is>
      </c>
      <c r="I115" t="inlineStr">
        <is>
          <t>https://www.fut.gg/evolutions/1952-intercept-quick-step/</t>
        </is>
      </c>
    </row>
    <row r="116">
      <c r="A116" t="inlineStr">
        <is>
          <t>Rarity</t>
        </is>
      </c>
      <c r="B116" t="inlineStr">
        <is>
          <t>Rarity</t>
        </is>
      </c>
      <c r="C116" t="inlineStr">
        <is>
          <t>Include</t>
        </is>
      </c>
      <c r="D116" t="inlineStr">
        <is>
          <t>World Tour Silver Stars</t>
        </is>
      </c>
      <c r="E116" t="inlineStr">
        <is>
          <t>Rarity World Tour Silver Stars</t>
        </is>
      </c>
      <c r="F116" t="inlineStr">
        <is>
          <t>Intercept+ &amp; Quick Step+ - EA SPORTS FC 26</t>
        </is>
      </c>
      <c r="G116" t="inlineStr">
        <is>
          <t>Reward</t>
        </is>
      </c>
      <c r="H116" t="inlineStr">
        <is>
          <t>Objective</t>
        </is>
      </c>
      <c r="I116" t="inlineStr">
        <is>
          <t>https://www.fut.gg/evolutions/1952-intercept-quick-step/</t>
        </is>
      </c>
    </row>
    <row r="117">
      <c r="A117" t="inlineStr">
        <is>
          <t>OVR_Max</t>
        </is>
      </c>
      <c r="B117" t="inlineStr">
        <is>
          <t>OVR_Max</t>
        </is>
      </c>
      <c r="C117" t="inlineStr">
        <is>
          <t>Max</t>
        </is>
      </c>
      <c r="D117" t="inlineStr">
        <is>
          <t>74</t>
        </is>
      </c>
      <c r="E117" t="inlineStr">
        <is>
          <t>Overall Max. 74</t>
        </is>
      </c>
      <c r="F117" t="inlineStr">
        <is>
          <t>WTSS Defender Boost - EA SPORTS FC 26</t>
        </is>
      </c>
      <c r="G117" t="inlineStr">
        <is>
          <t>Reward</t>
        </is>
      </c>
      <c r="H117" t="inlineStr">
        <is>
          <t>Objective</t>
        </is>
      </c>
      <c r="I117" t="inlineStr">
        <is>
          <t>https://www.fut.gg/evolutions/1950-wtss-defender-boost/</t>
        </is>
      </c>
    </row>
    <row r="118">
      <c r="A118" t="inlineStr">
        <is>
          <t>Max_PS_Plus</t>
        </is>
      </c>
      <c r="B118" t="inlineStr">
        <is>
          <t>Max_PS_Plus</t>
        </is>
      </c>
      <c r="C118" t="inlineStr">
        <is>
          <t>Max</t>
        </is>
      </c>
      <c r="D118" t="inlineStr">
        <is>
          <t>1</t>
        </is>
      </c>
      <c r="E118" t="inlineStr">
        <is>
          <t>Max PS+ 1</t>
        </is>
      </c>
      <c r="F118" t="inlineStr">
        <is>
          <t>WTSS Defender Boost - EA SPORTS FC 26</t>
        </is>
      </c>
      <c r="G118" t="inlineStr">
        <is>
          <t>Reward</t>
        </is>
      </c>
      <c r="H118" t="inlineStr">
        <is>
          <t>Objective</t>
        </is>
      </c>
      <c r="I118" t="inlineStr">
        <is>
          <t>https://www.fut.gg/evolutions/1950-wtss-defender-boost/</t>
        </is>
      </c>
    </row>
    <row r="119">
      <c r="A119" t="inlineStr">
        <is>
          <t>Rarity</t>
        </is>
      </c>
      <c r="B119" t="inlineStr">
        <is>
          <t>Rarity</t>
        </is>
      </c>
      <c r="C119" t="inlineStr">
        <is>
          <t>Include</t>
        </is>
      </c>
      <c r="D119" t="inlineStr">
        <is>
          <t>World Tour Silver Stars</t>
        </is>
      </c>
      <c r="E119" t="inlineStr">
        <is>
          <t>Rarity World Tour Silver Stars</t>
        </is>
      </c>
      <c r="F119" t="inlineStr">
        <is>
          <t>WTSS Defender Boost - EA SPORTS FC 26</t>
        </is>
      </c>
      <c r="G119" t="inlineStr">
        <is>
          <t>Reward</t>
        </is>
      </c>
      <c r="H119" t="inlineStr">
        <is>
          <t>Objective</t>
        </is>
      </c>
      <c r="I119" t="inlineStr">
        <is>
          <t>https://www.fut.gg/evolutions/1950-wtss-defender-boost/</t>
        </is>
      </c>
    </row>
    <row r="120">
      <c r="A120" t="inlineStr">
        <is>
          <t>OVR_Max</t>
        </is>
      </c>
      <c r="B120" t="inlineStr">
        <is>
          <t>OVR_Max</t>
        </is>
      </c>
      <c r="C120" t="inlineStr">
        <is>
          <t>Max</t>
        </is>
      </c>
      <c r="D120" t="inlineStr">
        <is>
          <t>74</t>
        </is>
      </c>
      <c r="E120" t="inlineStr">
        <is>
          <t>Overall Max. 74</t>
        </is>
      </c>
      <c r="F120" t="inlineStr">
        <is>
          <t>WTSS Attacker Boost - EA SPORTS FC 26</t>
        </is>
      </c>
      <c r="G120" t="inlineStr">
        <is>
          <t>Reward</t>
        </is>
      </c>
      <c r="H120" t="inlineStr">
        <is>
          <t>Objective</t>
        </is>
      </c>
      <c r="I120" t="inlineStr">
        <is>
          <t>https://www.fut.gg/evolutions/1949-wtss-attacker-boost/</t>
        </is>
      </c>
    </row>
    <row r="121">
      <c r="A121" t="inlineStr">
        <is>
          <t>Max_PS_Plus</t>
        </is>
      </c>
      <c r="B121" t="inlineStr">
        <is>
          <t>Max_PS_Plus</t>
        </is>
      </c>
      <c r="C121" t="inlineStr">
        <is>
          <t>Max</t>
        </is>
      </c>
      <c r="D121" t="inlineStr">
        <is>
          <t>1</t>
        </is>
      </c>
      <c r="E121" t="inlineStr">
        <is>
          <t>Max PS+ 1</t>
        </is>
      </c>
      <c r="F121" t="inlineStr">
        <is>
          <t>WTSS Attacker Boost - EA SPORTS FC 26</t>
        </is>
      </c>
      <c r="G121" t="inlineStr">
        <is>
          <t>Reward</t>
        </is>
      </c>
      <c r="H121" t="inlineStr">
        <is>
          <t>Objective</t>
        </is>
      </c>
      <c r="I121" t="inlineStr">
        <is>
          <t>https://www.fut.gg/evolutions/1949-wtss-attacker-boost/</t>
        </is>
      </c>
    </row>
    <row r="122">
      <c r="A122" t="inlineStr">
        <is>
          <t>Rarity</t>
        </is>
      </c>
      <c r="B122" t="inlineStr">
        <is>
          <t>Rarity</t>
        </is>
      </c>
      <c r="C122" t="inlineStr">
        <is>
          <t>Include</t>
        </is>
      </c>
      <c r="D122" t="inlineStr">
        <is>
          <t>World Tour Silver Stars</t>
        </is>
      </c>
      <c r="E122" t="inlineStr">
        <is>
          <t>Rarity World Tour Silver Stars</t>
        </is>
      </c>
      <c r="F122" t="inlineStr">
        <is>
          <t>WTSS Attacker Boost - EA SPORTS FC 26</t>
        </is>
      </c>
      <c r="G122" t="inlineStr">
        <is>
          <t>Reward</t>
        </is>
      </c>
      <c r="H122" t="inlineStr">
        <is>
          <t>Objective</t>
        </is>
      </c>
      <c r="I122" t="inlineStr">
        <is>
          <t>https://www.fut.gg/evolutions/1949-wtss-attacker-boost/</t>
        </is>
      </c>
    </row>
    <row r="123">
      <c r="A123" t="inlineStr">
        <is>
          <t>OVR_Max</t>
        </is>
      </c>
      <c r="B123" t="inlineStr">
        <is>
          <t>OVR_Max</t>
        </is>
      </c>
      <c r="C123" t="inlineStr">
        <is>
          <t>Max</t>
        </is>
      </c>
      <c r="D123" t="inlineStr">
        <is>
          <t>89</t>
        </is>
      </c>
      <c r="E123" t="inlineStr">
        <is>
          <t>Overall Max. 89</t>
        </is>
      </c>
      <c r="F123" t="inlineStr">
        <is>
          <t>Jockey - EA SPORTS FC 26</t>
        </is>
      </c>
      <c r="G123" t="inlineStr">
        <is>
          <t>Reward</t>
        </is>
      </c>
      <c r="H123" t="inlineStr">
        <is>
          <t>Objective</t>
        </is>
      </c>
      <c r="I123" t="inlineStr">
        <is>
          <t>https://www.fut.gg/evolutions/1948-jockey/</t>
        </is>
      </c>
    </row>
    <row r="124">
      <c r="A124" t="inlineStr">
        <is>
          <t>Max_PS</t>
        </is>
      </c>
      <c r="B124" t="inlineStr">
        <is>
          <t>Max_PS</t>
        </is>
      </c>
      <c r="C124" t="inlineStr">
        <is>
          <t>Max</t>
        </is>
      </c>
      <c r="D124" t="inlineStr">
        <is>
          <t>7</t>
        </is>
      </c>
      <c r="E124" t="inlineStr">
        <is>
          <t>Max PS 7</t>
        </is>
      </c>
      <c r="F124" t="inlineStr">
        <is>
          <t>Jockey - EA SPORTS FC 26</t>
        </is>
      </c>
      <c r="G124" t="inlineStr">
        <is>
          <t>Reward</t>
        </is>
      </c>
      <c r="H124" t="inlineStr">
        <is>
          <t>Objective</t>
        </is>
      </c>
      <c r="I124" t="inlineStr">
        <is>
          <t>https://www.fut.gg/evolutions/1948-jockey/</t>
        </is>
      </c>
    </row>
    <row r="125">
      <c r="A125" t="inlineStr">
        <is>
          <t>Excluded_Rarity</t>
        </is>
      </c>
      <c r="B125" t="inlineStr">
        <is>
          <t>Excluded Rarity</t>
        </is>
      </c>
      <c r="C125" t="inlineStr">
        <is>
          <t>Exclude</t>
        </is>
      </c>
      <c r="D125" t="inlineStr">
        <is>
          <t>World Tour Silver Stars</t>
        </is>
      </c>
      <c r="E125" t="inlineStr">
        <is>
          <t>Excluded Rarity World Tour Silver Stars</t>
        </is>
      </c>
      <c r="F125" t="inlineStr">
        <is>
          <t>Jockey - EA SPORTS FC 26</t>
        </is>
      </c>
      <c r="G125" t="inlineStr">
        <is>
          <t>Reward</t>
        </is>
      </c>
      <c r="H125" t="inlineStr">
        <is>
          <t>Objective</t>
        </is>
      </c>
      <c r="I125" t="inlineStr">
        <is>
          <t>https://www.fut.gg/evolutions/1948-jockey/</t>
        </is>
      </c>
    </row>
    <row r="126">
      <c r="A126" t="inlineStr">
        <is>
          <t>Rarity</t>
        </is>
      </c>
      <c r="B126" t="inlineStr">
        <is>
          <t>Rarity</t>
        </is>
      </c>
      <c r="C126" t="inlineStr">
        <is>
          <t>Include</t>
        </is>
      </c>
      <c r="D126" t="inlineStr">
        <is>
          <t>World Tour Silver Stars</t>
        </is>
      </c>
      <c r="E126" t="inlineStr">
        <is>
          <t>Rarity World Tour Silver Stars</t>
        </is>
      </c>
      <c r="F126" t="inlineStr">
        <is>
          <t>Jockey - EA SPORTS FC 26</t>
        </is>
      </c>
      <c r="G126" t="inlineStr">
        <is>
          <t>Reward</t>
        </is>
      </c>
      <c r="H126" t="inlineStr">
        <is>
          <t>Objective</t>
        </is>
      </c>
      <c r="I126" t="inlineStr">
        <is>
          <t>https://www.fut.gg/evolutions/1948-jockey/</t>
        </is>
      </c>
    </row>
    <row r="127">
      <c r="A127" t="inlineStr">
        <is>
          <t>OVR_Max</t>
        </is>
      </c>
      <c r="B127" t="inlineStr">
        <is>
          <t>OVR_Max</t>
        </is>
      </c>
      <c r="C127" t="inlineStr">
        <is>
          <t>Max</t>
        </is>
      </c>
      <c r="D127" t="inlineStr">
        <is>
          <t>89</t>
        </is>
      </c>
      <c r="E127" t="inlineStr">
        <is>
          <t>Overall Max. 89</t>
        </is>
      </c>
      <c r="F127" t="inlineStr">
        <is>
          <t>Pinged Pass - EA SPORTS FC 26</t>
        </is>
      </c>
      <c r="G127" t="inlineStr">
        <is>
          <t>Reward</t>
        </is>
      </c>
      <c r="H127" t="inlineStr">
        <is>
          <t>Objective</t>
        </is>
      </c>
      <c r="I127" t="inlineStr">
        <is>
          <t>https://www.fut.gg/evolutions/1947-pinged-pass/</t>
        </is>
      </c>
    </row>
    <row r="128">
      <c r="A128" t="inlineStr">
        <is>
          <t>Max_PS</t>
        </is>
      </c>
      <c r="B128" t="inlineStr">
        <is>
          <t>Max_PS</t>
        </is>
      </c>
      <c r="C128" t="inlineStr">
        <is>
          <t>Max</t>
        </is>
      </c>
      <c r="D128" t="inlineStr">
        <is>
          <t>7</t>
        </is>
      </c>
      <c r="E128" t="inlineStr">
        <is>
          <t>Max PS 7</t>
        </is>
      </c>
      <c r="F128" t="inlineStr">
        <is>
          <t>Pinged Pass - EA SPORTS FC 26</t>
        </is>
      </c>
      <c r="G128" t="inlineStr">
        <is>
          <t>Reward</t>
        </is>
      </c>
      <c r="H128" t="inlineStr">
        <is>
          <t>Objective</t>
        </is>
      </c>
      <c r="I128" t="inlineStr">
        <is>
          <t>https://www.fut.gg/evolutions/1947-pinged-pass/</t>
        </is>
      </c>
    </row>
    <row r="129">
      <c r="A129" t="inlineStr">
        <is>
          <t>Excluded_Rarity</t>
        </is>
      </c>
      <c r="B129" t="inlineStr">
        <is>
          <t>Excluded Rarity</t>
        </is>
      </c>
      <c r="C129" t="inlineStr">
        <is>
          <t>Exclude</t>
        </is>
      </c>
      <c r="D129" t="inlineStr">
        <is>
          <t>World Tour Silver Stars</t>
        </is>
      </c>
      <c r="E129" t="inlineStr">
        <is>
          <t>Excluded Rarity World Tour Silver Stars</t>
        </is>
      </c>
      <c r="F129" t="inlineStr">
        <is>
          <t>Pinged Pass - EA SPORTS FC 26</t>
        </is>
      </c>
      <c r="G129" t="inlineStr">
        <is>
          <t>Reward</t>
        </is>
      </c>
      <c r="H129" t="inlineStr">
        <is>
          <t>Objective</t>
        </is>
      </c>
      <c r="I129" t="inlineStr">
        <is>
          <t>https://www.fut.gg/evolutions/1947-pinged-pass/</t>
        </is>
      </c>
    </row>
    <row r="130">
      <c r="A130" t="inlineStr">
        <is>
          <t>Rarity</t>
        </is>
      </c>
      <c r="B130" t="inlineStr">
        <is>
          <t>Rarity</t>
        </is>
      </c>
      <c r="C130" t="inlineStr">
        <is>
          <t>Include</t>
        </is>
      </c>
      <c r="D130" t="inlineStr">
        <is>
          <t>World Tour Silver Stars</t>
        </is>
      </c>
      <c r="E130" t="inlineStr">
        <is>
          <t>Rarity World Tour Silver Stars</t>
        </is>
      </c>
      <c r="F130" t="inlineStr">
        <is>
          <t>Pinged Pass - EA SPORTS FC 26</t>
        </is>
      </c>
      <c r="G130" t="inlineStr">
        <is>
          <t>Reward</t>
        </is>
      </c>
      <c r="H130" t="inlineStr">
        <is>
          <t>Objective</t>
        </is>
      </c>
      <c r="I130" t="inlineStr">
        <is>
          <t>https://www.fut.gg/evolutions/1947-pinged-pass/</t>
        </is>
      </c>
    </row>
    <row r="131">
      <c r="A131" t="inlineStr">
        <is>
          <t>OVR_Max</t>
        </is>
      </c>
      <c r="B131" t="inlineStr">
        <is>
          <t>OVR_Max</t>
        </is>
      </c>
      <c r="C131" t="inlineStr">
        <is>
          <t>Max</t>
        </is>
      </c>
      <c r="D131" t="inlineStr">
        <is>
          <t>89</t>
        </is>
      </c>
      <c r="E131" t="inlineStr">
        <is>
          <t>Overall Max. 89</t>
        </is>
      </c>
      <c r="F131" t="inlineStr">
        <is>
          <t>Quick Step - EA SPORTS FC 26</t>
        </is>
      </c>
      <c r="G131" t="inlineStr">
        <is>
          <t>Reward</t>
        </is>
      </c>
      <c r="H131" t="inlineStr">
        <is>
          <t>Objective</t>
        </is>
      </c>
      <c r="I131" t="inlineStr">
        <is>
          <t>https://www.fut.gg/evolutions/1946-quick-step/</t>
        </is>
      </c>
    </row>
    <row r="132">
      <c r="A132" t="inlineStr">
        <is>
          <t>Max_PS</t>
        </is>
      </c>
      <c r="B132" t="inlineStr">
        <is>
          <t>Max_PS</t>
        </is>
      </c>
      <c r="C132" t="inlineStr">
        <is>
          <t>Max</t>
        </is>
      </c>
      <c r="D132" t="inlineStr">
        <is>
          <t>7</t>
        </is>
      </c>
      <c r="E132" t="inlineStr">
        <is>
          <t>Max PS 7</t>
        </is>
      </c>
      <c r="F132" t="inlineStr">
        <is>
          <t>Quick Step - EA SPORTS FC 26</t>
        </is>
      </c>
      <c r="G132" t="inlineStr">
        <is>
          <t>Reward</t>
        </is>
      </c>
      <c r="H132" t="inlineStr">
        <is>
          <t>Objective</t>
        </is>
      </c>
      <c r="I132" t="inlineStr">
        <is>
          <t>https://www.fut.gg/evolutions/1946-quick-step/</t>
        </is>
      </c>
    </row>
    <row r="133">
      <c r="A133" t="inlineStr">
        <is>
          <t>Excluded_Rarity</t>
        </is>
      </c>
      <c r="B133" t="inlineStr">
        <is>
          <t>Excluded Rarity</t>
        </is>
      </c>
      <c r="C133" t="inlineStr">
        <is>
          <t>Exclude</t>
        </is>
      </c>
      <c r="D133" t="inlineStr">
        <is>
          <t>World Tour Silver Stars</t>
        </is>
      </c>
      <c r="E133" t="inlineStr">
        <is>
          <t>Excluded Rarity World Tour Silver Stars</t>
        </is>
      </c>
      <c r="F133" t="inlineStr">
        <is>
          <t>Quick Step - EA SPORTS FC 26</t>
        </is>
      </c>
      <c r="G133" t="inlineStr">
        <is>
          <t>Reward</t>
        </is>
      </c>
      <c r="H133" t="inlineStr">
        <is>
          <t>Objective</t>
        </is>
      </c>
      <c r="I133" t="inlineStr">
        <is>
          <t>https://www.fut.gg/evolutions/1946-quick-step/</t>
        </is>
      </c>
    </row>
    <row r="134">
      <c r="A134" t="inlineStr">
        <is>
          <t>Rarity</t>
        </is>
      </c>
      <c r="B134" t="inlineStr">
        <is>
          <t>Rarity</t>
        </is>
      </c>
      <c r="C134" t="inlineStr">
        <is>
          <t>Include</t>
        </is>
      </c>
      <c r="D134" t="inlineStr">
        <is>
          <t>World Tour Silver Stars</t>
        </is>
      </c>
      <c r="E134" t="inlineStr">
        <is>
          <t>Rarity World Tour Silver Stars</t>
        </is>
      </c>
      <c r="F134" t="inlineStr">
        <is>
          <t>Quick Step - EA SPORTS FC 26</t>
        </is>
      </c>
      <c r="G134" t="inlineStr">
        <is>
          <t>Reward</t>
        </is>
      </c>
      <c r="H134" t="inlineStr">
        <is>
          <t>Objective</t>
        </is>
      </c>
      <c r="I134" t="inlineStr">
        <is>
          <t>https://www.fut.gg/evolutions/1946-quick-step/</t>
        </is>
      </c>
    </row>
    <row r="135">
      <c r="A135" t="inlineStr">
        <is>
          <t>OVR_Max</t>
        </is>
      </c>
      <c r="B135" t="inlineStr">
        <is>
          <t>OVR_Max</t>
        </is>
      </c>
      <c r="C135" t="inlineStr">
        <is>
          <t>Max</t>
        </is>
      </c>
      <c r="D135" t="inlineStr">
        <is>
          <t>89</t>
        </is>
      </c>
      <c r="E135" t="inlineStr">
        <is>
          <t>Overall Max. 89</t>
        </is>
      </c>
      <c r="F135" t="inlineStr">
        <is>
          <t>Technical - EA SPORTS FC 26</t>
        </is>
      </c>
      <c r="G135" t="inlineStr">
        <is>
          <t>Reward</t>
        </is>
      </c>
      <c r="H135" t="inlineStr">
        <is>
          <t>Objective</t>
        </is>
      </c>
      <c r="I135" t="inlineStr">
        <is>
          <t>https://www.fut.gg/evolutions/1945-technical/</t>
        </is>
      </c>
    </row>
    <row r="136">
      <c r="A136" t="inlineStr">
        <is>
          <t>Max_PS</t>
        </is>
      </c>
      <c r="B136" t="inlineStr">
        <is>
          <t>Max_PS</t>
        </is>
      </c>
      <c r="C136" t="inlineStr">
        <is>
          <t>Max</t>
        </is>
      </c>
      <c r="D136" t="inlineStr">
        <is>
          <t>7</t>
        </is>
      </c>
      <c r="E136" t="inlineStr">
        <is>
          <t>Max PS 7</t>
        </is>
      </c>
      <c r="F136" t="inlineStr">
        <is>
          <t>Technical - EA SPORTS FC 26</t>
        </is>
      </c>
      <c r="G136" t="inlineStr">
        <is>
          <t>Reward</t>
        </is>
      </c>
      <c r="H136" t="inlineStr">
        <is>
          <t>Objective</t>
        </is>
      </c>
      <c r="I136" t="inlineStr">
        <is>
          <t>https://www.fut.gg/evolutions/1945-technical/</t>
        </is>
      </c>
    </row>
    <row r="137">
      <c r="A137" t="inlineStr">
        <is>
          <t>Excluded_Rarity</t>
        </is>
      </c>
      <c r="B137" t="inlineStr">
        <is>
          <t>Excluded Rarity</t>
        </is>
      </c>
      <c r="C137" t="inlineStr">
        <is>
          <t>Exclude</t>
        </is>
      </c>
      <c r="D137" t="inlineStr">
        <is>
          <t>World Tour Silver Stars</t>
        </is>
      </c>
      <c r="E137" t="inlineStr">
        <is>
          <t>Excluded Rarity World Tour Silver Stars</t>
        </is>
      </c>
      <c r="F137" t="inlineStr">
        <is>
          <t>Technical - EA SPORTS FC 26</t>
        </is>
      </c>
      <c r="G137" t="inlineStr">
        <is>
          <t>Reward</t>
        </is>
      </c>
      <c r="H137" t="inlineStr">
        <is>
          <t>Objective</t>
        </is>
      </c>
      <c r="I137" t="inlineStr">
        <is>
          <t>https://www.fut.gg/evolutions/1945-technical/</t>
        </is>
      </c>
    </row>
    <row r="138">
      <c r="A138" t="inlineStr">
        <is>
          <t>Rarity</t>
        </is>
      </c>
      <c r="B138" t="inlineStr">
        <is>
          <t>Rarity</t>
        </is>
      </c>
      <c r="C138" t="inlineStr">
        <is>
          <t>Include</t>
        </is>
      </c>
      <c r="D138" t="inlineStr">
        <is>
          <t>World Tour Silver Stars</t>
        </is>
      </c>
      <c r="E138" t="inlineStr">
        <is>
          <t>Rarity World Tour Silver Stars</t>
        </is>
      </c>
      <c r="F138" t="inlineStr">
        <is>
          <t>Technical - EA SPORTS FC 26</t>
        </is>
      </c>
      <c r="G138" t="inlineStr">
        <is>
          <t>Reward</t>
        </is>
      </c>
      <c r="H138" t="inlineStr">
        <is>
          <t>Objective</t>
        </is>
      </c>
      <c r="I138" t="inlineStr">
        <is>
          <t>https://www.fut.gg/evolutions/1945-technical/</t>
        </is>
      </c>
    </row>
    <row r="139">
      <c r="A139" t="inlineStr">
        <is>
          <t>OVR_Max</t>
        </is>
      </c>
      <c r="B139" t="inlineStr">
        <is>
          <t>OVR_Max</t>
        </is>
      </c>
      <c r="C139" t="inlineStr">
        <is>
          <t>Max</t>
        </is>
      </c>
      <c r="D139" t="inlineStr">
        <is>
          <t>89</t>
        </is>
      </c>
      <c r="E139" t="inlineStr">
        <is>
          <t>Overall Max. 89</t>
        </is>
      </c>
      <c r="F139" t="inlineStr">
        <is>
          <t>First Touch - EA SPORTS FC 26</t>
        </is>
      </c>
      <c r="G139" t="inlineStr">
        <is>
          <t>Reward</t>
        </is>
      </c>
      <c r="H139" t="inlineStr">
        <is>
          <t>Objective</t>
        </is>
      </c>
      <c r="I139" t="inlineStr">
        <is>
          <t>https://www.fut.gg/evolutions/1944-first-touch/</t>
        </is>
      </c>
    </row>
    <row r="140">
      <c r="A140" t="inlineStr">
        <is>
          <t>Max_PS</t>
        </is>
      </c>
      <c r="B140" t="inlineStr">
        <is>
          <t>Max_PS</t>
        </is>
      </c>
      <c r="C140" t="inlineStr">
        <is>
          <t>Max</t>
        </is>
      </c>
      <c r="D140" t="inlineStr">
        <is>
          <t>7</t>
        </is>
      </c>
      <c r="E140" t="inlineStr">
        <is>
          <t>Max PS 7</t>
        </is>
      </c>
      <c r="F140" t="inlineStr">
        <is>
          <t>First Touch - EA SPORTS FC 26</t>
        </is>
      </c>
      <c r="G140" t="inlineStr">
        <is>
          <t>Reward</t>
        </is>
      </c>
      <c r="H140" t="inlineStr">
        <is>
          <t>Objective</t>
        </is>
      </c>
      <c r="I140" t="inlineStr">
        <is>
          <t>https://www.fut.gg/evolutions/1944-first-touch/</t>
        </is>
      </c>
    </row>
    <row r="141">
      <c r="A141" t="inlineStr">
        <is>
          <t>Excluded_Rarity</t>
        </is>
      </c>
      <c r="B141" t="inlineStr">
        <is>
          <t>Excluded Rarity</t>
        </is>
      </c>
      <c r="C141" t="inlineStr">
        <is>
          <t>Exclude</t>
        </is>
      </c>
      <c r="D141" t="inlineStr">
        <is>
          <t>World Tour Silver Stars</t>
        </is>
      </c>
      <c r="E141" t="inlineStr">
        <is>
          <t>Excluded Rarity World Tour Silver Stars</t>
        </is>
      </c>
      <c r="F141" t="inlineStr">
        <is>
          <t>First Touch - EA SPORTS FC 26</t>
        </is>
      </c>
      <c r="G141" t="inlineStr">
        <is>
          <t>Reward</t>
        </is>
      </c>
      <c r="H141" t="inlineStr">
        <is>
          <t>Objective</t>
        </is>
      </c>
      <c r="I141" t="inlineStr">
        <is>
          <t>https://www.fut.gg/evolutions/1944-first-touch/</t>
        </is>
      </c>
    </row>
    <row r="142">
      <c r="A142" t="inlineStr">
        <is>
          <t>Rarity</t>
        </is>
      </c>
      <c r="B142" t="inlineStr">
        <is>
          <t>Rarity</t>
        </is>
      </c>
      <c r="C142" t="inlineStr">
        <is>
          <t>Include</t>
        </is>
      </c>
      <c r="D142" t="inlineStr">
        <is>
          <t>World Tour Silver Stars</t>
        </is>
      </c>
      <c r="E142" t="inlineStr">
        <is>
          <t>Rarity World Tour Silver Stars</t>
        </is>
      </c>
      <c r="F142" t="inlineStr">
        <is>
          <t>First Touch - EA SPORTS FC 26</t>
        </is>
      </c>
      <c r="G142" t="inlineStr">
        <is>
          <t>Reward</t>
        </is>
      </c>
      <c r="H142" t="inlineStr">
        <is>
          <t>Objective</t>
        </is>
      </c>
      <c r="I142" t="inlineStr">
        <is>
          <t>https://www.fut.gg/evolutions/1944-first-touch/</t>
        </is>
      </c>
    </row>
    <row r="143">
      <c r="A143" t="inlineStr">
        <is>
          <t>OVR_Max</t>
        </is>
      </c>
      <c r="B143" t="inlineStr">
        <is>
          <t>OVR_Max</t>
        </is>
      </c>
      <c r="C143" t="inlineStr">
        <is>
          <t>Max</t>
        </is>
      </c>
      <c r="D143" t="inlineStr">
        <is>
          <t>89</t>
        </is>
      </c>
      <c r="E143" t="inlineStr">
        <is>
          <t>Overall Max. 89</t>
        </is>
      </c>
      <c r="F143" t="inlineStr">
        <is>
          <t>Pinged Pass and Finesse Shot - EA SPORTS FC 26</t>
        </is>
      </c>
      <c r="G143" t="inlineStr">
        <is>
          <t>Reward</t>
        </is>
      </c>
      <c r="H143" t="inlineStr">
        <is>
          <t>Objective</t>
        </is>
      </c>
      <c r="I143" t="inlineStr">
        <is>
          <t>https://www.fut.gg/evolutions/1943-pinged-pass-and-finesse-shot/</t>
        </is>
      </c>
    </row>
    <row r="144">
      <c r="A144" t="inlineStr">
        <is>
          <t>Max_PS</t>
        </is>
      </c>
      <c r="B144" t="inlineStr">
        <is>
          <t>Max_PS</t>
        </is>
      </c>
      <c r="C144" t="inlineStr">
        <is>
          <t>Max</t>
        </is>
      </c>
      <c r="D144" t="inlineStr">
        <is>
          <t>7</t>
        </is>
      </c>
      <c r="E144" t="inlineStr">
        <is>
          <t>Max PS 7</t>
        </is>
      </c>
      <c r="F144" t="inlineStr">
        <is>
          <t>Pinged Pass and Finesse Shot - EA SPORTS FC 26</t>
        </is>
      </c>
      <c r="G144" t="inlineStr">
        <is>
          <t>Reward</t>
        </is>
      </c>
      <c r="H144" t="inlineStr">
        <is>
          <t>Objective</t>
        </is>
      </c>
      <c r="I144" t="inlineStr">
        <is>
          <t>https://www.fut.gg/evolutions/1943-pinged-pass-and-finesse-shot/</t>
        </is>
      </c>
    </row>
    <row r="145">
      <c r="A145" t="inlineStr">
        <is>
          <t>Excluded_Rarity</t>
        </is>
      </c>
      <c r="B145" t="inlineStr">
        <is>
          <t>Excluded Rarity</t>
        </is>
      </c>
      <c r="C145" t="inlineStr">
        <is>
          <t>Exclude</t>
        </is>
      </c>
      <c r="D145" t="inlineStr">
        <is>
          <t>World Tour Silver Stars</t>
        </is>
      </c>
      <c r="E145" t="inlineStr">
        <is>
          <t>Excluded Rarity World Tour Silver Stars</t>
        </is>
      </c>
      <c r="F145" t="inlineStr">
        <is>
          <t>Pinged Pass and Finesse Shot - EA SPORTS FC 26</t>
        </is>
      </c>
      <c r="G145" t="inlineStr">
        <is>
          <t>Reward</t>
        </is>
      </c>
      <c r="H145" t="inlineStr">
        <is>
          <t>Objective</t>
        </is>
      </c>
      <c r="I145" t="inlineStr">
        <is>
          <t>https://www.fut.gg/evolutions/1943-pinged-pass-and-finesse-shot/</t>
        </is>
      </c>
    </row>
    <row r="146">
      <c r="A146" t="inlineStr">
        <is>
          <t>Rarity</t>
        </is>
      </c>
      <c r="B146" t="inlineStr">
        <is>
          <t>Rarity</t>
        </is>
      </c>
      <c r="C146" t="inlineStr">
        <is>
          <t>Include</t>
        </is>
      </c>
      <c r="D146" t="inlineStr">
        <is>
          <t>World Tour Silver Stars</t>
        </is>
      </c>
      <c r="E146" t="inlineStr">
        <is>
          <t>Rarity World Tour Silver Stars</t>
        </is>
      </c>
      <c r="F146" t="inlineStr">
        <is>
          <t>Pinged Pass and Finesse Shot - EA SPORTS FC 26</t>
        </is>
      </c>
      <c r="G146" t="inlineStr">
        <is>
          <t>Reward</t>
        </is>
      </c>
      <c r="H146" t="inlineStr">
        <is>
          <t>Objective</t>
        </is>
      </c>
      <c r="I146" t="inlineStr">
        <is>
          <t>https://www.fut.gg/evolutions/1943-pinged-pass-and-finesse-shot/</t>
        </is>
      </c>
    </row>
    <row r="147">
      <c r="A147" t="inlineStr">
        <is>
          <t>OVR_Max</t>
        </is>
      </c>
      <c r="B147" t="inlineStr">
        <is>
          <t>OVR_Max</t>
        </is>
      </c>
      <c r="C147" t="inlineStr">
        <is>
          <t>Max</t>
        </is>
      </c>
      <c r="D147" t="inlineStr">
        <is>
          <t>89</t>
        </is>
      </c>
      <c r="E147" t="inlineStr">
        <is>
          <t>Overall Max. 89</t>
        </is>
      </c>
      <c r="F147" t="inlineStr">
        <is>
          <t>Quick Step and Bruiser - EA SPORTS FC 26</t>
        </is>
      </c>
      <c r="G147" t="inlineStr">
        <is>
          <t>Reward</t>
        </is>
      </c>
      <c r="H147" t="inlineStr">
        <is>
          <t>Objective</t>
        </is>
      </c>
      <c r="I147" t="inlineStr">
        <is>
          <t>https://www.fut.gg/evolutions/1942-quick-step-and-bruiser/</t>
        </is>
      </c>
    </row>
    <row r="148">
      <c r="A148" t="inlineStr">
        <is>
          <t>Max_PS</t>
        </is>
      </c>
      <c r="B148" t="inlineStr">
        <is>
          <t>Max_PS</t>
        </is>
      </c>
      <c r="C148" t="inlineStr">
        <is>
          <t>Max</t>
        </is>
      </c>
      <c r="D148" t="inlineStr">
        <is>
          <t>7</t>
        </is>
      </c>
      <c r="E148" t="inlineStr">
        <is>
          <t>Max PS 7</t>
        </is>
      </c>
      <c r="F148" t="inlineStr">
        <is>
          <t>Quick Step and Bruiser - EA SPORTS FC 26</t>
        </is>
      </c>
      <c r="G148" t="inlineStr">
        <is>
          <t>Reward</t>
        </is>
      </c>
      <c r="H148" t="inlineStr">
        <is>
          <t>Objective</t>
        </is>
      </c>
      <c r="I148" t="inlineStr">
        <is>
          <t>https://www.fut.gg/evolutions/1942-quick-step-and-bruiser/</t>
        </is>
      </c>
    </row>
    <row r="149">
      <c r="A149" t="inlineStr">
        <is>
          <t>Excluded_Rarity</t>
        </is>
      </c>
      <c r="B149" t="inlineStr">
        <is>
          <t>Excluded Rarity</t>
        </is>
      </c>
      <c r="C149" t="inlineStr">
        <is>
          <t>Exclude</t>
        </is>
      </c>
      <c r="D149" t="inlineStr">
        <is>
          <t>World Tour Silver Stars</t>
        </is>
      </c>
      <c r="E149" t="inlineStr">
        <is>
          <t>Excluded Rarity World Tour Silver Stars</t>
        </is>
      </c>
      <c r="F149" t="inlineStr">
        <is>
          <t>Quick Step and Bruiser - EA SPORTS FC 26</t>
        </is>
      </c>
      <c r="G149" t="inlineStr">
        <is>
          <t>Reward</t>
        </is>
      </c>
      <c r="H149" t="inlineStr">
        <is>
          <t>Objective</t>
        </is>
      </c>
      <c r="I149" t="inlineStr">
        <is>
          <t>https://www.fut.gg/evolutions/1942-quick-step-and-bruiser/</t>
        </is>
      </c>
    </row>
    <row r="150">
      <c r="A150" t="inlineStr">
        <is>
          <t>Rarity</t>
        </is>
      </c>
      <c r="B150" t="inlineStr">
        <is>
          <t>Rarity</t>
        </is>
      </c>
      <c r="C150" t="inlineStr">
        <is>
          <t>Include</t>
        </is>
      </c>
      <c r="D150" t="inlineStr">
        <is>
          <t>World Tour Silver Stars</t>
        </is>
      </c>
      <c r="E150" t="inlineStr">
        <is>
          <t>Rarity World Tour Silver Stars</t>
        </is>
      </c>
      <c r="F150" t="inlineStr">
        <is>
          <t>Quick Step and Bruiser - EA SPORTS FC 26</t>
        </is>
      </c>
      <c r="G150" t="inlineStr">
        <is>
          <t>Reward</t>
        </is>
      </c>
      <c r="H150" t="inlineStr">
        <is>
          <t>Objective</t>
        </is>
      </c>
      <c r="I150" t="inlineStr">
        <is>
          <t>https://www.fut.gg/evolutions/1942-quick-step-and-bruiser/</t>
        </is>
      </c>
    </row>
    <row r="151">
      <c r="A151" t="inlineStr">
        <is>
          <t>OVR_Max</t>
        </is>
      </c>
      <c r="B151" t="inlineStr">
        <is>
          <t>OVR_Max</t>
        </is>
      </c>
      <c r="C151" t="inlineStr">
        <is>
          <t>Max</t>
        </is>
      </c>
      <c r="D151" t="inlineStr">
        <is>
          <t>89</t>
        </is>
      </c>
      <c r="E151" t="inlineStr">
        <is>
          <t>Overall Max. 89</t>
        </is>
      </c>
      <c r="F151" t="inlineStr">
        <is>
          <t>Incisive Pass+ &amp; Tiki Taka - EA SPORTS FC 26</t>
        </is>
      </c>
      <c r="G151" t="inlineStr">
        <is>
          <t>Reward</t>
        </is>
      </c>
      <c r="H151" t="inlineStr">
        <is>
          <t>Objective</t>
        </is>
      </c>
      <c r="I151" t="inlineStr">
        <is>
          <t>https://www.fut.gg/evolutions/1941-incisive-pass-tiki-taka/</t>
        </is>
      </c>
    </row>
    <row r="152">
      <c r="A152" t="inlineStr">
        <is>
          <t>Max_PS_Plus</t>
        </is>
      </c>
      <c r="B152" t="inlineStr">
        <is>
          <t>Max_PS_Plus</t>
        </is>
      </c>
      <c r="C152" t="inlineStr">
        <is>
          <t>Max</t>
        </is>
      </c>
      <c r="D152" t="inlineStr">
        <is>
          <t>2</t>
        </is>
      </c>
      <c r="E152" t="inlineStr">
        <is>
          <t>Max PS+ 2</t>
        </is>
      </c>
      <c r="F152" t="inlineStr">
        <is>
          <t>Incisive Pass+ &amp; Tiki Taka - EA SPORTS FC 26</t>
        </is>
      </c>
      <c r="G152" t="inlineStr">
        <is>
          <t>Reward</t>
        </is>
      </c>
      <c r="H152" t="inlineStr">
        <is>
          <t>Objective</t>
        </is>
      </c>
      <c r="I152" t="inlineStr">
        <is>
          <t>https://www.fut.gg/evolutions/1941-incisive-pass-tiki-taka/</t>
        </is>
      </c>
    </row>
    <row r="153">
      <c r="A153" t="inlineStr">
        <is>
          <t>Max_PS</t>
        </is>
      </c>
      <c r="B153" t="inlineStr">
        <is>
          <t>Max_PS</t>
        </is>
      </c>
      <c r="C153" t="inlineStr">
        <is>
          <t>Max</t>
        </is>
      </c>
      <c r="D153" t="inlineStr">
        <is>
          <t>10</t>
        </is>
      </c>
      <c r="E153" t="inlineStr">
        <is>
          <t>Max PS 10</t>
        </is>
      </c>
      <c r="F153" t="inlineStr">
        <is>
          <t>Incisive Pass+ &amp; Tiki Taka - EA SPORTS FC 26</t>
        </is>
      </c>
      <c r="G153" t="inlineStr">
        <is>
          <t>Reward</t>
        </is>
      </c>
      <c r="H153" t="inlineStr">
        <is>
          <t>Objective</t>
        </is>
      </c>
      <c r="I153" t="inlineStr">
        <is>
          <t>https://www.fut.gg/evolutions/1941-incisive-pass-tiki-taka/</t>
        </is>
      </c>
    </row>
    <row r="154">
      <c r="A154" t="inlineStr">
        <is>
          <t>Excluded_Rarity</t>
        </is>
      </c>
      <c r="B154" t="inlineStr">
        <is>
          <t>Excluded Rarity</t>
        </is>
      </c>
      <c r="C154" t="inlineStr">
        <is>
          <t>Exclude</t>
        </is>
      </c>
      <c r="D154" t="inlineStr">
        <is>
          <t>World Tour Silver Stars</t>
        </is>
      </c>
      <c r="E154" t="inlineStr">
        <is>
          <t>Excluded Rarity World Tour Silver Stars</t>
        </is>
      </c>
      <c r="F154" t="inlineStr">
        <is>
          <t>Incisive Pass+ &amp; Tiki Taka - EA SPORTS FC 26</t>
        </is>
      </c>
      <c r="G154" t="inlineStr">
        <is>
          <t>Reward</t>
        </is>
      </c>
      <c r="H154" t="inlineStr">
        <is>
          <t>Objective</t>
        </is>
      </c>
      <c r="I154" t="inlineStr">
        <is>
          <t>https://www.fut.gg/evolutions/1941-incisive-pass-tiki-taka/</t>
        </is>
      </c>
    </row>
    <row r="155">
      <c r="A155" t="inlineStr">
        <is>
          <t>Rarity</t>
        </is>
      </c>
      <c r="B155" t="inlineStr">
        <is>
          <t>Rarity</t>
        </is>
      </c>
      <c r="C155" t="inlineStr">
        <is>
          <t>Include</t>
        </is>
      </c>
      <c r="D155" t="inlineStr">
        <is>
          <t>World Tour Silver Stars</t>
        </is>
      </c>
      <c r="E155" t="inlineStr">
        <is>
          <t>Rarity World Tour Silver Stars</t>
        </is>
      </c>
      <c r="F155" t="inlineStr">
        <is>
          <t>Incisive Pass+ &amp; Tiki Taka - EA SPORTS FC 26</t>
        </is>
      </c>
      <c r="G155" t="inlineStr">
        <is>
          <t>Reward</t>
        </is>
      </c>
      <c r="H155" t="inlineStr">
        <is>
          <t>Objective</t>
        </is>
      </c>
      <c r="I155" t="inlineStr">
        <is>
          <t>https://www.fut.gg/evolutions/1941-incisive-pass-tiki-taka/</t>
        </is>
      </c>
    </row>
    <row r="156">
      <c r="A156" t="inlineStr">
        <is>
          <t>OVR_Max</t>
        </is>
      </c>
      <c r="B156" t="inlineStr">
        <is>
          <t>OVR_Max</t>
        </is>
      </c>
      <c r="C156" t="inlineStr">
        <is>
          <t>Max</t>
        </is>
      </c>
      <c r="D156" t="inlineStr">
        <is>
          <t>89</t>
        </is>
      </c>
      <c r="E156" t="inlineStr">
        <is>
          <t>Overall Max. 89</t>
        </is>
      </c>
      <c r="F156" t="inlineStr">
        <is>
          <t>Tiki Taka+ &amp; Incisive Pass - EA SPORTS FC 26</t>
        </is>
      </c>
      <c r="G156" t="inlineStr">
        <is>
          <t>Reward</t>
        </is>
      </c>
      <c r="H156" t="inlineStr">
        <is>
          <t>Objective</t>
        </is>
      </c>
      <c r="I156" t="inlineStr">
        <is>
          <t>https://www.fut.gg/evolutions/1940-tiki-taka-incisive-pass/</t>
        </is>
      </c>
    </row>
    <row r="157">
      <c r="A157" t="inlineStr">
        <is>
          <t>Max_PS_Plus</t>
        </is>
      </c>
      <c r="B157" t="inlineStr">
        <is>
          <t>Max_PS_Plus</t>
        </is>
      </c>
      <c r="C157" t="inlineStr">
        <is>
          <t>Max</t>
        </is>
      </c>
      <c r="D157" t="inlineStr">
        <is>
          <t>2</t>
        </is>
      </c>
      <c r="E157" t="inlineStr">
        <is>
          <t>Max PS+ 2</t>
        </is>
      </c>
      <c r="F157" t="inlineStr">
        <is>
          <t>Tiki Taka+ &amp; Incisive Pass - EA SPORTS FC 26</t>
        </is>
      </c>
      <c r="G157" t="inlineStr">
        <is>
          <t>Reward</t>
        </is>
      </c>
      <c r="H157" t="inlineStr">
        <is>
          <t>Objective</t>
        </is>
      </c>
      <c r="I157" t="inlineStr">
        <is>
          <t>https://www.fut.gg/evolutions/1940-tiki-taka-incisive-pass/</t>
        </is>
      </c>
    </row>
    <row r="158">
      <c r="A158" t="inlineStr">
        <is>
          <t>Max_PS</t>
        </is>
      </c>
      <c r="B158" t="inlineStr">
        <is>
          <t>Max_PS</t>
        </is>
      </c>
      <c r="C158" t="inlineStr">
        <is>
          <t>Max</t>
        </is>
      </c>
      <c r="D158" t="inlineStr">
        <is>
          <t>10</t>
        </is>
      </c>
      <c r="E158" t="inlineStr">
        <is>
          <t>Max PS 10</t>
        </is>
      </c>
      <c r="F158" t="inlineStr">
        <is>
          <t>Tiki Taka+ &amp; Incisive Pass - EA SPORTS FC 26</t>
        </is>
      </c>
      <c r="G158" t="inlineStr">
        <is>
          <t>Reward</t>
        </is>
      </c>
      <c r="H158" t="inlineStr">
        <is>
          <t>Objective</t>
        </is>
      </c>
      <c r="I158" t="inlineStr">
        <is>
          <t>https://www.fut.gg/evolutions/1940-tiki-taka-incisive-pass/</t>
        </is>
      </c>
    </row>
    <row r="159">
      <c r="A159" t="inlineStr">
        <is>
          <t>Excluded_Rarity</t>
        </is>
      </c>
      <c r="B159" t="inlineStr">
        <is>
          <t>Excluded Rarity</t>
        </is>
      </c>
      <c r="C159" t="inlineStr">
        <is>
          <t>Exclude</t>
        </is>
      </c>
      <c r="D159" t="inlineStr">
        <is>
          <t>World Tour Silver Stars</t>
        </is>
      </c>
      <c r="E159" t="inlineStr">
        <is>
          <t>Excluded Rarity World Tour Silver Stars</t>
        </is>
      </c>
      <c r="F159" t="inlineStr">
        <is>
          <t>Tiki Taka+ &amp; Incisive Pass - EA SPORTS FC 26</t>
        </is>
      </c>
      <c r="G159" t="inlineStr">
        <is>
          <t>Reward</t>
        </is>
      </c>
      <c r="H159" t="inlineStr">
        <is>
          <t>Objective</t>
        </is>
      </c>
      <c r="I159" t="inlineStr">
        <is>
          <t>https://www.fut.gg/evolutions/1940-tiki-taka-incisive-pass/</t>
        </is>
      </c>
    </row>
    <row r="160">
      <c r="A160" t="inlineStr">
        <is>
          <t>Rarity</t>
        </is>
      </c>
      <c r="B160" t="inlineStr">
        <is>
          <t>Rarity</t>
        </is>
      </c>
      <c r="C160" t="inlineStr">
        <is>
          <t>Include</t>
        </is>
      </c>
      <c r="D160" t="inlineStr">
        <is>
          <t>World Tour Silver Stars</t>
        </is>
      </c>
      <c r="E160" t="inlineStr">
        <is>
          <t>Rarity World Tour Silver Stars</t>
        </is>
      </c>
      <c r="F160" t="inlineStr">
        <is>
          <t>Tiki Taka+ &amp; Incisive Pass - EA SPORTS FC 26</t>
        </is>
      </c>
      <c r="G160" t="inlineStr">
        <is>
          <t>Reward</t>
        </is>
      </c>
      <c r="H160" t="inlineStr">
        <is>
          <t>Objective</t>
        </is>
      </c>
      <c r="I160" t="inlineStr">
        <is>
          <t>https://www.fut.gg/evolutions/1940-tiki-taka-incisive-pass/</t>
        </is>
      </c>
    </row>
    <row r="161">
      <c r="A161" t="inlineStr">
        <is>
          <t>OVR_Max</t>
        </is>
      </c>
      <c r="B161" t="inlineStr">
        <is>
          <t>OVR_Max</t>
        </is>
      </c>
      <c r="C161" t="inlineStr">
        <is>
          <t>Max</t>
        </is>
      </c>
      <c r="D161" t="inlineStr">
        <is>
          <t>90</t>
        </is>
      </c>
      <c r="E161" t="inlineStr">
        <is>
          <t>Overall Max. 90</t>
        </is>
      </c>
      <c r="F161" t="inlineStr">
        <is>
          <t>WTSS Journey 3 - Midfielder [SP 21] - EA SPORTS FC 26</t>
        </is>
      </c>
      <c r="G161" t="inlineStr">
        <is>
          <t>Reward</t>
        </is>
      </c>
      <c r="H161" t="inlineStr">
        <is>
          <t>Standard Season Pass</t>
        </is>
      </c>
      <c r="I161" t="inlineStr">
        <is>
          <t>https://www.fut.gg/evolutions/1936-wtss-journey-3-midfielder-sp-21/</t>
        </is>
      </c>
    </row>
    <row r="162">
      <c r="A162" t="inlineStr">
        <is>
          <t>OVR_Min</t>
        </is>
      </c>
      <c r="B162" t="inlineStr">
        <is>
          <t>OVR_Min</t>
        </is>
      </c>
      <c r="C162" t="inlineStr">
        <is>
          <t>Value</t>
        </is>
      </c>
      <c r="D162" t="inlineStr">
        <is>
          <t>90</t>
        </is>
      </c>
      <c r="E162" t="inlineStr">
        <is>
          <t>Overall Min. 90</t>
        </is>
      </c>
      <c r="F162" t="inlineStr">
        <is>
          <t>WTSS Journey 3 - Midfielder [SP 21] - EA SPORTS FC 26</t>
        </is>
      </c>
      <c r="G162" t="inlineStr">
        <is>
          <t>Reward</t>
        </is>
      </c>
      <c r="H162" t="inlineStr">
        <is>
          <t>Standard Season Pass</t>
        </is>
      </c>
      <c r="I162" t="inlineStr">
        <is>
          <t>https://www.fut.gg/evolutions/1936-wtss-journey-3-midfielder-sp-21/</t>
        </is>
      </c>
    </row>
    <row r="163">
      <c r="A163" t="inlineStr">
        <is>
          <t>Max_PS_Plus</t>
        </is>
      </c>
      <c r="B163" t="inlineStr">
        <is>
          <t>Max_PS_Plus</t>
        </is>
      </c>
      <c r="C163" t="inlineStr">
        <is>
          <t>Max</t>
        </is>
      </c>
      <c r="D163" t="inlineStr">
        <is>
          <t>2</t>
        </is>
      </c>
      <c r="E163" t="inlineStr">
        <is>
          <t>Max PS+ 2</t>
        </is>
      </c>
      <c r="F163" t="inlineStr">
        <is>
          <t>WTSS Journey 3 - Midfielder [SP 21] - EA SPORTS FC 26</t>
        </is>
      </c>
      <c r="G163" t="inlineStr">
        <is>
          <t>Reward</t>
        </is>
      </c>
      <c r="H163" t="inlineStr">
        <is>
          <t>Standard Season Pass</t>
        </is>
      </c>
      <c r="I163" t="inlineStr">
        <is>
          <t>https://www.fut.gg/evolutions/1936-wtss-journey-3-midfielder-sp-21/</t>
        </is>
      </c>
    </row>
    <row r="164">
      <c r="A164" t="inlineStr">
        <is>
          <t>Max_PS</t>
        </is>
      </c>
      <c r="B164" t="inlineStr">
        <is>
          <t>Max_PS</t>
        </is>
      </c>
      <c r="C164" t="inlineStr">
        <is>
          <t>Max</t>
        </is>
      </c>
      <c r="D164" t="inlineStr">
        <is>
          <t>10</t>
        </is>
      </c>
      <c r="E164" t="inlineStr">
        <is>
          <t>Max PS 10</t>
        </is>
      </c>
      <c r="F164" t="inlineStr">
        <is>
          <t>WTSS Journey 3 - Midfielder [SP 21] - EA SPORTS FC 26</t>
        </is>
      </c>
      <c r="G164" t="inlineStr">
        <is>
          <t>Reward</t>
        </is>
      </c>
      <c r="H164" t="inlineStr">
        <is>
          <t>Standard Season Pass</t>
        </is>
      </c>
      <c r="I164" t="inlineStr">
        <is>
          <t>https://www.fut.gg/evolutions/1936-wtss-journey-3-midfielder-sp-21/</t>
        </is>
      </c>
    </row>
    <row r="165">
      <c r="A165" t="inlineStr">
        <is>
          <t>Position</t>
        </is>
      </c>
      <c r="B165" t="inlineStr">
        <is>
          <t>Position</t>
        </is>
      </c>
      <c r="C165" t="inlineStr">
        <is>
          <t>Include</t>
        </is>
      </c>
      <c r="D165" t="inlineStr">
        <is>
          <t>CAM, CM, CDM</t>
        </is>
      </c>
      <c r="E165" t="inlineStr">
        <is>
          <t>Position CAM, CM, CDM</t>
        </is>
      </c>
      <c r="F165" t="inlineStr">
        <is>
          <t>WTSS Journey 3 - Midfielder [SP 21] - EA SPORTS FC 26</t>
        </is>
      </c>
      <c r="G165" t="inlineStr">
        <is>
          <t>Reward</t>
        </is>
      </c>
      <c r="H165" t="inlineStr">
        <is>
          <t>Standard Season Pass</t>
        </is>
      </c>
      <c r="I165" t="inlineStr">
        <is>
          <t>https://www.fut.gg/evolutions/1936-wtss-journey-3-midfielder-sp-21/</t>
        </is>
      </c>
    </row>
    <row r="166">
      <c r="A166" t="inlineStr">
        <is>
          <t>Rarity</t>
        </is>
      </c>
      <c r="B166" t="inlineStr">
        <is>
          <t>Rarity</t>
        </is>
      </c>
      <c r="C166" t="inlineStr">
        <is>
          <t>Include</t>
        </is>
      </c>
      <c r="D166" t="inlineStr">
        <is>
          <t>World Tour Silver Stars</t>
        </is>
      </c>
      <c r="E166" t="inlineStr">
        <is>
          <t>Rarity World Tour Silver Stars</t>
        </is>
      </c>
      <c r="F166" t="inlineStr">
        <is>
          <t>WTSS Journey 3 - Midfielder [SP 21] - EA SPORTS FC 26</t>
        </is>
      </c>
      <c r="G166" t="inlineStr">
        <is>
          <t>Reward</t>
        </is>
      </c>
      <c r="H166" t="inlineStr">
        <is>
          <t>Standard Season Pass</t>
        </is>
      </c>
      <c r="I166" t="inlineStr">
        <is>
          <t>https://www.fut.gg/evolutions/1936-wtss-journey-3-midfielder-sp-21/</t>
        </is>
      </c>
    </row>
    <row r="167">
      <c r="A167" t="inlineStr">
        <is>
          <t>OVR_Max</t>
        </is>
      </c>
      <c r="B167" t="inlineStr">
        <is>
          <t>OVR_Max</t>
        </is>
      </c>
      <c r="C167" t="inlineStr">
        <is>
          <t>Max</t>
        </is>
      </c>
      <c r="D167" t="inlineStr">
        <is>
          <t>91</t>
        </is>
      </c>
      <c r="E167" t="inlineStr">
        <is>
          <t>Overall Max. 91</t>
        </is>
      </c>
      <c r="F167" t="inlineStr">
        <is>
          <t>Bruiser+ [SP+ 28] - EA SPORTS FC 26</t>
        </is>
      </c>
      <c r="G167" t="inlineStr">
        <is>
          <t>Reward</t>
        </is>
      </c>
      <c r="H167" t="inlineStr">
        <is>
          <t>Premium Season Pass</t>
        </is>
      </c>
      <c r="I167" t="inlineStr">
        <is>
          <t>https://www.fut.gg/evolutions/1935-bruiser-sp-28/</t>
        </is>
      </c>
    </row>
    <row r="168">
      <c r="A168" t="inlineStr">
        <is>
          <t>Max_PS_Plus</t>
        </is>
      </c>
      <c r="B168" t="inlineStr">
        <is>
          <t>Max_PS_Plus</t>
        </is>
      </c>
      <c r="C168" t="inlineStr">
        <is>
          <t>Max</t>
        </is>
      </c>
      <c r="D168" t="inlineStr">
        <is>
          <t>2</t>
        </is>
      </c>
      <c r="E168" t="inlineStr">
        <is>
          <t>Max PS+ 2</t>
        </is>
      </c>
      <c r="F168" t="inlineStr">
        <is>
          <t>Bruiser+ [SP+ 28] - EA SPORTS FC 26</t>
        </is>
      </c>
      <c r="G168" t="inlineStr">
        <is>
          <t>Reward</t>
        </is>
      </c>
      <c r="H168" t="inlineStr">
        <is>
          <t>Premium Season Pass</t>
        </is>
      </c>
      <c r="I168" t="inlineStr">
        <is>
          <t>https://www.fut.gg/evolutions/1935-bruiser-sp-28/</t>
        </is>
      </c>
    </row>
    <row r="169">
      <c r="A169" t="inlineStr">
        <is>
          <t>Excluded_Rarity</t>
        </is>
      </c>
      <c r="B169" t="inlineStr">
        <is>
          <t>Excluded Rarity</t>
        </is>
      </c>
      <c r="C169" t="inlineStr">
        <is>
          <t>Exclude</t>
        </is>
      </c>
      <c r="D169" t="inlineStr">
        <is>
          <t>World Tour Silver Stars</t>
        </is>
      </c>
      <c r="E169" t="inlineStr">
        <is>
          <t>Excluded Rarity World Tour Silver Stars</t>
        </is>
      </c>
      <c r="F169" t="inlineStr">
        <is>
          <t>Bruiser+ [SP+ 28] - EA SPORTS FC 26</t>
        </is>
      </c>
      <c r="G169" t="inlineStr">
        <is>
          <t>Reward</t>
        </is>
      </c>
      <c r="H169" t="inlineStr">
        <is>
          <t>Premium Season Pass</t>
        </is>
      </c>
      <c r="I169" t="inlineStr">
        <is>
          <t>https://www.fut.gg/evolutions/1935-bruiser-sp-28/</t>
        </is>
      </c>
    </row>
    <row r="170">
      <c r="A170" t="inlineStr">
        <is>
          <t>Rarity</t>
        </is>
      </c>
      <c r="B170" t="inlineStr">
        <is>
          <t>Rarity</t>
        </is>
      </c>
      <c r="C170" t="inlineStr">
        <is>
          <t>Include</t>
        </is>
      </c>
      <c r="D170" t="inlineStr">
        <is>
          <t>World Tour Silver Stars</t>
        </is>
      </c>
      <c r="E170" t="inlineStr">
        <is>
          <t>Rarity World Tour Silver Stars</t>
        </is>
      </c>
      <c r="F170" t="inlineStr">
        <is>
          <t>Bruiser+ [SP+ 28] - EA SPORTS FC 26</t>
        </is>
      </c>
      <c r="G170" t="inlineStr">
        <is>
          <t>Reward</t>
        </is>
      </c>
      <c r="H170" t="inlineStr">
        <is>
          <t>Premium Season Pass</t>
        </is>
      </c>
      <c r="I170" t="inlineStr">
        <is>
          <t>https://www.fut.gg/evolutions/1935-bruiser-sp-28/</t>
        </is>
      </c>
    </row>
    <row r="171">
      <c r="A171" t="inlineStr">
        <is>
          <t>OVR_Max</t>
        </is>
      </c>
      <c r="B171" t="inlineStr">
        <is>
          <t>OVR_Max</t>
        </is>
      </c>
      <c r="C171" t="inlineStr">
        <is>
          <t>Max</t>
        </is>
      </c>
      <c r="D171" t="inlineStr">
        <is>
          <t>90</t>
        </is>
      </c>
      <c r="E171" t="inlineStr">
        <is>
          <t>Overall Max. 90</t>
        </is>
      </c>
      <c r="F171" t="inlineStr">
        <is>
          <t>Incisive Pass+ [SP 27] - EA SPORTS FC 26</t>
        </is>
      </c>
      <c r="G171" t="inlineStr">
        <is>
          <t>Reward</t>
        </is>
      </c>
      <c r="H171" t="inlineStr">
        <is>
          <t>Standard Season Pass</t>
        </is>
      </c>
      <c r="I171" t="inlineStr">
        <is>
          <t>https://www.fut.gg/evolutions/1934-incisive-pass-sp-27/</t>
        </is>
      </c>
    </row>
    <row r="172">
      <c r="A172" t="inlineStr">
        <is>
          <t>Max_PS_Plus</t>
        </is>
      </c>
      <c r="B172" t="inlineStr">
        <is>
          <t>Max_PS_Plus</t>
        </is>
      </c>
      <c r="C172" t="inlineStr">
        <is>
          <t>Max</t>
        </is>
      </c>
      <c r="D172" t="inlineStr">
        <is>
          <t>2</t>
        </is>
      </c>
      <c r="E172" t="inlineStr">
        <is>
          <t>Max PS+ 2</t>
        </is>
      </c>
      <c r="F172" t="inlineStr">
        <is>
          <t>Incisive Pass+ [SP 27] - EA SPORTS FC 26</t>
        </is>
      </c>
      <c r="G172" t="inlineStr">
        <is>
          <t>Reward</t>
        </is>
      </c>
      <c r="H172" t="inlineStr">
        <is>
          <t>Standard Season Pass</t>
        </is>
      </c>
      <c r="I172" t="inlineStr">
        <is>
          <t>https://www.fut.gg/evolutions/1934-incisive-pass-sp-27/</t>
        </is>
      </c>
    </row>
    <row r="173">
      <c r="A173" t="inlineStr">
        <is>
          <t>Excluded_Rarity</t>
        </is>
      </c>
      <c r="B173" t="inlineStr">
        <is>
          <t>Excluded Rarity</t>
        </is>
      </c>
      <c r="C173" t="inlineStr">
        <is>
          <t>Exclude</t>
        </is>
      </c>
      <c r="D173" t="inlineStr">
        <is>
          <t>World Tour Silver Stars</t>
        </is>
      </c>
      <c r="E173" t="inlineStr">
        <is>
          <t>Excluded Rarity World Tour Silver Stars</t>
        </is>
      </c>
      <c r="F173" t="inlineStr">
        <is>
          <t>Incisive Pass+ [SP 27] - EA SPORTS FC 26</t>
        </is>
      </c>
      <c r="G173" t="inlineStr">
        <is>
          <t>Reward</t>
        </is>
      </c>
      <c r="H173" t="inlineStr">
        <is>
          <t>Standard Season Pass</t>
        </is>
      </c>
      <c r="I173" t="inlineStr">
        <is>
          <t>https://www.fut.gg/evolutions/1934-incisive-pass-sp-27/</t>
        </is>
      </c>
    </row>
    <row r="174">
      <c r="A174" t="inlineStr">
        <is>
          <t>Rarity</t>
        </is>
      </c>
      <c r="B174" t="inlineStr">
        <is>
          <t>Rarity</t>
        </is>
      </c>
      <c r="C174" t="inlineStr">
        <is>
          <t>Include</t>
        </is>
      </c>
      <c r="D174" t="inlineStr">
        <is>
          <t>World Tour Silver Stars</t>
        </is>
      </c>
      <c r="E174" t="inlineStr">
        <is>
          <t>Rarity World Tour Silver Stars</t>
        </is>
      </c>
      <c r="F174" t="inlineStr">
        <is>
          <t>Incisive Pass+ [SP 27] - EA SPORTS FC 26</t>
        </is>
      </c>
      <c r="G174" t="inlineStr">
        <is>
          <t>Reward</t>
        </is>
      </c>
      <c r="H174" t="inlineStr">
        <is>
          <t>Standard Season Pass</t>
        </is>
      </c>
      <c r="I174" t="inlineStr">
        <is>
          <t>https://www.fut.gg/evolutions/1934-incisive-pass-sp-27/</t>
        </is>
      </c>
    </row>
    <row r="175">
      <c r="A175" t="inlineStr">
        <is>
          <t>OVR_Max</t>
        </is>
      </c>
      <c r="B175" t="inlineStr">
        <is>
          <t>OVR_Max</t>
        </is>
      </c>
      <c r="C175" t="inlineStr">
        <is>
          <t>Max</t>
        </is>
      </c>
      <c r="D175" t="inlineStr">
        <is>
          <t>89</t>
        </is>
      </c>
      <c r="E175" t="inlineStr">
        <is>
          <t>Overall Max. 89</t>
        </is>
      </c>
      <c r="F175" t="inlineStr">
        <is>
          <t>Defender Round Out [SP 1] - EA SPORTS FC 26</t>
        </is>
      </c>
      <c r="G175" t="inlineStr">
        <is>
          <t>Reward</t>
        </is>
      </c>
      <c r="H175" t="inlineStr">
        <is>
          <t>Standard Season Pass</t>
        </is>
      </c>
      <c r="I175" t="inlineStr">
        <is>
          <t>https://www.fut.gg/evolutions/1933-defender-round-out-sp-1/</t>
        </is>
      </c>
    </row>
    <row r="176">
      <c r="A176" t="inlineStr">
        <is>
          <t>Max_PS</t>
        </is>
      </c>
      <c r="B176" t="inlineStr">
        <is>
          <t>Max_PS</t>
        </is>
      </c>
      <c r="C176" t="inlineStr">
        <is>
          <t>Max</t>
        </is>
      </c>
      <c r="D176" t="inlineStr">
        <is>
          <t>10</t>
        </is>
      </c>
      <c r="E176" t="inlineStr">
        <is>
          <t>Max PS 10</t>
        </is>
      </c>
      <c r="F176" t="inlineStr">
        <is>
          <t>Defender Round Out [SP 1] - EA SPORTS FC 26</t>
        </is>
      </c>
      <c r="G176" t="inlineStr">
        <is>
          <t>Reward</t>
        </is>
      </c>
      <c r="H176" t="inlineStr">
        <is>
          <t>Standard Season Pass</t>
        </is>
      </c>
      <c r="I176" t="inlineStr">
        <is>
          <t>https://www.fut.gg/evolutions/1933-defender-round-out-sp-1/</t>
        </is>
      </c>
    </row>
    <row r="177">
      <c r="A177" t="inlineStr">
        <is>
          <t>Excluded_Rarity</t>
        </is>
      </c>
      <c r="B177" t="inlineStr">
        <is>
          <t>Excluded Rarity</t>
        </is>
      </c>
      <c r="C177" t="inlineStr">
        <is>
          <t>Exclude</t>
        </is>
      </c>
      <c r="D177" t="inlineStr">
        <is>
          <t>World Tour Silver Stars</t>
        </is>
      </c>
      <c r="E177" t="inlineStr">
        <is>
          <t>Excluded Rarity World Tour Silver Stars</t>
        </is>
      </c>
      <c r="F177" t="inlineStr">
        <is>
          <t>Defender Round Out [SP 1] - EA SPORTS FC 26</t>
        </is>
      </c>
      <c r="G177" t="inlineStr">
        <is>
          <t>Reward</t>
        </is>
      </c>
      <c r="H177" t="inlineStr">
        <is>
          <t>Standard Season Pass</t>
        </is>
      </c>
      <c r="I177" t="inlineStr">
        <is>
          <t>https://www.fut.gg/evolutions/1933-defender-round-out-sp-1/</t>
        </is>
      </c>
    </row>
    <row r="178">
      <c r="A178" t="inlineStr">
        <is>
          <t>Rarity</t>
        </is>
      </c>
      <c r="B178" t="inlineStr">
        <is>
          <t>Rarity</t>
        </is>
      </c>
      <c r="C178" t="inlineStr">
        <is>
          <t>Include</t>
        </is>
      </c>
      <c r="D178" t="inlineStr">
        <is>
          <t>World Tour Silver Stars</t>
        </is>
      </c>
      <c r="E178" t="inlineStr">
        <is>
          <t>Rarity World Tour Silver Stars</t>
        </is>
      </c>
      <c r="F178" t="inlineStr">
        <is>
          <t>Defender Round Out [SP 1] - EA SPORTS FC 26</t>
        </is>
      </c>
      <c r="G178" t="inlineStr">
        <is>
          <t>Reward</t>
        </is>
      </c>
      <c r="H178" t="inlineStr">
        <is>
          <t>Standard Season Pass</t>
        </is>
      </c>
      <c r="I178" t="inlineStr">
        <is>
          <t>https://www.fut.gg/evolutions/1933-defender-round-out-sp-1/</t>
        </is>
      </c>
    </row>
    <row r="179">
      <c r="A179" t="inlineStr">
        <is>
          <t>OVR_Max</t>
        </is>
      </c>
      <c r="B179" t="inlineStr">
        <is>
          <t>OVR_Max</t>
        </is>
      </c>
      <c r="C179" t="inlineStr">
        <is>
          <t>Max</t>
        </is>
      </c>
      <c r="D179" t="inlineStr">
        <is>
          <t>89</t>
        </is>
      </c>
      <c r="E179" t="inlineStr">
        <is>
          <t>Overall Max. 89</t>
        </is>
      </c>
      <c r="F179" t="inlineStr">
        <is>
          <t>Attacker Round Out [SP+ 1] - EA SPORTS FC 26</t>
        </is>
      </c>
      <c r="G179" t="inlineStr">
        <is>
          <t>Reward</t>
        </is>
      </c>
      <c r="H179" t="inlineStr">
        <is>
          <t>Premium Season Pass</t>
        </is>
      </c>
      <c r="I179" t="inlineStr">
        <is>
          <t>https://www.fut.gg/evolutions/1932-attacker-round-out-sp-1/</t>
        </is>
      </c>
    </row>
    <row r="180">
      <c r="A180" t="inlineStr">
        <is>
          <t>Max_PS</t>
        </is>
      </c>
      <c r="B180" t="inlineStr">
        <is>
          <t>Max_PS</t>
        </is>
      </c>
      <c r="C180" t="inlineStr">
        <is>
          <t>Max</t>
        </is>
      </c>
      <c r="D180" t="inlineStr">
        <is>
          <t>10</t>
        </is>
      </c>
      <c r="E180" t="inlineStr">
        <is>
          <t>Max PS 10</t>
        </is>
      </c>
      <c r="F180" t="inlineStr">
        <is>
          <t>Attacker Round Out [SP+ 1] - EA SPORTS FC 26</t>
        </is>
      </c>
      <c r="G180" t="inlineStr">
        <is>
          <t>Reward</t>
        </is>
      </c>
      <c r="H180" t="inlineStr">
        <is>
          <t>Premium Season Pass</t>
        </is>
      </c>
      <c r="I180" t="inlineStr">
        <is>
          <t>https://www.fut.gg/evolutions/1932-attacker-round-out-sp-1/</t>
        </is>
      </c>
    </row>
    <row r="181">
      <c r="A181" t="inlineStr">
        <is>
          <t>Excluded_Position</t>
        </is>
      </c>
      <c r="B181" t="inlineStr">
        <is>
          <t>Excluded Position</t>
        </is>
      </c>
      <c r="C181" t="inlineStr">
        <is>
          <t>Exclude</t>
        </is>
      </c>
      <c r="D181" t="inlineStr">
        <is>
          <t>CB</t>
        </is>
      </c>
      <c r="E181" t="inlineStr">
        <is>
          <t>Excluded Position CB</t>
        </is>
      </c>
      <c r="F181" t="inlineStr">
        <is>
          <t>Attacker Round Out [SP+ 1] - EA SPORTS FC 26</t>
        </is>
      </c>
      <c r="G181" t="inlineStr">
        <is>
          <t>Reward</t>
        </is>
      </c>
      <c r="H181" t="inlineStr">
        <is>
          <t>Premium Season Pass</t>
        </is>
      </c>
      <c r="I181" t="inlineStr">
        <is>
          <t>https://www.fut.gg/evolutions/1932-attacker-round-out-sp-1/</t>
        </is>
      </c>
    </row>
    <row r="182">
      <c r="A182" t="inlineStr">
        <is>
          <t>Position</t>
        </is>
      </c>
      <c r="B182" t="inlineStr">
        <is>
          <t>Position</t>
        </is>
      </c>
      <c r="C182" t="inlineStr">
        <is>
          <t>Include</t>
        </is>
      </c>
      <c r="D182" t="inlineStr">
        <is>
          <t>CB</t>
        </is>
      </c>
      <c r="E182" t="inlineStr">
        <is>
          <t>Position CB</t>
        </is>
      </c>
      <c r="F182" t="inlineStr">
        <is>
          <t>Attacker Round Out [SP+ 1] - EA SPORTS FC 26</t>
        </is>
      </c>
      <c r="G182" t="inlineStr">
        <is>
          <t>Reward</t>
        </is>
      </c>
      <c r="H182" t="inlineStr">
        <is>
          <t>Premium Season Pass</t>
        </is>
      </c>
      <c r="I182" t="inlineStr">
        <is>
          <t>https://www.fut.gg/evolutions/1932-attacker-round-out-sp-1/</t>
        </is>
      </c>
    </row>
    <row r="183">
      <c r="A183" t="inlineStr">
        <is>
          <t>Excluded_Rarity</t>
        </is>
      </c>
      <c r="B183" t="inlineStr">
        <is>
          <t>Excluded Rarity</t>
        </is>
      </c>
      <c r="C183" t="inlineStr">
        <is>
          <t>Exclude</t>
        </is>
      </c>
      <c r="D183" t="inlineStr">
        <is>
          <t>World Tour Silver Stars</t>
        </is>
      </c>
      <c r="E183" t="inlineStr">
        <is>
          <t>Excluded Rarity World Tour Silver Stars</t>
        </is>
      </c>
      <c r="F183" t="inlineStr">
        <is>
          <t>Attacker Round Out [SP+ 1] - EA SPORTS FC 26</t>
        </is>
      </c>
      <c r="G183" t="inlineStr">
        <is>
          <t>Reward</t>
        </is>
      </c>
      <c r="H183" t="inlineStr">
        <is>
          <t>Premium Season Pass</t>
        </is>
      </c>
      <c r="I183" t="inlineStr">
        <is>
          <t>https://www.fut.gg/evolutions/1932-attacker-round-out-sp-1/</t>
        </is>
      </c>
    </row>
    <row r="184">
      <c r="A184" t="inlineStr">
        <is>
          <t>Rarity</t>
        </is>
      </c>
      <c r="B184" t="inlineStr">
        <is>
          <t>Rarity</t>
        </is>
      </c>
      <c r="C184" t="inlineStr">
        <is>
          <t>Include</t>
        </is>
      </c>
      <c r="D184" t="inlineStr">
        <is>
          <t>World Tour Silver Stars</t>
        </is>
      </c>
      <c r="E184" t="inlineStr">
        <is>
          <t>Rarity World Tour Silver Stars</t>
        </is>
      </c>
      <c r="F184" t="inlineStr">
        <is>
          <t>Attacker Round Out [SP+ 1] - EA SPORTS FC 26</t>
        </is>
      </c>
      <c r="G184" t="inlineStr">
        <is>
          <t>Reward</t>
        </is>
      </c>
      <c r="H184" t="inlineStr">
        <is>
          <t>Premium Season Pass</t>
        </is>
      </c>
      <c r="I184" t="inlineStr">
        <is>
          <t>https://www.fut.gg/evolutions/1932-attacker-round-out-sp-1/</t>
        </is>
      </c>
    </row>
    <row r="185">
      <c r="A185" t="inlineStr">
        <is>
          <t>OVR_Max</t>
        </is>
      </c>
      <c r="B185" t="inlineStr">
        <is>
          <t>OVR_Max</t>
        </is>
      </c>
      <c r="C185" t="inlineStr">
        <is>
          <t>Max</t>
        </is>
      </c>
      <c r="D185" t="inlineStr">
        <is>
          <t>88</t>
        </is>
      </c>
      <c r="E185" t="inlineStr">
        <is>
          <t>Overall Max. 88</t>
        </is>
      </c>
      <c r="F185" t="inlineStr">
        <is>
          <t>WTSS Journey 2 - Attacker [SP 8] - EA SPORTS FC 26</t>
        </is>
      </c>
      <c r="G185" t="inlineStr">
        <is>
          <t>Reward</t>
        </is>
      </c>
      <c r="H185" t="inlineStr">
        <is>
          <t>Standard Season Pass</t>
        </is>
      </c>
      <c r="I185" t="inlineStr">
        <is>
          <t>https://www.fut.gg/evolutions/1931-wtss-journey-2-attacker-sp-8/</t>
        </is>
      </c>
    </row>
    <row r="186">
      <c r="A186" t="inlineStr">
        <is>
          <t>OVR_Min</t>
        </is>
      </c>
      <c r="B186" t="inlineStr">
        <is>
          <t>OVR_Min</t>
        </is>
      </c>
      <c r="C186" t="inlineStr">
        <is>
          <t>Value</t>
        </is>
      </c>
      <c r="D186" t="inlineStr">
        <is>
          <t>88</t>
        </is>
      </c>
      <c r="E186" t="inlineStr">
        <is>
          <t>Overall Min. 88</t>
        </is>
      </c>
      <c r="F186" t="inlineStr">
        <is>
          <t>WTSS Journey 2 - Attacker [SP 8] - EA SPORTS FC 26</t>
        </is>
      </c>
      <c r="G186" t="inlineStr">
        <is>
          <t>Reward</t>
        </is>
      </c>
      <c r="H186" t="inlineStr">
        <is>
          <t>Standard Season Pass</t>
        </is>
      </c>
      <c r="I186" t="inlineStr">
        <is>
          <t>https://www.fut.gg/evolutions/1931-wtss-journey-2-attacker-sp-8/</t>
        </is>
      </c>
    </row>
    <row r="187">
      <c r="A187" t="inlineStr">
        <is>
          <t>Max_PS_Plus</t>
        </is>
      </c>
      <c r="B187" t="inlineStr">
        <is>
          <t>Max_PS_Plus</t>
        </is>
      </c>
      <c r="C187" t="inlineStr">
        <is>
          <t>Max</t>
        </is>
      </c>
      <c r="D187" t="inlineStr">
        <is>
          <t>1</t>
        </is>
      </c>
      <c r="E187" t="inlineStr">
        <is>
          <t>Max PS+ 1</t>
        </is>
      </c>
      <c r="F187" t="inlineStr">
        <is>
          <t>WTSS Journey 2 - Attacker [SP 8] - EA SPORTS FC 26</t>
        </is>
      </c>
      <c r="G187" t="inlineStr">
        <is>
          <t>Reward</t>
        </is>
      </c>
      <c r="H187" t="inlineStr">
        <is>
          <t>Standard Season Pass</t>
        </is>
      </c>
      <c r="I187" t="inlineStr">
        <is>
          <t>https://www.fut.gg/evolutions/1931-wtss-journey-2-attacker-sp-8/</t>
        </is>
      </c>
    </row>
    <row r="188">
      <c r="A188" t="inlineStr">
        <is>
          <t>Max_PS</t>
        </is>
      </c>
      <c r="B188" t="inlineStr">
        <is>
          <t>Max_PS</t>
        </is>
      </c>
      <c r="C188" t="inlineStr">
        <is>
          <t>Max</t>
        </is>
      </c>
      <c r="D188" t="inlineStr">
        <is>
          <t>10</t>
        </is>
      </c>
      <c r="E188" t="inlineStr">
        <is>
          <t>Max PS 10</t>
        </is>
      </c>
      <c r="F188" t="inlineStr">
        <is>
          <t>WTSS Journey 2 - Attacker [SP 8] - EA SPORTS FC 26</t>
        </is>
      </c>
      <c r="G188" t="inlineStr">
        <is>
          <t>Reward</t>
        </is>
      </c>
      <c r="H188" t="inlineStr">
        <is>
          <t>Standard Season Pass</t>
        </is>
      </c>
      <c r="I188" t="inlineStr">
        <is>
          <t>https://www.fut.gg/evolutions/1931-wtss-journey-2-attacker-sp-8/</t>
        </is>
      </c>
    </row>
    <row r="189">
      <c r="A189" t="inlineStr">
        <is>
          <t>Position</t>
        </is>
      </c>
      <c r="B189" t="inlineStr">
        <is>
          <t>Position</t>
        </is>
      </c>
      <c r="C189" t="inlineStr">
        <is>
          <t>Include</t>
        </is>
      </c>
      <c r="D189" t="inlineStr">
        <is>
          <t>ST, RW, LW</t>
        </is>
      </c>
      <c r="E189" t="inlineStr">
        <is>
          <t>Position ST, RW, LW</t>
        </is>
      </c>
      <c r="F189" t="inlineStr">
        <is>
          <t>WTSS Journey 2 - Attacker [SP 8] - EA SPORTS FC 26</t>
        </is>
      </c>
      <c r="G189" t="inlineStr">
        <is>
          <t>Reward</t>
        </is>
      </c>
      <c r="H189" t="inlineStr">
        <is>
          <t>Standard Season Pass</t>
        </is>
      </c>
      <c r="I189" t="inlineStr">
        <is>
          <t>https://www.fut.gg/evolutions/1931-wtss-journey-2-attacker-sp-8/</t>
        </is>
      </c>
    </row>
    <row r="190">
      <c r="A190" t="inlineStr">
        <is>
          <t>Rarity</t>
        </is>
      </c>
      <c r="B190" t="inlineStr">
        <is>
          <t>Rarity</t>
        </is>
      </c>
      <c r="C190" t="inlineStr">
        <is>
          <t>Include</t>
        </is>
      </c>
      <c r="D190" t="inlineStr">
        <is>
          <t>World Tour Silver Stars</t>
        </is>
      </c>
      <c r="E190" t="inlineStr">
        <is>
          <t>Rarity World Tour Silver Stars</t>
        </is>
      </c>
      <c r="F190" t="inlineStr">
        <is>
          <t>WTSS Journey 2 - Attacker [SP 8] - EA SPORTS FC 26</t>
        </is>
      </c>
      <c r="G190" t="inlineStr">
        <is>
          <t>Reward</t>
        </is>
      </c>
      <c r="H190" t="inlineStr">
        <is>
          <t>Standard Season Pass</t>
        </is>
      </c>
      <c r="I190" t="inlineStr">
        <is>
          <t>https://www.fut.gg/evolutions/1931-wtss-journey-2-attacker-sp-8/</t>
        </is>
      </c>
    </row>
    <row r="191">
      <c r="A191" t="inlineStr">
        <is>
          <t>OVR_Max</t>
        </is>
      </c>
      <c r="B191" t="inlineStr">
        <is>
          <t>OVR_Max</t>
        </is>
      </c>
      <c r="C191" t="inlineStr">
        <is>
          <t>Max</t>
        </is>
      </c>
      <c r="D191" t="inlineStr">
        <is>
          <t>88</t>
        </is>
      </c>
      <c r="E191" t="inlineStr">
        <is>
          <t>Overall Max. 88</t>
        </is>
      </c>
      <c r="F191" t="inlineStr">
        <is>
          <t>WTSS Journey 2 - Defender [SP 8] - EA SPORTS FC 26</t>
        </is>
      </c>
      <c r="G191" t="inlineStr">
        <is>
          <t>Reward</t>
        </is>
      </c>
      <c r="H191" t="inlineStr">
        <is>
          <t>Standard Season Pass</t>
        </is>
      </c>
      <c r="I191" t="inlineStr">
        <is>
          <t>https://www.fut.gg/evolutions/1930-wtss-journey-2-defender-sp-8/</t>
        </is>
      </c>
    </row>
    <row r="192">
      <c r="A192" t="inlineStr">
        <is>
          <t>OVR_Min</t>
        </is>
      </c>
      <c r="B192" t="inlineStr">
        <is>
          <t>OVR_Min</t>
        </is>
      </c>
      <c r="C192" t="inlineStr">
        <is>
          <t>Value</t>
        </is>
      </c>
      <c r="D192" t="inlineStr">
        <is>
          <t>88</t>
        </is>
      </c>
      <c r="E192" t="inlineStr">
        <is>
          <t>Overall Min. 88</t>
        </is>
      </c>
      <c r="F192" t="inlineStr">
        <is>
          <t>WTSS Journey 2 - Defender [SP 8] - EA SPORTS FC 26</t>
        </is>
      </c>
      <c r="G192" t="inlineStr">
        <is>
          <t>Reward</t>
        </is>
      </c>
      <c r="H192" t="inlineStr">
        <is>
          <t>Standard Season Pass</t>
        </is>
      </c>
      <c r="I192" t="inlineStr">
        <is>
          <t>https://www.fut.gg/evolutions/1930-wtss-journey-2-defender-sp-8/</t>
        </is>
      </c>
    </row>
    <row r="193">
      <c r="A193" t="inlineStr">
        <is>
          <t>Max_PS_Plus</t>
        </is>
      </c>
      <c r="B193" t="inlineStr">
        <is>
          <t>Max_PS_Plus</t>
        </is>
      </c>
      <c r="C193" t="inlineStr">
        <is>
          <t>Max</t>
        </is>
      </c>
      <c r="D193" t="inlineStr">
        <is>
          <t>1</t>
        </is>
      </c>
      <c r="E193" t="inlineStr">
        <is>
          <t>Max PS+ 1</t>
        </is>
      </c>
      <c r="F193" t="inlineStr">
        <is>
          <t>WTSS Journey 2 - Defender [SP 8] - EA SPORTS FC 26</t>
        </is>
      </c>
      <c r="G193" t="inlineStr">
        <is>
          <t>Reward</t>
        </is>
      </c>
      <c r="H193" t="inlineStr">
        <is>
          <t>Standard Season Pass</t>
        </is>
      </c>
      <c r="I193" t="inlineStr">
        <is>
          <t>https://www.fut.gg/evolutions/1930-wtss-journey-2-defender-sp-8/</t>
        </is>
      </c>
    </row>
    <row r="194">
      <c r="A194" t="inlineStr">
        <is>
          <t>Max_PS</t>
        </is>
      </c>
      <c r="B194" t="inlineStr">
        <is>
          <t>Max_PS</t>
        </is>
      </c>
      <c r="C194" t="inlineStr">
        <is>
          <t>Max</t>
        </is>
      </c>
      <c r="D194" t="inlineStr">
        <is>
          <t>10</t>
        </is>
      </c>
      <c r="E194" t="inlineStr">
        <is>
          <t>Max PS 10</t>
        </is>
      </c>
      <c r="F194" t="inlineStr">
        <is>
          <t>WTSS Journey 2 - Defender [SP 8] - EA SPORTS FC 26</t>
        </is>
      </c>
      <c r="G194" t="inlineStr">
        <is>
          <t>Reward</t>
        </is>
      </c>
      <c r="H194" t="inlineStr">
        <is>
          <t>Standard Season Pass</t>
        </is>
      </c>
      <c r="I194" t="inlineStr">
        <is>
          <t>https://www.fut.gg/evolutions/1930-wtss-journey-2-defender-sp-8/</t>
        </is>
      </c>
    </row>
    <row r="195">
      <c r="A195" t="inlineStr">
        <is>
          <t>Position</t>
        </is>
      </c>
      <c r="B195" t="inlineStr">
        <is>
          <t>Position</t>
        </is>
      </c>
      <c r="C195" t="inlineStr">
        <is>
          <t>Include</t>
        </is>
      </c>
      <c r="D195" t="inlineStr">
        <is>
          <t>CB, LB, RB</t>
        </is>
      </c>
      <c r="E195" t="inlineStr">
        <is>
          <t>Position CB, LB, RB</t>
        </is>
      </c>
      <c r="F195" t="inlineStr">
        <is>
          <t>WTSS Journey 2 - Defender [SP 8] - EA SPORTS FC 26</t>
        </is>
      </c>
      <c r="G195" t="inlineStr">
        <is>
          <t>Reward</t>
        </is>
      </c>
      <c r="H195" t="inlineStr">
        <is>
          <t>Standard Season Pass</t>
        </is>
      </c>
      <c r="I195" t="inlineStr">
        <is>
          <t>https://www.fut.gg/evolutions/1930-wtss-journey-2-defender-sp-8/</t>
        </is>
      </c>
    </row>
    <row r="196">
      <c r="A196" t="inlineStr">
        <is>
          <t>Rarity</t>
        </is>
      </c>
      <c r="B196" t="inlineStr">
        <is>
          <t>Rarity</t>
        </is>
      </c>
      <c r="C196" t="inlineStr">
        <is>
          <t>Include</t>
        </is>
      </c>
      <c r="D196" t="inlineStr">
        <is>
          <t>World Tour Silver Stars</t>
        </is>
      </c>
      <c r="E196" t="inlineStr">
        <is>
          <t>Rarity World Tour Silver Stars</t>
        </is>
      </c>
      <c r="F196" t="inlineStr">
        <is>
          <t>WTSS Journey 2 - Defender [SP 8] - EA SPORTS FC 26</t>
        </is>
      </c>
      <c r="G196" t="inlineStr">
        <is>
          <t>Reward</t>
        </is>
      </c>
      <c r="H196" t="inlineStr">
        <is>
          <t>Standard Season Pass</t>
        </is>
      </c>
      <c r="I196" t="inlineStr">
        <is>
          <t>https://www.fut.gg/evolutions/1930-wtss-journey-2-defender-sp-8/</t>
        </is>
      </c>
    </row>
    <row r="197">
      <c r="A197" t="inlineStr">
        <is>
          <t>OVR_Max</t>
        </is>
      </c>
      <c r="B197" t="inlineStr">
        <is>
          <t>OVR_Max</t>
        </is>
      </c>
      <c r="C197" t="inlineStr">
        <is>
          <t>Max</t>
        </is>
      </c>
      <c r="D197" t="inlineStr">
        <is>
          <t>90</t>
        </is>
      </c>
      <c r="E197" t="inlineStr">
        <is>
          <t>Overall Max. 90</t>
        </is>
      </c>
      <c r="F197" t="inlineStr">
        <is>
          <t>WTSS Journey 3 - Attacker [SP 21] - EA SPORTS FC 26</t>
        </is>
      </c>
      <c r="G197" t="inlineStr">
        <is>
          <t>Reward</t>
        </is>
      </c>
      <c r="H197" t="inlineStr">
        <is>
          <t>Standard Season Pass</t>
        </is>
      </c>
      <c r="I197" t="inlineStr">
        <is>
          <t>https://www.fut.gg/evolutions/1929-wtss-journey-3-attacker-sp-21/</t>
        </is>
      </c>
    </row>
    <row r="198">
      <c r="A198" t="inlineStr">
        <is>
          <t>OVR_Min</t>
        </is>
      </c>
      <c r="B198" t="inlineStr">
        <is>
          <t>OVR_Min</t>
        </is>
      </c>
      <c r="C198" t="inlineStr">
        <is>
          <t>Value</t>
        </is>
      </c>
      <c r="D198" t="inlineStr">
        <is>
          <t>90</t>
        </is>
      </c>
      <c r="E198" t="inlineStr">
        <is>
          <t>Overall Min. 90</t>
        </is>
      </c>
      <c r="F198" t="inlineStr">
        <is>
          <t>WTSS Journey 3 - Attacker [SP 21] - EA SPORTS FC 26</t>
        </is>
      </c>
      <c r="G198" t="inlineStr">
        <is>
          <t>Reward</t>
        </is>
      </c>
      <c r="H198" t="inlineStr">
        <is>
          <t>Standard Season Pass</t>
        </is>
      </c>
      <c r="I198" t="inlineStr">
        <is>
          <t>https://www.fut.gg/evolutions/1929-wtss-journey-3-attacker-sp-21/</t>
        </is>
      </c>
    </row>
    <row r="199">
      <c r="A199" t="inlineStr">
        <is>
          <t>Max_PS_Plus</t>
        </is>
      </c>
      <c r="B199" t="inlineStr">
        <is>
          <t>Max_PS_Plus</t>
        </is>
      </c>
      <c r="C199" t="inlineStr">
        <is>
          <t>Max</t>
        </is>
      </c>
      <c r="D199" t="inlineStr">
        <is>
          <t>2</t>
        </is>
      </c>
      <c r="E199" t="inlineStr">
        <is>
          <t>Max PS+ 2</t>
        </is>
      </c>
      <c r="F199" t="inlineStr">
        <is>
          <t>WTSS Journey 3 - Attacker [SP 21] - EA SPORTS FC 26</t>
        </is>
      </c>
      <c r="G199" t="inlineStr">
        <is>
          <t>Reward</t>
        </is>
      </c>
      <c r="H199" t="inlineStr">
        <is>
          <t>Standard Season Pass</t>
        </is>
      </c>
      <c r="I199" t="inlineStr">
        <is>
          <t>https://www.fut.gg/evolutions/1929-wtss-journey-3-attacker-sp-21/</t>
        </is>
      </c>
    </row>
    <row r="200">
      <c r="A200" t="inlineStr">
        <is>
          <t>Max_PS</t>
        </is>
      </c>
      <c r="B200" t="inlineStr">
        <is>
          <t>Max_PS</t>
        </is>
      </c>
      <c r="C200" t="inlineStr">
        <is>
          <t>Max</t>
        </is>
      </c>
      <c r="D200" t="inlineStr">
        <is>
          <t>10</t>
        </is>
      </c>
      <c r="E200" t="inlineStr">
        <is>
          <t>Max PS 10</t>
        </is>
      </c>
      <c r="F200" t="inlineStr">
        <is>
          <t>WTSS Journey 3 - Attacker [SP 21] - EA SPORTS FC 26</t>
        </is>
      </c>
      <c r="G200" t="inlineStr">
        <is>
          <t>Reward</t>
        </is>
      </c>
      <c r="H200" t="inlineStr">
        <is>
          <t>Standard Season Pass</t>
        </is>
      </c>
      <c r="I200" t="inlineStr">
        <is>
          <t>https://www.fut.gg/evolutions/1929-wtss-journey-3-attacker-sp-21/</t>
        </is>
      </c>
    </row>
    <row r="201">
      <c r="A201" t="inlineStr">
        <is>
          <t>Position</t>
        </is>
      </c>
      <c r="B201" t="inlineStr">
        <is>
          <t>Position</t>
        </is>
      </c>
      <c r="C201" t="inlineStr">
        <is>
          <t>Include</t>
        </is>
      </c>
      <c r="D201" t="inlineStr">
        <is>
          <t>ST, RW, LW</t>
        </is>
      </c>
      <c r="E201" t="inlineStr">
        <is>
          <t>Position ST, RW, LW</t>
        </is>
      </c>
      <c r="F201" t="inlineStr">
        <is>
          <t>WTSS Journey 3 - Attacker [SP 21] - EA SPORTS FC 26</t>
        </is>
      </c>
      <c r="G201" t="inlineStr">
        <is>
          <t>Reward</t>
        </is>
      </c>
      <c r="H201" t="inlineStr">
        <is>
          <t>Standard Season Pass</t>
        </is>
      </c>
      <c r="I201" t="inlineStr">
        <is>
          <t>https://www.fut.gg/evolutions/1929-wtss-journey-3-attacker-sp-21/</t>
        </is>
      </c>
    </row>
    <row r="202">
      <c r="A202" t="inlineStr">
        <is>
          <t>Rarity</t>
        </is>
      </c>
      <c r="B202" t="inlineStr">
        <is>
          <t>Rarity</t>
        </is>
      </c>
      <c r="C202" t="inlineStr">
        <is>
          <t>Include</t>
        </is>
      </c>
      <c r="D202" t="inlineStr">
        <is>
          <t>World Tour Silver Stars</t>
        </is>
      </c>
      <c r="E202" t="inlineStr">
        <is>
          <t>Rarity World Tour Silver Stars</t>
        </is>
      </c>
      <c r="F202" t="inlineStr">
        <is>
          <t>WTSS Journey 3 - Attacker [SP 21] - EA SPORTS FC 26</t>
        </is>
      </c>
      <c r="G202" t="inlineStr">
        <is>
          <t>Reward</t>
        </is>
      </c>
      <c r="H202" t="inlineStr">
        <is>
          <t>Standard Season Pass</t>
        </is>
      </c>
      <c r="I202" t="inlineStr">
        <is>
          <t>https://www.fut.gg/evolutions/1929-wtss-journey-3-attacker-sp-21/</t>
        </is>
      </c>
    </row>
    <row r="203">
      <c r="A203" t="inlineStr">
        <is>
          <t>OVR_Max</t>
        </is>
      </c>
      <c r="B203" t="inlineStr">
        <is>
          <t>OVR_Max</t>
        </is>
      </c>
      <c r="C203" t="inlineStr">
        <is>
          <t>Max</t>
        </is>
      </c>
      <c r="D203" t="inlineStr">
        <is>
          <t>90</t>
        </is>
      </c>
      <c r="E203" t="inlineStr">
        <is>
          <t>Overall Max. 90</t>
        </is>
      </c>
      <c r="F203" t="inlineStr">
        <is>
          <t>WTSS Journey 3 - Defender [SP 21] - EA SPORTS FC 26</t>
        </is>
      </c>
      <c r="G203" t="inlineStr">
        <is>
          <t>Reward</t>
        </is>
      </c>
      <c r="H203" t="inlineStr">
        <is>
          <t>Standard Season Pass</t>
        </is>
      </c>
      <c r="I203" t="inlineStr">
        <is>
          <t>https://www.fut.gg/evolutions/1928-wtss-journey-3-defender-sp-21/</t>
        </is>
      </c>
    </row>
    <row r="204">
      <c r="A204" t="inlineStr">
        <is>
          <t>OVR_Min</t>
        </is>
      </c>
      <c r="B204" t="inlineStr">
        <is>
          <t>OVR_Min</t>
        </is>
      </c>
      <c r="C204" t="inlineStr">
        <is>
          <t>Value</t>
        </is>
      </c>
      <c r="D204" t="inlineStr">
        <is>
          <t>90</t>
        </is>
      </c>
      <c r="E204" t="inlineStr">
        <is>
          <t>Overall Min. 90</t>
        </is>
      </c>
      <c r="F204" t="inlineStr">
        <is>
          <t>WTSS Journey 3 - Defender [SP 21] - EA SPORTS FC 26</t>
        </is>
      </c>
      <c r="G204" t="inlineStr">
        <is>
          <t>Reward</t>
        </is>
      </c>
      <c r="H204" t="inlineStr">
        <is>
          <t>Standard Season Pass</t>
        </is>
      </c>
      <c r="I204" t="inlineStr">
        <is>
          <t>https://www.fut.gg/evolutions/1928-wtss-journey-3-defender-sp-21/</t>
        </is>
      </c>
    </row>
    <row r="205">
      <c r="A205" t="inlineStr">
        <is>
          <t>Max_PS_Plus</t>
        </is>
      </c>
      <c r="B205" t="inlineStr">
        <is>
          <t>Max_PS_Plus</t>
        </is>
      </c>
      <c r="C205" t="inlineStr">
        <is>
          <t>Max</t>
        </is>
      </c>
      <c r="D205" t="inlineStr">
        <is>
          <t>2</t>
        </is>
      </c>
      <c r="E205" t="inlineStr">
        <is>
          <t>Max PS+ 2</t>
        </is>
      </c>
      <c r="F205" t="inlineStr">
        <is>
          <t>WTSS Journey 3 - Defender [SP 21] - EA SPORTS FC 26</t>
        </is>
      </c>
      <c r="G205" t="inlineStr">
        <is>
          <t>Reward</t>
        </is>
      </c>
      <c r="H205" t="inlineStr">
        <is>
          <t>Standard Season Pass</t>
        </is>
      </c>
      <c r="I205" t="inlineStr">
        <is>
          <t>https://www.fut.gg/evolutions/1928-wtss-journey-3-defender-sp-21/</t>
        </is>
      </c>
    </row>
    <row r="206">
      <c r="A206" t="inlineStr">
        <is>
          <t>Max_PS</t>
        </is>
      </c>
      <c r="B206" t="inlineStr">
        <is>
          <t>Max_PS</t>
        </is>
      </c>
      <c r="C206" t="inlineStr">
        <is>
          <t>Max</t>
        </is>
      </c>
      <c r="D206" t="inlineStr">
        <is>
          <t>10</t>
        </is>
      </c>
      <c r="E206" t="inlineStr">
        <is>
          <t>Max PS 10</t>
        </is>
      </c>
      <c r="F206" t="inlineStr">
        <is>
          <t>WTSS Journey 3 - Defender [SP 21] - EA SPORTS FC 26</t>
        </is>
      </c>
      <c r="G206" t="inlineStr">
        <is>
          <t>Reward</t>
        </is>
      </c>
      <c r="H206" t="inlineStr">
        <is>
          <t>Standard Season Pass</t>
        </is>
      </c>
      <c r="I206" t="inlineStr">
        <is>
          <t>https://www.fut.gg/evolutions/1928-wtss-journey-3-defender-sp-21/</t>
        </is>
      </c>
    </row>
    <row r="207">
      <c r="A207" t="inlineStr">
        <is>
          <t>Position</t>
        </is>
      </c>
      <c r="B207" t="inlineStr">
        <is>
          <t>Position</t>
        </is>
      </c>
      <c r="C207" t="inlineStr">
        <is>
          <t>Include</t>
        </is>
      </c>
      <c r="D207" t="inlineStr">
        <is>
          <t>CB, LB, RB</t>
        </is>
      </c>
      <c r="E207" t="inlineStr">
        <is>
          <t>Position CB, LB, RB</t>
        </is>
      </c>
      <c r="F207" t="inlineStr">
        <is>
          <t>WTSS Journey 3 - Defender [SP 21] - EA SPORTS FC 26</t>
        </is>
      </c>
      <c r="G207" t="inlineStr">
        <is>
          <t>Reward</t>
        </is>
      </c>
      <c r="H207" t="inlineStr">
        <is>
          <t>Standard Season Pass</t>
        </is>
      </c>
      <c r="I207" t="inlineStr">
        <is>
          <t>https://www.fut.gg/evolutions/1928-wtss-journey-3-defender-sp-21/</t>
        </is>
      </c>
    </row>
    <row r="208">
      <c r="A208" t="inlineStr">
        <is>
          <t>Rarity</t>
        </is>
      </c>
      <c r="B208" t="inlineStr">
        <is>
          <t>Rarity</t>
        </is>
      </c>
      <c r="C208" t="inlineStr">
        <is>
          <t>Include</t>
        </is>
      </c>
      <c r="D208" t="inlineStr">
        <is>
          <t>World Tour Silver Stars</t>
        </is>
      </c>
      <c r="E208" t="inlineStr">
        <is>
          <t>Rarity World Tour Silver Stars</t>
        </is>
      </c>
      <c r="F208" t="inlineStr">
        <is>
          <t>WTSS Journey 3 - Defender [SP 21] - EA SPORTS FC 26</t>
        </is>
      </c>
      <c r="G208" t="inlineStr">
        <is>
          <t>Reward</t>
        </is>
      </c>
      <c r="H208" t="inlineStr">
        <is>
          <t>Standard Season Pass</t>
        </is>
      </c>
      <c r="I208" t="inlineStr">
        <is>
          <t>https://www.fut.gg/evolutions/1928-wtss-journey-3-defender-sp-21/</t>
        </is>
      </c>
    </row>
    <row r="209">
      <c r="A209" t="inlineStr">
        <is>
          <t>OVR_Max</t>
        </is>
      </c>
      <c r="B209" t="inlineStr">
        <is>
          <t>OVR_Max</t>
        </is>
      </c>
      <c r="C209" t="inlineStr">
        <is>
          <t>Max</t>
        </is>
      </c>
      <c r="D209" t="inlineStr">
        <is>
          <t>88</t>
        </is>
      </c>
      <c r="E209" t="inlineStr">
        <is>
          <t>Overall Max. 88</t>
        </is>
      </c>
      <c r="F209" t="inlineStr">
        <is>
          <t>WTSS Journey 2 - Midfielder [SP 8] - EA SPORTS FC 26</t>
        </is>
      </c>
      <c r="G209" t="inlineStr">
        <is>
          <t>Reward</t>
        </is>
      </c>
      <c r="H209" t="inlineStr">
        <is>
          <t>Standard Season Pass</t>
        </is>
      </c>
      <c r="I209" t="inlineStr">
        <is>
          <t>https://www.fut.gg/evolutions/1927-wtss-journey-2-midfielder-sp-8/</t>
        </is>
      </c>
    </row>
    <row r="210">
      <c r="A210" t="inlineStr">
        <is>
          <t>OVR_Min</t>
        </is>
      </c>
      <c r="B210" t="inlineStr">
        <is>
          <t>OVR_Min</t>
        </is>
      </c>
      <c r="C210" t="inlineStr">
        <is>
          <t>Value</t>
        </is>
      </c>
      <c r="D210" t="inlineStr">
        <is>
          <t>88</t>
        </is>
      </c>
      <c r="E210" t="inlineStr">
        <is>
          <t>Overall Min. 88</t>
        </is>
      </c>
      <c r="F210" t="inlineStr">
        <is>
          <t>WTSS Journey 2 - Midfielder [SP 8] - EA SPORTS FC 26</t>
        </is>
      </c>
      <c r="G210" t="inlineStr">
        <is>
          <t>Reward</t>
        </is>
      </c>
      <c r="H210" t="inlineStr">
        <is>
          <t>Standard Season Pass</t>
        </is>
      </c>
      <c r="I210" t="inlineStr">
        <is>
          <t>https://www.fut.gg/evolutions/1927-wtss-journey-2-midfielder-sp-8/</t>
        </is>
      </c>
    </row>
    <row r="211">
      <c r="A211" t="inlineStr">
        <is>
          <t>Max_PS_Plus</t>
        </is>
      </c>
      <c r="B211" t="inlineStr">
        <is>
          <t>Max_PS_Plus</t>
        </is>
      </c>
      <c r="C211" t="inlineStr">
        <is>
          <t>Max</t>
        </is>
      </c>
      <c r="D211" t="inlineStr">
        <is>
          <t>1</t>
        </is>
      </c>
      <c r="E211" t="inlineStr">
        <is>
          <t>Max PS+ 1</t>
        </is>
      </c>
      <c r="F211" t="inlineStr">
        <is>
          <t>WTSS Journey 2 - Midfielder [SP 8] - EA SPORTS FC 26</t>
        </is>
      </c>
      <c r="G211" t="inlineStr">
        <is>
          <t>Reward</t>
        </is>
      </c>
      <c r="H211" t="inlineStr">
        <is>
          <t>Standard Season Pass</t>
        </is>
      </c>
      <c r="I211" t="inlineStr">
        <is>
          <t>https://www.fut.gg/evolutions/1927-wtss-journey-2-midfielder-sp-8/</t>
        </is>
      </c>
    </row>
    <row r="212">
      <c r="A212" t="inlineStr">
        <is>
          <t>Max_PS</t>
        </is>
      </c>
      <c r="B212" t="inlineStr">
        <is>
          <t>Max_PS</t>
        </is>
      </c>
      <c r="C212" t="inlineStr">
        <is>
          <t>Max</t>
        </is>
      </c>
      <c r="D212" t="inlineStr">
        <is>
          <t>10</t>
        </is>
      </c>
      <c r="E212" t="inlineStr">
        <is>
          <t>Max PS 10</t>
        </is>
      </c>
      <c r="F212" t="inlineStr">
        <is>
          <t>WTSS Journey 2 - Midfielder [SP 8] - EA SPORTS FC 26</t>
        </is>
      </c>
      <c r="G212" t="inlineStr">
        <is>
          <t>Reward</t>
        </is>
      </c>
      <c r="H212" t="inlineStr">
        <is>
          <t>Standard Season Pass</t>
        </is>
      </c>
      <c r="I212" t="inlineStr">
        <is>
          <t>https://www.fut.gg/evolutions/1927-wtss-journey-2-midfielder-sp-8/</t>
        </is>
      </c>
    </row>
    <row r="213">
      <c r="A213" t="inlineStr">
        <is>
          <t>Position</t>
        </is>
      </c>
      <c r="B213" t="inlineStr">
        <is>
          <t>Position</t>
        </is>
      </c>
      <c r="C213" t="inlineStr">
        <is>
          <t>Include</t>
        </is>
      </c>
      <c r="D213" t="inlineStr">
        <is>
          <t>CAM, CDM, CM</t>
        </is>
      </c>
      <c r="E213" t="inlineStr">
        <is>
          <t>Position CAM, CDM, CM</t>
        </is>
      </c>
      <c r="F213" t="inlineStr">
        <is>
          <t>WTSS Journey 2 - Midfielder [SP 8] - EA SPORTS FC 26</t>
        </is>
      </c>
      <c r="G213" t="inlineStr">
        <is>
          <t>Reward</t>
        </is>
      </c>
      <c r="H213" t="inlineStr">
        <is>
          <t>Standard Season Pass</t>
        </is>
      </c>
      <c r="I213" t="inlineStr">
        <is>
          <t>https://www.fut.gg/evolutions/1927-wtss-journey-2-midfielder-sp-8/</t>
        </is>
      </c>
    </row>
    <row r="214">
      <c r="A214" t="inlineStr">
        <is>
          <t>Rarity</t>
        </is>
      </c>
      <c r="B214" t="inlineStr">
        <is>
          <t>Rarity</t>
        </is>
      </c>
      <c r="C214" t="inlineStr">
        <is>
          <t>Include</t>
        </is>
      </c>
      <c r="D214" t="inlineStr">
        <is>
          <t>World Tour Silver Stars</t>
        </is>
      </c>
      <c r="E214" t="inlineStr">
        <is>
          <t>Rarity World Tour Silver Stars</t>
        </is>
      </c>
      <c r="F214" t="inlineStr">
        <is>
          <t>WTSS Journey 2 - Midfielder [SP 8] - EA SPORTS FC 26</t>
        </is>
      </c>
      <c r="G214" t="inlineStr">
        <is>
          <t>Reward</t>
        </is>
      </c>
      <c r="H214" t="inlineStr">
        <is>
          <t>Standard Season Pass</t>
        </is>
      </c>
      <c r="I214" t="inlineStr">
        <is>
          <t>https://www.fut.gg/evolutions/1927-wtss-journey-2-midfielder-sp-8/</t>
        </is>
      </c>
    </row>
    <row r="215">
      <c r="A215" t="inlineStr">
        <is>
          <t>Max_PS_Plus</t>
        </is>
      </c>
      <c r="B215" t="inlineStr">
        <is>
          <t>Max_PS_Plus</t>
        </is>
      </c>
      <c r="C215" t="inlineStr">
        <is>
          <t>Max</t>
        </is>
      </c>
      <c r="D215" t="inlineStr">
        <is>
          <t>1</t>
        </is>
      </c>
      <c r="E215" t="inlineStr">
        <is>
          <t>Max PS+ 1</t>
        </is>
      </c>
      <c r="F215" t="inlineStr">
        <is>
          <t>WTSS Journey 1 - Attacker [SP 3] - EA SPORTS FC 26</t>
        </is>
      </c>
      <c r="G215" t="inlineStr">
        <is>
          <t>Reward</t>
        </is>
      </c>
      <c r="H215" t="inlineStr">
        <is>
          <t>Standard Season Pass</t>
        </is>
      </c>
      <c r="I215" t="inlineStr">
        <is>
          <t>https://www.fut.gg/evolutions/1926-wtss-journey-1-attacker-sp-3/</t>
        </is>
      </c>
    </row>
    <row r="216">
      <c r="A216" t="inlineStr">
        <is>
          <t>Max_PS</t>
        </is>
      </c>
      <c r="B216" t="inlineStr">
        <is>
          <t>Max_PS</t>
        </is>
      </c>
      <c r="C216" t="inlineStr">
        <is>
          <t>Max</t>
        </is>
      </c>
      <c r="D216" t="inlineStr">
        <is>
          <t>10</t>
        </is>
      </c>
      <c r="E216" t="inlineStr">
        <is>
          <t>Max PS 10</t>
        </is>
      </c>
      <c r="F216" t="inlineStr">
        <is>
          <t>WTSS Journey 1 - Attacker [SP 3] - EA SPORTS FC 26</t>
        </is>
      </c>
      <c r="G216" t="inlineStr">
        <is>
          <t>Reward</t>
        </is>
      </c>
      <c r="H216" t="inlineStr">
        <is>
          <t>Standard Season Pass</t>
        </is>
      </c>
      <c r="I216" t="inlineStr">
        <is>
          <t>https://www.fut.gg/evolutions/1926-wtss-journey-1-attacker-sp-3/</t>
        </is>
      </c>
    </row>
    <row r="217">
      <c r="A217" t="inlineStr">
        <is>
          <t>Position</t>
        </is>
      </c>
      <c r="B217" t="inlineStr">
        <is>
          <t>Position</t>
        </is>
      </c>
      <c r="C217" t="inlineStr">
        <is>
          <t>Include</t>
        </is>
      </c>
      <c r="D217" t="inlineStr">
        <is>
          <t>ST, RW, LW</t>
        </is>
      </c>
      <c r="E217" t="inlineStr">
        <is>
          <t>Position ST, RW, LW</t>
        </is>
      </c>
      <c r="F217" t="inlineStr">
        <is>
          <t>WTSS Journey 1 - Attacker [SP 3] - EA SPORTS FC 26</t>
        </is>
      </c>
      <c r="G217" t="inlineStr">
        <is>
          <t>Reward</t>
        </is>
      </c>
      <c r="H217" t="inlineStr">
        <is>
          <t>Standard Season Pass</t>
        </is>
      </c>
      <c r="I217" t="inlineStr">
        <is>
          <t>https://www.fut.gg/evolutions/1926-wtss-journey-1-attacker-sp-3/</t>
        </is>
      </c>
    </row>
    <row r="218">
      <c r="A218" t="inlineStr">
        <is>
          <t>Rarity</t>
        </is>
      </c>
      <c r="B218" t="inlineStr">
        <is>
          <t>Rarity</t>
        </is>
      </c>
      <c r="C218" t="inlineStr">
        <is>
          <t>Include</t>
        </is>
      </c>
      <c r="D218" t="inlineStr">
        <is>
          <t>World Tour Silver Stars</t>
        </is>
      </c>
      <c r="E218" t="inlineStr">
        <is>
          <t>Rarity World Tour Silver Stars</t>
        </is>
      </c>
      <c r="F218" t="inlineStr">
        <is>
          <t>WTSS Journey 1 - Attacker [SP 3] - EA SPORTS FC 26</t>
        </is>
      </c>
      <c r="G218" t="inlineStr">
        <is>
          <t>Reward</t>
        </is>
      </c>
      <c r="H218" t="inlineStr">
        <is>
          <t>Standard Season Pass</t>
        </is>
      </c>
      <c r="I218" t="inlineStr">
        <is>
          <t>https://www.fut.gg/evolutions/1926-wtss-journey-1-attacker-sp-3/</t>
        </is>
      </c>
    </row>
    <row r="219">
      <c r="A219" t="inlineStr">
        <is>
          <t>Max_PS_Plus</t>
        </is>
      </c>
      <c r="B219" t="inlineStr">
        <is>
          <t>Max_PS_Plus</t>
        </is>
      </c>
      <c r="C219" t="inlineStr">
        <is>
          <t>Max</t>
        </is>
      </c>
      <c r="D219" t="inlineStr">
        <is>
          <t>1</t>
        </is>
      </c>
      <c r="E219" t="inlineStr">
        <is>
          <t>Max PS+ 1</t>
        </is>
      </c>
      <c r="F219" t="inlineStr">
        <is>
          <t>WTSS Journey 1 - Midfielder [SP 3] - EA SPORTS FC 26</t>
        </is>
      </c>
      <c r="G219" t="inlineStr">
        <is>
          <t>Reward</t>
        </is>
      </c>
      <c r="H219" t="inlineStr">
        <is>
          <t>Standard Season Pass</t>
        </is>
      </c>
      <c r="I219" t="inlineStr">
        <is>
          <t>https://www.fut.gg/evolutions/1925-wtss-journey-1-midfielder-sp-3/</t>
        </is>
      </c>
    </row>
    <row r="220">
      <c r="A220" t="inlineStr">
        <is>
          <t>Max_PS</t>
        </is>
      </c>
      <c r="B220" t="inlineStr">
        <is>
          <t>Max_PS</t>
        </is>
      </c>
      <c r="C220" t="inlineStr">
        <is>
          <t>Max</t>
        </is>
      </c>
      <c r="D220" t="inlineStr">
        <is>
          <t>10</t>
        </is>
      </c>
      <c r="E220" t="inlineStr">
        <is>
          <t>Max PS 10</t>
        </is>
      </c>
      <c r="F220" t="inlineStr">
        <is>
          <t>WTSS Journey 1 - Midfielder [SP 3] - EA SPORTS FC 26</t>
        </is>
      </c>
      <c r="G220" t="inlineStr">
        <is>
          <t>Reward</t>
        </is>
      </c>
      <c r="H220" t="inlineStr">
        <is>
          <t>Standard Season Pass</t>
        </is>
      </c>
      <c r="I220" t="inlineStr">
        <is>
          <t>https://www.fut.gg/evolutions/1925-wtss-journey-1-midfielder-sp-3/</t>
        </is>
      </c>
    </row>
    <row r="221">
      <c r="A221" t="inlineStr">
        <is>
          <t>Position</t>
        </is>
      </c>
      <c r="B221" t="inlineStr">
        <is>
          <t>Position</t>
        </is>
      </c>
      <c r="C221" t="inlineStr">
        <is>
          <t>Include</t>
        </is>
      </c>
      <c r="D221" t="inlineStr">
        <is>
          <t>CAM, CM, CDM</t>
        </is>
      </c>
      <c r="E221" t="inlineStr">
        <is>
          <t>Position CAM, CM, CDM</t>
        </is>
      </c>
      <c r="F221" t="inlineStr">
        <is>
          <t>WTSS Journey 1 - Midfielder [SP 3] - EA SPORTS FC 26</t>
        </is>
      </c>
      <c r="G221" t="inlineStr">
        <is>
          <t>Reward</t>
        </is>
      </c>
      <c r="H221" t="inlineStr">
        <is>
          <t>Standard Season Pass</t>
        </is>
      </c>
      <c r="I221" t="inlineStr">
        <is>
          <t>https://www.fut.gg/evolutions/1925-wtss-journey-1-midfielder-sp-3/</t>
        </is>
      </c>
    </row>
    <row r="222">
      <c r="A222" t="inlineStr">
        <is>
          <t>Rarity</t>
        </is>
      </c>
      <c r="B222" t="inlineStr">
        <is>
          <t>Rarity</t>
        </is>
      </c>
      <c r="C222" t="inlineStr">
        <is>
          <t>Include</t>
        </is>
      </c>
      <c r="D222" t="inlineStr">
        <is>
          <t>World Tour Silver Stars</t>
        </is>
      </c>
      <c r="E222" t="inlineStr">
        <is>
          <t>Rarity World Tour Silver Stars</t>
        </is>
      </c>
      <c r="F222" t="inlineStr">
        <is>
          <t>WTSS Journey 1 - Midfielder [SP 3] - EA SPORTS FC 26</t>
        </is>
      </c>
      <c r="G222" t="inlineStr">
        <is>
          <t>Reward</t>
        </is>
      </c>
      <c r="H222" t="inlineStr">
        <is>
          <t>Standard Season Pass</t>
        </is>
      </c>
      <c r="I222" t="inlineStr">
        <is>
          <t>https://www.fut.gg/evolutions/1925-wtss-journey-1-midfielder-sp-3/</t>
        </is>
      </c>
    </row>
    <row r="223">
      <c r="A223" t="inlineStr">
        <is>
          <t>Max_PS_Plus</t>
        </is>
      </c>
      <c r="B223" t="inlineStr">
        <is>
          <t>Max_PS_Plus</t>
        </is>
      </c>
      <c r="C223" t="inlineStr">
        <is>
          <t>Max</t>
        </is>
      </c>
      <c r="D223" t="inlineStr">
        <is>
          <t>1</t>
        </is>
      </c>
      <c r="E223" t="inlineStr">
        <is>
          <t>Max PS+ 1</t>
        </is>
      </c>
      <c r="F223" t="inlineStr">
        <is>
          <t>WTSS Journey 1 - Defender [SP 3] - EA SPORTS FC 26</t>
        </is>
      </c>
      <c r="G223" t="inlineStr">
        <is>
          <t>Reward</t>
        </is>
      </c>
      <c r="H223" t="inlineStr">
        <is>
          <t>Standard Season Pass</t>
        </is>
      </c>
      <c r="I223" t="inlineStr">
        <is>
          <t>https://www.fut.gg/evolutions/1924-wtss-journey-1-defender-sp-3/</t>
        </is>
      </c>
    </row>
    <row r="224">
      <c r="A224" t="inlineStr">
        <is>
          <t>Max_PS</t>
        </is>
      </c>
      <c r="B224" t="inlineStr">
        <is>
          <t>Max_PS</t>
        </is>
      </c>
      <c r="C224" t="inlineStr">
        <is>
          <t>Max</t>
        </is>
      </c>
      <c r="D224" t="inlineStr">
        <is>
          <t>10</t>
        </is>
      </c>
      <c r="E224" t="inlineStr">
        <is>
          <t>Max PS 10</t>
        </is>
      </c>
      <c r="F224" t="inlineStr">
        <is>
          <t>WTSS Journey 1 - Defender [SP 3] - EA SPORTS FC 26</t>
        </is>
      </c>
      <c r="G224" t="inlineStr">
        <is>
          <t>Reward</t>
        </is>
      </c>
      <c r="H224" t="inlineStr">
        <is>
          <t>Standard Season Pass</t>
        </is>
      </c>
      <c r="I224" t="inlineStr">
        <is>
          <t>https://www.fut.gg/evolutions/1924-wtss-journey-1-defender-sp-3/</t>
        </is>
      </c>
    </row>
    <row r="225">
      <c r="A225" t="inlineStr">
        <is>
          <t>Position</t>
        </is>
      </c>
      <c r="B225" t="inlineStr">
        <is>
          <t>Position</t>
        </is>
      </c>
      <c r="C225" t="inlineStr">
        <is>
          <t>Include</t>
        </is>
      </c>
      <c r="D225" t="inlineStr">
        <is>
          <t>CB, LB, RB</t>
        </is>
      </c>
      <c r="E225" t="inlineStr">
        <is>
          <t>Position CB, LB, RB</t>
        </is>
      </c>
      <c r="F225" t="inlineStr">
        <is>
          <t>WTSS Journey 1 - Defender [SP 3] - EA SPORTS FC 26</t>
        </is>
      </c>
      <c r="G225" t="inlineStr">
        <is>
          <t>Reward</t>
        </is>
      </c>
      <c r="H225" t="inlineStr">
        <is>
          <t>Standard Season Pass</t>
        </is>
      </c>
      <c r="I225" t="inlineStr">
        <is>
          <t>https://www.fut.gg/evolutions/1924-wtss-journey-1-defender-sp-3/</t>
        </is>
      </c>
    </row>
    <row r="226">
      <c r="A226" t="inlineStr">
        <is>
          <t>Rarity</t>
        </is>
      </c>
      <c r="B226" t="inlineStr">
        <is>
          <t>Rarity</t>
        </is>
      </c>
      <c r="C226" t="inlineStr">
        <is>
          <t>Include</t>
        </is>
      </c>
      <c r="D226" t="inlineStr">
        <is>
          <t>World Tour Silver Stars</t>
        </is>
      </c>
      <c r="E226" t="inlineStr">
        <is>
          <t>Rarity World Tour Silver Stars</t>
        </is>
      </c>
      <c r="F226" t="inlineStr">
        <is>
          <t>WTSS Journey 1 - Defender [SP 3] - EA SPORTS FC 26</t>
        </is>
      </c>
      <c r="G226" t="inlineStr">
        <is>
          <t>Reward</t>
        </is>
      </c>
      <c r="H226" t="inlineStr">
        <is>
          <t>Standard Season Pass</t>
        </is>
      </c>
      <c r="I226" t="inlineStr">
        <is>
          <t>https://www.fut.gg/evolutions/1924-wtss-journey-1-defender-sp-3/</t>
        </is>
      </c>
    </row>
    <row r="227">
      <c r="A227" t="inlineStr">
        <is>
          <t>Excluded_Rarity</t>
        </is>
      </c>
      <c r="B227" t="inlineStr">
        <is>
          <t>Excluded Rarity</t>
        </is>
      </c>
      <c r="C227" t="inlineStr">
        <is>
          <t>Exclude</t>
        </is>
      </c>
      <c r="D227" t="inlineStr">
        <is>
          <t>World Tour Silver Stars Details Submit by in 2 months Expiry in 2 months Coins Cost Free Points Cost Free</t>
        </is>
      </c>
      <c r="E227" t="inlineStr">
        <is>
          <t>Excluded Rarity World Tour Silver Stars Details Submit by in 2 months Expiry in 2 months Coins Cost Free Points Cost Free</t>
        </is>
      </c>
      <c r="F227" t="inlineStr">
        <is>
          <t>Season Ladder Excellence [SP 27] - EA SPORTS FC 26</t>
        </is>
      </c>
      <c r="G227" t="inlineStr">
        <is>
          <t>Reward</t>
        </is>
      </c>
      <c r="H227" t="inlineStr">
        <is>
          <t>Standard Season Pass</t>
        </is>
      </c>
      <c r="I227" t="inlineStr">
        <is>
          <t>https://www.fut.gg/evolutions/1923-season-ladder-excellence-sp-27/</t>
        </is>
      </c>
    </row>
    <row r="228">
      <c r="A228" t="inlineStr">
        <is>
          <t>Rarity</t>
        </is>
      </c>
      <c r="B228" t="inlineStr">
        <is>
          <t>Rarity</t>
        </is>
      </c>
      <c r="C228" t="inlineStr">
        <is>
          <t>Include</t>
        </is>
      </c>
      <c r="D228" t="inlineStr">
        <is>
          <t>World Tour Silver Stars Details Submit by in 2 months Expiry in 2 months Coins Cost Free Points Cost Free</t>
        </is>
      </c>
      <c r="E228" t="inlineStr">
        <is>
          <t>Rarity World Tour Silver Stars Details Submit by in 2 months Expiry in 2 months Coins Cost Free Points Cost Free</t>
        </is>
      </c>
      <c r="F228" t="inlineStr">
        <is>
          <t>Season Ladder Excellence [SP 27] - EA SPORTS FC 26</t>
        </is>
      </c>
      <c r="G228" t="inlineStr">
        <is>
          <t>Reward</t>
        </is>
      </c>
      <c r="H228" t="inlineStr">
        <is>
          <t>Standard Season Pass</t>
        </is>
      </c>
      <c r="I228" t="inlineStr">
        <is>
          <t>https://www.fut.gg/evolutions/1923-season-ladder-excellence-sp-27/</t>
        </is>
      </c>
    </row>
    <row r="229">
      <c r="A229" t="inlineStr">
        <is>
          <t>OVR_Max</t>
        </is>
      </c>
      <c r="B229" t="inlineStr">
        <is>
          <t>OVR_Max</t>
        </is>
      </c>
      <c r="C229" t="inlineStr">
        <is>
          <t>Max</t>
        </is>
      </c>
      <c r="D229" t="inlineStr">
        <is>
          <t>89</t>
        </is>
      </c>
      <c r="E229" t="inlineStr">
        <is>
          <t>Overall Max. 89</t>
        </is>
      </c>
      <c r="F229" t="inlineStr">
        <is>
          <t>Rapid+ - EA SPORTS FC 26</t>
        </is>
      </c>
      <c r="G229" t="inlineStr">
        <is>
          <t>Reward</t>
        </is>
      </c>
      <c r="H229" t="inlineStr">
        <is>
          <t>Objective</t>
        </is>
      </c>
      <c r="I229" t="inlineStr">
        <is>
          <t>https://www.fut.gg/evolutions/1912-rapid/</t>
        </is>
      </c>
    </row>
    <row r="230">
      <c r="A230" t="inlineStr">
        <is>
          <t>Max_PS_Plus</t>
        </is>
      </c>
      <c r="B230" t="inlineStr">
        <is>
          <t>Max_PS_Plus</t>
        </is>
      </c>
      <c r="C230" t="inlineStr">
        <is>
          <t>Max</t>
        </is>
      </c>
      <c r="D230" t="inlineStr">
        <is>
          <t>1</t>
        </is>
      </c>
      <c r="E230" t="inlineStr">
        <is>
          <t>Max PS+ 1</t>
        </is>
      </c>
      <c r="F230" t="inlineStr">
        <is>
          <t>Rapid+ - EA SPORTS FC 26</t>
        </is>
      </c>
      <c r="G230" t="inlineStr">
        <is>
          <t>Reward</t>
        </is>
      </c>
      <c r="H230" t="inlineStr">
        <is>
          <t>Objective</t>
        </is>
      </c>
      <c r="I230" t="inlineStr">
        <is>
          <t>https://www.fut.gg/evolutions/1912-rapid/</t>
        </is>
      </c>
    </row>
    <row r="231">
      <c r="A231" t="inlineStr">
        <is>
          <t>Excluded_Rarity</t>
        </is>
      </c>
      <c r="B231" t="inlineStr">
        <is>
          <t>Excluded Rarity</t>
        </is>
      </c>
      <c r="C231" t="inlineStr">
        <is>
          <t>Exclude</t>
        </is>
      </c>
      <c r="D231" t="inlineStr">
        <is>
          <t>World Tour Silver Stars</t>
        </is>
      </c>
      <c r="E231" t="inlineStr">
        <is>
          <t>Excluded Rarity World Tour Silver Stars</t>
        </is>
      </c>
      <c r="F231" t="inlineStr">
        <is>
          <t>Rapid+ - EA SPORTS FC 26</t>
        </is>
      </c>
      <c r="G231" t="inlineStr">
        <is>
          <t>Reward</t>
        </is>
      </c>
      <c r="H231" t="inlineStr">
        <is>
          <t>Objective</t>
        </is>
      </c>
      <c r="I231" t="inlineStr">
        <is>
          <t>https://www.fut.gg/evolutions/1912-rapid/</t>
        </is>
      </c>
    </row>
    <row r="232">
      <c r="A232" t="inlineStr">
        <is>
          <t>Rarity</t>
        </is>
      </c>
      <c r="B232" t="inlineStr">
        <is>
          <t>Rarity</t>
        </is>
      </c>
      <c r="C232" t="inlineStr">
        <is>
          <t>Include</t>
        </is>
      </c>
      <c r="D232" t="inlineStr">
        <is>
          <t>World Tour Silver Stars</t>
        </is>
      </c>
      <c r="E232" t="inlineStr">
        <is>
          <t>Rarity World Tour Silver Stars</t>
        </is>
      </c>
      <c r="F232" t="inlineStr">
        <is>
          <t>Rapid+ - EA SPORTS FC 26</t>
        </is>
      </c>
      <c r="G232" t="inlineStr">
        <is>
          <t>Reward</t>
        </is>
      </c>
      <c r="H232" t="inlineStr">
        <is>
          <t>Objective</t>
        </is>
      </c>
      <c r="I232" t="inlineStr">
        <is>
          <t>https://www.fut.gg/evolutions/1912-rapid/</t>
        </is>
      </c>
    </row>
    <row r="233">
      <c r="A233" t="inlineStr">
        <is>
          <t>OVR_Max</t>
        </is>
      </c>
      <c r="B233" t="inlineStr">
        <is>
          <t>OVR_Max</t>
        </is>
      </c>
      <c r="C233" t="inlineStr">
        <is>
          <t>Max</t>
        </is>
      </c>
      <c r="D233" t="inlineStr">
        <is>
          <t>91</t>
        </is>
      </c>
      <c r="E233" t="inlineStr">
        <is>
          <t>Overall Max. 91</t>
        </is>
      </c>
      <c r="F233" t="inlineStr">
        <is>
          <t>Crunch Time - EA SPORTS FC 26</t>
        </is>
      </c>
      <c r="G233" t="inlineStr">
        <is>
          <t>Reward</t>
        </is>
      </c>
      <c r="H233" t="inlineStr">
        <is>
          <t>Objective</t>
        </is>
      </c>
      <c r="I233" t="inlineStr">
        <is>
          <t>https://www.fut.gg/evolutions/1903-crunch-time/</t>
        </is>
      </c>
    </row>
    <row r="234">
      <c r="A234" t="inlineStr">
        <is>
          <t>Max_PS_Plus</t>
        </is>
      </c>
      <c r="B234" t="inlineStr">
        <is>
          <t>Max_PS_Plus</t>
        </is>
      </c>
      <c r="C234" t="inlineStr">
        <is>
          <t>Max</t>
        </is>
      </c>
      <c r="D234" t="inlineStr">
        <is>
          <t>2</t>
        </is>
      </c>
      <c r="E234" t="inlineStr">
        <is>
          <t>Max PS+ 2</t>
        </is>
      </c>
      <c r="F234" t="inlineStr">
        <is>
          <t>Crunch Time - EA SPORTS FC 26</t>
        </is>
      </c>
      <c r="G234" t="inlineStr">
        <is>
          <t>Reward</t>
        </is>
      </c>
      <c r="H234" t="inlineStr">
        <is>
          <t>Objective</t>
        </is>
      </c>
      <c r="I234" t="inlineStr">
        <is>
          <t>https://www.fut.gg/evolutions/1903-crunch-time/</t>
        </is>
      </c>
    </row>
    <row r="235">
      <c r="A235" t="inlineStr">
        <is>
          <t>Max_PS</t>
        </is>
      </c>
      <c r="B235" t="inlineStr">
        <is>
          <t>Max_PS</t>
        </is>
      </c>
      <c r="C235" t="inlineStr">
        <is>
          <t>Max</t>
        </is>
      </c>
      <c r="D235" t="inlineStr">
        <is>
          <t>10</t>
        </is>
      </c>
      <c r="E235" t="inlineStr">
        <is>
          <t>Max PS 10</t>
        </is>
      </c>
      <c r="F235" t="inlineStr">
        <is>
          <t>Crunch Time - EA SPORTS FC 26</t>
        </is>
      </c>
      <c r="G235" t="inlineStr">
        <is>
          <t>Reward</t>
        </is>
      </c>
      <c r="H235" t="inlineStr">
        <is>
          <t>Objective</t>
        </is>
      </c>
      <c r="I235" t="inlineStr">
        <is>
          <t>https://www.fut.gg/evolutions/1903-crunch-time/</t>
        </is>
      </c>
    </row>
    <row r="236">
      <c r="A236" t="inlineStr">
        <is>
          <t>Excluded_Rarity</t>
        </is>
      </c>
      <c r="B236" t="inlineStr">
        <is>
          <t>Excluded Rarity</t>
        </is>
      </c>
      <c r="C236" t="inlineStr">
        <is>
          <t>Exclude</t>
        </is>
      </c>
      <c r="D236" t="inlineStr">
        <is>
          <t>World Tour Silver Stars</t>
        </is>
      </c>
      <c r="E236" t="inlineStr">
        <is>
          <t>Excluded Rarity World Tour Silver Stars</t>
        </is>
      </c>
      <c r="F236" t="inlineStr">
        <is>
          <t>Crunch Time - EA SPORTS FC 26</t>
        </is>
      </c>
      <c r="G236" t="inlineStr">
        <is>
          <t>Reward</t>
        </is>
      </c>
      <c r="H236" t="inlineStr">
        <is>
          <t>Objective</t>
        </is>
      </c>
      <c r="I236" t="inlineStr">
        <is>
          <t>https://www.fut.gg/evolutions/1903-crunch-time/</t>
        </is>
      </c>
    </row>
    <row r="237">
      <c r="A237" t="inlineStr">
        <is>
          <t>Rarity</t>
        </is>
      </c>
      <c r="B237" t="inlineStr">
        <is>
          <t>Rarity</t>
        </is>
      </c>
      <c r="C237" t="inlineStr">
        <is>
          <t>Include</t>
        </is>
      </c>
      <c r="D237" t="inlineStr">
        <is>
          <t>World Tour Silver Stars</t>
        </is>
      </c>
      <c r="E237" t="inlineStr">
        <is>
          <t>Rarity World Tour Silver Stars</t>
        </is>
      </c>
      <c r="F237" t="inlineStr">
        <is>
          <t>Crunch Time - EA SPORTS FC 26</t>
        </is>
      </c>
      <c r="G237" t="inlineStr">
        <is>
          <t>Reward</t>
        </is>
      </c>
      <c r="H237" t="inlineStr">
        <is>
          <t>Objective</t>
        </is>
      </c>
      <c r="I237" t="inlineStr">
        <is>
          <t>https://www.fut.gg/evolutions/1903-crunch-time/</t>
        </is>
      </c>
    </row>
    <row r="238">
      <c r="A238" t="inlineStr">
        <is>
          <t>OVR_Max</t>
        </is>
      </c>
      <c r="B238" t="inlineStr">
        <is>
          <t>OVR_Max</t>
        </is>
      </c>
      <c r="C238" t="inlineStr">
        <is>
          <t>Max</t>
        </is>
      </c>
      <c r="D238" t="inlineStr">
        <is>
          <t>91</t>
        </is>
      </c>
      <c r="E238" t="inlineStr">
        <is>
          <t>Overall Max. 91</t>
        </is>
      </c>
      <c r="F238" t="inlineStr">
        <is>
          <t>Passing Technician - EA SPORTS FC 26</t>
        </is>
      </c>
      <c r="G238" t="inlineStr">
        <is>
          <t>Reward</t>
        </is>
      </c>
      <c r="H238" t="inlineStr">
        <is>
          <t>Objective</t>
        </is>
      </c>
      <c r="I238" t="inlineStr">
        <is>
          <t>https://www.fut.gg/evolutions/1897-passing-technician/</t>
        </is>
      </c>
    </row>
    <row r="239">
      <c r="A239" t="inlineStr">
        <is>
          <t>Max_PS_Plus</t>
        </is>
      </c>
      <c r="B239" t="inlineStr">
        <is>
          <t>Max_PS_Plus</t>
        </is>
      </c>
      <c r="C239" t="inlineStr">
        <is>
          <t>Max</t>
        </is>
      </c>
      <c r="D239" t="inlineStr">
        <is>
          <t>2</t>
        </is>
      </c>
      <c r="E239" t="inlineStr">
        <is>
          <t>Max PS+ 2</t>
        </is>
      </c>
      <c r="F239" t="inlineStr">
        <is>
          <t>Passing Technician - EA SPORTS FC 26</t>
        </is>
      </c>
      <c r="G239" t="inlineStr">
        <is>
          <t>Reward</t>
        </is>
      </c>
      <c r="H239" t="inlineStr">
        <is>
          <t>Objective</t>
        </is>
      </c>
      <c r="I239" t="inlineStr">
        <is>
          <t>https://www.fut.gg/evolutions/1897-passing-technician/</t>
        </is>
      </c>
    </row>
    <row r="240">
      <c r="A240" t="inlineStr">
        <is>
          <t>Max_PS</t>
        </is>
      </c>
      <c r="B240" t="inlineStr">
        <is>
          <t>Max_PS</t>
        </is>
      </c>
      <c r="C240" t="inlineStr">
        <is>
          <t>Max</t>
        </is>
      </c>
      <c r="D240" t="inlineStr">
        <is>
          <t>10</t>
        </is>
      </c>
      <c r="E240" t="inlineStr">
        <is>
          <t>Max PS 10</t>
        </is>
      </c>
      <c r="F240" t="inlineStr">
        <is>
          <t>Passing Technician - EA SPORTS FC 26</t>
        </is>
      </c>
      <c r="G240" t="inlineStr">
        <is>
          <t>Reward</t>
        </is>
      </c>
      <c r="H240" t="inlineStr">
        <is>
          <t>Objective</t>
        </is>
      </c>
      <c r="I240" t="inlineStr">
        <is>
          <t>https://www.fut.gg/evolutions/1897-passing-technician/</t>
        </is>
      </c>
    </row>
    <row r="241">
      <c r="A241" t="inlineStr">
        <is>
          <t>Excluded_Rarity</t>
        </is>
      </c>
      <c r="B241" t="inlineStr">
        <is>
          <t>Excluded Rarity</t>
        </is>
      </c>
      <c r="C241" t="inlineStr">
        <is>
          <t>Exclude</t>
        </is>
      </c>
      <c r="D241" t="inlineStr">
        <is>
          <t>World Tour Silver Stars</t>
        </is>
      </c>
      <c r="E241" t="inlineStr">
        <is>
          <t>Excluded Rarity World Tour Silver Stars</t>
        </is>
      </c>
      <c r="F241" t="inlineStr">
        <is>
          <t>Passing Technician - EA SPORTS FC 26</t>
        </is>
      </c>
      <c r="G241" t="inlineStr">
        <is>
          <t>Reward</t>
        </is>
      </c>
      <c r="H241" t="inlineStr">
        <is>
          <t>Objective</t>
        </is>
      </c>
      <c r="I241" t="inlineStr">
        <is>
          <t>https://www.fut.gg/evolutions/1897-passing-technician/</t>
        </is>
      </c>
    </row>
    <row r="242">
      <c r="A242" t="inlineStr">
        <is>
          <t>Rarity</t>
        </is>
      </c>
      <c r="B242" t="inlineStr">
        <is>
          <t>Rarity</t>
        </is>
      </c>
      <c r="C242" t="inlineStr">
        <is>
          <t>Include</t>
        </is>
      </c>
      <c r="D242" t="inlineStr">
        <is>
          <t>World Tour Silver Stars</t>
        </is>
      </c>
      <c r="E242" t="inlineStr">
        <is>
          <t>Rarity World Tour Silver Stars</t>
        </is>
      </c>
      <c r="F242" t="inlineStr">
        <is>
          <t>Passing Technician - EA SPORTS FC 26</t>
        </is>
      </c>
      <c r="G242" t="inlineStr">
        <is>
          <t>Reward</t>
        </is>
      </c>
      <c r="H242" t="inlineStr">
        <is>
          <t>Objective</t>
        </is>
      </c>
      <c r="I242" t="inlineStr">
        <is>
          <t>https://www.fut.gg/evolutions/1897-passing-technician/</t>
        </is>
      </c>
    </row>
    <row r="243">
      <c r="A243" t="inlineStr">
        <is>
          <t>OVR_Max</t>
        </is>
      </c>
      <c r="B243" t="inlineStr">
        <is>
          <t>OVR_Max</t>
        </is>
      </c>
      <c r="C243" t="inlineStr">
        <is>
          <t>Max</t>
        </is>
      </c>
      <c r="D243" t="inlineStr">
        <is>
          <t>91</t>
        </is>
      </c>
      <c r="E243" t="inlineStr">
        <is>
          <t>Overall Max. 91</t>
        </is>
      </c>
      <c r="F243" t="inlineStr">
        <is>
          <t>All-Around Impact - EA SPORTS FC 26</t>
        </is>
      </c>
      <c r="G243" t="inlineStr">
        <is>
          <t>Reward</t>
        </is>
      </c>
      <c r="H243" t="inlineStr">
        <is>
          <t>Objective</t>
        </is>
      </c>
      <c r="I243" t="inlineStr">
        <is>
          <t>https://www.fut.gg/evolutions/1875-all-around-impact/</t>
        </is>
      </c>
    </row>
    <row r="244">
      <c r="A244" t="inlineStr">
        <is>
          <t>Excluded_Rarity</t>
        </is>
      </c>
      <c r="B244" t="inlineStr">
        <is>
          <t>Excluded Rarity</t>
        </is>
      </c>
      <c r="C244" t="inlineStr">
        <is>
          <t>Exclude</t>
        </is>
      </c>
      <c r="D244" t="inlineStr">
        <is>
          <t>World Tour Silver Stars</t>
        </is>
      </c>
      <c r="E244" t="inlineStr">
        <is>
          <t>Excluded Rarity World Tour Silver Stars</t>
        </is>
      </c>
      <c r="F244" t="inlineStr">
        <is>
          <t>All-Around Impact - EA SPORTS FC 26</t>
        </is>
      </c>
      <c r="G244" t="inlineStr">
        <is>
          <t>Reward</t>
        </is>
      </c>
      <c r="H244" t="inlineStr">
        <is>
          <t>Objective</t>
        </is>
      </c>
      <c r="I244" t="inlineStr">
        <is>
          <t>https://www.fut.gg/evolutions/1875-all-around-impact/</t>
        </is>
      </c>
    </row>
    <row r="245">
      <c r="A245" t="inlineStr">
        <is>
          <t>Rarity</t>
        </is>
      </c>
      <c r="B245" t="inlineStr">
        <is>
          <t>Rarity</t>
        </is>
      </c>
      <c r="C245" t="inlineStr">
        <is>
          <t>Include</t>
        </is>
      </c>
      <c r="D245" t="inlineStr">
        <is>
          <t>World Tour Silver Stars</t>
        </is>
      </c>
      <c r="E245" t="inlineStr">
        <is>
          <t>Rarity World Tour Silver Stars</t>
        </is>
      </c>
      <c r="F245" t="inlineStr">
        <is>
          <t>All-Around Impact - EA SPORTS FC 26</t>
        </is>
      </c>
      <c r="G245" t="inlineStr">
        <is>
          <t>Reward</t>
        </is>
      </c>
      <c r="H245" t="inlineStr">
        <is>
          <t>Objective</t>
        </is>
      </c>
      <c r="I245" t="inlineStr">
        <is>
          <t>https://www.fut.gg/evolutions/1875-all-around-impact/</t>
        </is>
      </c>
    </row>
    <row r="246">
      <c r="A246" t="inlineStr">
        <is>
          <t>OVR_Max</t>
        </is>
      </c>
      <c r="B246" t="inlineStr">
        <is>
          <t>OVR_Max</t>
        </is>
      </c>
      <c r="C246" t="inlineStr">
        <is>
          <t>Max</t>
        </is>
      </c>
      <c r="D246" t="inlineStr">
        <is>
          <t>91</t>
        </is>
      </c>
      <c r="E246" t="inlineStr">
        <is>
          <t>Overall Max. 91</t>
        </is>
      </c>
      <c r="F246" t="inlineStr">
        <is>
          <t>Quick Step+ - EA SPORTS FC 26</t>
        </is>
      </c>
      <c r="G246" t="inlineStr">
        <is>
          <t>Reward</t>
        </is>
      </c>
      <c r="H246" t="inlineStr">
        <is>
          <t>Objective</t>
        </is>
      </c>
      <c r="I246" t="inlineStr">
        <is>
          <t>https://www.fut.gg/evolutions/1874-quick-step/</t>
        </is>
      </c>
    </row>
    <row r="247">
      <c r="A247" t="inlineStr">
        <is>
          <t>Max_PS_Plus</t>
        </is>
      </c>
      <c r="B247" t="inlineStr">
        <is>
          <t>Max_PS_Plus</t>
        </is>
      </c>
      <c r="C247" t="inlineStr">
        <is>
          <t>Max</t>
        </is>
      </c>
      <c r="D247" t="inlineStr">
        <is>
          <t>1</t>
        </is>
      </c>
      <c r="E247" t="inlineStr">
        <is>
          <t>Max PS+ 1</t>
        </is>
      </c>
      <c r="F247" t="inlineStr">
        <is>
          <t>Quick Step+ - EA SPORTS FC 26</t>
        </is>
      </c>
      <c r="G247" t="inlineStr">
        <is>
          <t>Reward</t>
        </is>
      </c>
      <c r="H247" t="inlineStr">
        <is>
          <t>Objective</t>
        </is>
      </c>
      <c r="I247" t="inlineStr">
        <is>
          <t>https://www.fut.gg/evolutions/1874-quick-step/</t>
        </is>
      </c>
    </row>
    <row r="248">
      <c r="A248" t="inlineStr">
        <is>
          <t>Excluded_Rarity</t>
        </is>
      </c>
      <c r="B248" t="inlineStr">
        <is>
          <t>Excluded Rarity</t>
        </is>
      </c>
      <c r="C248" t="inlineStr">
        <is>
          <t>Exclude</t>
        </is>
      </c>
      <c r="D248" t="inlineStr">
        <is>
          <t>World Tour Silver Stars</t>
        </is>
      </c>
      <c r="E248" t="inlineStr">
        <is>
          <t>Excluded Rarity World Tour Silver Stars</t>
        </is>
      </c>
      <c r="F248" t="inlineStr">
        <is>
          <t>Quick Step+ - EA SPORTS FC 26</t>
        </is>
      </c>
      <c r="G248" t="inlineStr">
        <is>
          <t>Reward</t>
        </is>
      </c>
      <c r="H248" t="inlineStr">
        <is>
          <t>Objective</t>
        </is>
      </c>
      <c r="I248" t="inlineStr">
        <is>
          <t>https://www.fut.gg/evolutions/1874-quick-step/</t>
        </is>
      </c>
    </row>
    <row r="249">
      <c r="A249" t="inlineStr">
        <is>
          <t>Rarity</t>
        </is>
      </c>
      <c r="B249" t="inlineStr">
        <is>
          <t>Rarity</t>
        </is>
      </c>
      <c r="C249" t="inlineStr">
        <is>
          <t>Include</t>
        </is>
      </c>
      <c r="D249" t="inlineStr">
        <is>
          <t>World Tour Silver Stars</t>
        </is>
      </c>
      <c r="E249" t="inlineStr">
        <is>
          <t>Rarity World Tour Silver Stars</t>
        </is>
      </c>
      <c r="F249" t="inlineStr">
        <is>
          <t>Quick Step+ - EA SPORTS FC 26</t>
        </is>
      </c>
      <c r="G249" t="inlineStr">
        <is>
          <t>Reward</t>
        </is>
      </c>
      <c r="H249" t="inlineStr">
        <is>
          <t>Objective</t>
        </is>
      </c>
      <c r="I249" t="inlineStr">
        <is>
          <t>https://www.fut.gg/evolutions/1874-quick-step/</t>
        </is>
      </c>
    </row>
    <row r="250">
      <c r="A250" t="inlineStr">
        <is>
          <t>OVR_Max</t>
        </is>
      </c>
      <c r="B250" t="inlineStr">
        <is>
          <t>OVR_Max</t>
        </is>
      </c>
      <c r="C250" t="inlineStr">
        <is>
          <t>Max</t>
        </is>
      </c>
      <c r="D250" t="inlineStr">
        <is>
          <t>91</t>
        </is>
      </c>
      <c r="E250" t="inlineStr">
        <is>
          <t>Overall Max. 91</t>
        </is>
      </c>
      <c r="F250" t="inlineStr">
        <is>
          <t>Finesse Shot+ - EA SPORTS FC 26</t>
        </is>
      </c>
      <c r="G250" t="inlineStr">
        <is>
          <t>Reward</t>
        </is>
      </c>
      <c r="H250" t="inlineStr">
        <is>
          <t>Objective</t>
        </is>
      </c>
      <c r="I250" t="inlineStr">
        <is>
          <t>https://www.fut.gg/evolutions/1873-finesse-shot/</t>
        </is>
      </c>
    </row>
    <row r="251">
      <c r="A251" t="inlineStr">
        <is>
          <t>Max_PS_Plus</t>
        </is>
      </c>
      <c r="B251" t="inlineStr">
        <is>
          <t>Max_PS_Plus</t>
        </is>
      </c>
      <c r="C251" t="inlineStr">
        <is>
          <t>Max</t>
        </is>
      </c>
      <c r="D251" t="inlineStr">
        <is>
          <t>1</t>
        </is>
      </c>
      <c r="E251" t="inlineStr">
        <is>
          <t>Max PS+ 1</t>
        </is>
      </c>
      <c r="F251" t="inlineStr">
        <is>
          <t>Finesse Shot+ - EA SPORTS FC 26</t>
        </is>
      </c>
      <c r="G251" t="inlineStr">
        <is>
          <t>Reward</t>
        </is>
      </c>
      <c r="H251" t="inlineStr">
        <is>
          <t>Objective</t>
        </is>
      </c>
      <c r="I251" t="inlineStr">
        <is>
          <t>https://www.fut.gg/evolutions/1873-finesse-shot/</t>
        </is>
      </c>
    </row>
    <row r="252">
      <c r="A252" t="inlineStr">
        <is>
          <t>Excluded_Rarity</t>
        </is>
      </c>
      <c r="B252" t="inlineStr">
        <is>
          <t>Excluded Rarity</t>
        </is>
      </c>
      <c r="C252" t="inlineStr">
        <is>
          <t>Exclude</t>
        </is>
      </c>
      <c r="D252" t="inlineStr">
        <is>
          <t>World Tour Silver Stars</t>
        </is>
      </c>
      <c r="E252" t="inlineStr">
        <is>
          <t>Excluded Rarity World Tour Silver Stars</t>
        </is>
      </c>
      <c r="F252" t="inlineStr">
        <is>
          <t>Finesse Shot+ - EA SPORTS FC 26</t>
        </is>
      </c>
      <c r="G252" t="inlineStr">
        <is>
          <t>Reward</t>
        </is>
      </c>
      <c r="H252" t="inlineStr">
        <is>
          <t>Objective</t>
        </is>
      </c>
      <c r="I252" t="inlineStr">
        <is>
          <t>https://www.fut.gg/evolutions/1873-finesse-shot/</t>
        </is>
      </c>
    </row>
    <row r="253">
      <c r="A253" t="inlineStr">
        <is>
          <t>Rarity</t>
        </is>
      </c>
      <c r="B253" t="inlineStr">
        <is>
          <t>Rarity</t>
        </is>
      </c>
      <c r="C253" t="inlineStr">
        <is>
          <t>Include</t>
        </is>
      </c>
      <c r="D253" t="inlineStr">
        <is>
          <t>World Tour Silver Stars</t>
        </is>
      </c>
      <c r="E253" t="inlineStr">
        <is>
          <t>Rarity World Tour Silver Stars</t>
        </is>
      </c>
      <c r="F253" t="inlineStr">
        <is>
          <t>Finesse Shot+ - EA SPORTS FC 26</t>
        </is>
      </c>
      <c r="G253" t="inlineStr">
        <is>
          <t>Reward</t>
        </is>
      </c>
      <c r="H253" t="inlineStr">
        <is>
          <t>Objective</t>
        </is>
      </c>
      <c r="I253" t="inlineStr">
        <is>
          <t>https://www.fut.gg/evolutions/1873-finesse-shot/</t>
        </is>
      </c>
    </row>
    <row r="254">
      <c r="A254" t="inlineStr">
        <is>
          <t>OVR_Max</t>
        </is>
      </c>
      <c r="B254" t="inlineStr">
        <is>
          <t>OVR_Max</t>
        </is>
      </c>
      <c r="C254" t="inlineStr">
        <is>
          <t>Max</t>
        </is>
      </c>
      <c r="D254" t="inlineStr">
        <is>
          <t>91</t>
        </is>
      </c>
      <c r="E254" t="inlineStr">
        <is>
          <t>Overall Max. 91</t>
        </is>
      </c>
      <c r="F254" t="inlineStr">
        <is>
          <t>Technical+ - EA SPORTS FC 26</t>
        </is>
      </c>
      <c r="G254" t="inlineStr">
        <is>
          <t>Reward</t>
        </is>
      </c>
      <c r="H254" t="inlineStr">
        <is>
          <t>Objective</t>
        </is>
      </c>
      <c r="I254" t="inlineStr">
        <is>
          <t>https://www.fut.gg/evolutions/1872-technical/</t>
        </is>
      </c>
    </row>
    <row r="255">
      <c r="A255" t="inlineStr">
        <is>
          <t>Max_PS_Plus</t>
        </is>
      </c>
      <c r="B255" t="inlineStr">
        <is>
          <t>Max_PS_Plus</t>
        </is>
      </c>
      <c r="C255" t="inlineStr">
        <is>
          <t>Max</t>
        </is>
      </c>
      <c r="D255" t="inlineStr">
        <is>
          <t>1</t>
        </is>
      </c>
      <c r="E255" t="inlineStr">
        <is>
          <t>Max PS+ 1</t>
        </is>
      </c>
      <c r="F255" t="inlineStr">
        <is>
          <t>Technical+ - EA SPORTS FC 26</t>
        </is>
      </c>
      <c r="G255" t="inlineStr">
        <is>
          <t>Reward</t>
        </is>
      </c>
      <c r="H255" t="inlineStr">
        <is>
          <t>Objective</t>
        </is>
      </c>
      <c r="I255" t="inlineStr">
        <is>
          <t>https://www.fut.gg/evolutions/1872-technical/</t>
        </is>
      </c>
    </row>
    <row r="256">
      <c r="A256" t="inlineStr">
        <is>
          <t>Excluded_Rarity</t>
        </is>
      </c>
      <c r="B256" t="inlineStr">
        <is>
          <t>Excluded Rarity</t>
        </is>
      </c>
      <c r="C256" t="inlineStr">
        <is>
          <t>Exclude</t>
        </is>
      </c>
      <c r="D256" t="inlineStr">
        <is>
          <t>World Tour Silver Stars</t>
        </is>
      </c>
      <c r="E256" t="inlineStr">
        <is>
          <t>Excluded Rarity World Tour Silver Stars</t>
        </is>
      </c>
      <c r="F256" t="inlineStr">
        <is>
          <t>Technical+ - EA SPORTS FC 26</t>
        </is>
      </c>
      <c r="G256" t="inlineStr">
        <is>
          <t>Reward</t>
        </is>
      </c>
      <c r="H256" t="inlineStr">
        <is>
          <t>Objective</t>
        </is>
      </c>
      <c r="I256" t="inlineStr">
        <is>
          <t>https://www.fut.gg/evolutions/1872-technical/</t>
        </is>
      </c>
    </row>
    <row r="257">
      <c r="A257" t="inlineStr">
        <is>
          <t>Rarity</t>
        </is>
      </c>
      <c r="B257" t="inlineStr">
        <is>
          <t>Rarity</t>
        </is>
      </c>
      <c r="C257" t="inlineStr">
        <is>
          <t>Include</t>
        </is>
      </c>
      <c r="D257" t="inlineStr">
        <is>
          <t>World Tour Silver Stars</t>
        </is>
      </c>
      <c r="E257" t="inlineStr">
        <is>
          <t>Rarity World Tour Silver Stars</t>
        </is>
      </c>
      <c r="F257" t="inlineStr">
        <is>
          <t>Technical+ - EA SPORTS FC 26</t>
        </is>
      </c>
      <c r="G257" t="inlineStr">
        <is>
          <t>Reward</t>
        </is>
      </c>
      <c r="H257" t="inlineStr">
        <is>
          <t>Objective</t>
        </is>
      </c>
      <c r="I257" t="inlineStr">
        <is>
          <t>https://www.fut.gg/evolutions/1872-technical/</t>
        </is>
      </c>
    </row>
    <row r="258">
      <c r="A258" t="inlineStr">
        <is>
          <t>OVR_Max</t>
        </is>
      </c>
      <c r="B258" t="inlineStr">
        <is>
          <t>OVR_Max</t>
        </is>
      </c>
      <c r="C258" t="inlineStr">
        <is>
          <t>Max</t>
        </is>
      </c>
      <c r="D258" t="inlineStr">
        <is>
          <t>91</t>
        </is>
      </c>
      <c r="E258" t="inlineStr">
        <is>
          <t>Overall Max. 91</t>
        </is>
      </c>
      <c r="F258" t="inlineStr">
        <is>
          <t>Anticipate+ - EA SPORTS FC 26</t>
        </is>
      </c>
      <c r="G258" t="inlineStr">
        <is>
          <t>Reward</t>
        </is>
      </c>
      <c r="H258" t="inlineStr">
        <is>
          <t>Objective</t>
        </is>
      </c>
      <c r="I258" t="inlineStr">
        <is>
          <t>https://www.fut.gg/evolutions/1871-anticipate/</t>
        </is>
      </c>
    </row>
    <row r="259">
      <c r="A259" t="inlineStr">
        <is>
          <t>Max_PS_Plus</t>
        </is>
      </c>
      <c r="B259" t="inlineStr">
        <is>
          <t>Max_PS_Plus</t>
        </is>
      </c>
      <c r="C259" t="inlineStr">
        <is>
          <t>Max</t>
        </is>
      </c>
      <c r="D259" t="inlineStr">
        <is>
          <t>1</t>
        </is>
      </c>
      <c r="E259" t="inlineStr">
        <is>
          <t>Max PS+ 1</t>
        </is>
      </c>
      <c r="F259" t="inlineStr">
        <is>
          <t>Anticipate+ - EA SPORTS FC 26</t>
        </is>
      </c>
      <c r="G259" t="inlineStr">
        <is>
          <t>Reward</t>
        </is>
      </c>
      <c r="H259" t="inlineStr">
        <is>
          <t>Objective</t>
        </is>
      </c>
      <c r="I259" t="inlineStr">
        <is>
          <t>https://www.fut.gg/evolutions/1871-anticipate/</t>
        </is>
      </c>
    </row>
    <row r="260">
      <c r="A260" t="inlineStr">
        <is>
          <t>Excluded_Rarity</t>
        </is>
      </c>
      <c r="B260" t="inlineStr">
        <is>
          <t>Excluded Rarity</t>
        </is>
      </c>
      <c r="C260" t="inlineStr">
        <is>
          <t>Exclude</t>
        </is>
      </c>
      <c r="D260" t="inlineStr">
        <is>
          <t>World Tour Silver Stars</t>
        </is>
      </c>
      <c r="E260" t="inlineStr">
        <is>
          <t>Excluded Rarity World Tour Silver Stars</t>
        </is>
      </c>
      <c r="F260" t="inlineStr">
        <is>
          <t>Anticipate+ - EA SPORTS FC 26</t>
        </is>
      </c>
      <c r="G260" t="inlineStr">
        <is>
          <t>Reward</t>
        </is>
      </c>
      <c r="H260" t="inlineStr">
        <is>
          <t>Objective</t>
        </is>
      </c>
      <c r="I260" t="inlineStr">
        <is>
          <t>https://www.fut.gg/evolutions/1871-anticipate/</t>
        </is>
      </c>
    </row>
    <row r="261">
      <c r="A261" t="inlineStr">
        <is>
          <t>Rarity</t>
        </is>
      </c>
      <c r="B261" t="inlineStr">
        <is>
          <t>Rarity</t>
        </is>
      </c>
      <c r="C261" t="inlineStr">
        <is>
          <t>Include</t>
        </is>
      </c>
      <c r="D261" t="inlineStr">
        <is>
          <t>World Tour Silver Stars</t>
        </is>
      </c>
      <c r="E261" t="inlineStr">
        <is>
          <t>Rarity World Tour Silver Stars</t>
        </is>
      </c>
      <c r="F261" t="inlineStr">
        <is>
          <t>Anticipate+ - EA SPORTS FC 26</t>
        </is>
      </c>
      <c r="G261" t="inlineStr">
        <is>
          <t>Reward</t>
        </is>
      </c>
      <c r="H261" t="inlineStr">
        <is>
          <t>Objective</t>
        </is>
      </c>
      <c r="I261" t="inlineStr">
        <is>
          <t>https://www.fut.gg/evolutions/1871-anticipate/</t>
        </is>
      </c>
    </row>
    <row r="262">
      <c r="A262" t="inlineStr">
        <is>
          <t>OVR_Max</t>
        </is>
      </c>
      <c r="B262" t="inlineStr">
        <is>
          <t>OVR_Max</t>
        </is>
      </c>
      <c r="C262" t="inlineStr">
        <is>
          <t>Max</t>
        </is>
      </c>
      <c r="D262" t="inlineStr">
        <is>
          <t>88</t>
        </is>
      </c>
      <c r="E262" t="inlineStr">
        <is>
          <t>Overall Max. 88</t>
        </is>
      </c>
      <c r="F262" t="inlineStr">
        <is>
          <t>Finesse Shot - EA SPORTS FC 26</t>
        </is>
      </c>
      <c r="G262" t="inlineStr">
        <is>
          <t>Reward</t>
        </is>
      </c>
      <c r="H262" t="inlineStr">
        <is>
          <t>Objective</t>
        </is>
      </c>
      <c r="I262" t="inlineStr">
        <is>
          <t>https://www.fut.gg/evolutions/1854-finesse-shot/</t>
        </is>
      </c>
    </row>
    <row r="263">
      <c r="A263" t="inlineStr">
        <is>
          <t>Max_PS</t>
        </is>
      </c>
      <c r="B263" t="inlineStr">
        <is>
          <t>Max_PS</t>
        </is>
      </c>
      <c r="C263" t="inlineStr">
        <is>
          <t>Max</t>
        </is>
      </c>
      <c r="D263" t="inlineStr">
        <is>
          <t>7</t>
        </is>
      </c>
      <c r="E263" t="inlineStr">
        <is>
          <t>Max PS 7</t>
        </is>
      </c>
      <c r="F263" t="inlineStr">
        <is>
          <t>Finesse Shot - EA SPORTS FC 26</t>
        </is>
      </c>
      <c r="G263" t="inlineStr">
        <is>
          <t>Reward</t>
        </is>
      </c>
      <c r="H263" t="inlineStr">
        <is>
          <t>Objective</t>
        </is>
      </c>
      <c r="I263" t="inlineStr">
        <is>
          <t>https://www.fut.gg/evolutions/1854-finesse-shot/</t>
        </is>
      </c>
    </row>
    <row r="264">
      <c r="A264" t="inlineStr">
        <is>
          <t>Excluded_Rarity</t>
        </is>
      </c>
      <c r="B264" t="inlineStr">
        <is>
          <t>Excluded Rarity</t>
        </is>
      </c>
      <c r="C264" t="inlineStr">
        <is>
          <t>Exclude</t>
        </is>
      </c>
      <c r="D264" t="inlineStr">
        <is>
          <t>World Tour Silver Stars</t>
        </is>
      </c>
      <c r="E264" t="inlineStr">
        <is>
          <t>Excluded Rarity World Tour Silver Stars</t>
        </is>
      </c>
      <c r="F264" t="inlineStr">
        <is>
          <t>Finesse Shot - EA SPORTS FC 26</t>
        </is>
      </c>
      <c r="G264" t="inlineStr">
        <is>
          <t>Reward</t>
        </is>
      </c>
      <c r="H264" t="inlineStr">
        <is>
          <t>Objective</t>
        </is>
      </c>
      <c r="I264" t="inlineStr">
        <is>
          <t>https://www.fut.gg/evolutions/1854-finesse-shot/</t>
        </is>
      </c>
    </row>
    <row r="265">
      <c r="A265" t="inlineStr">
        <is>
          <t>Rarity</t>
        </is>
      </c>
      <c r="B265" t="inlineStr">
        <is>
          <t>Rarity</t>
        </is>
      </c>
      <c r="C265" t="inlineStr">
        <is>
          <t>Include</t>
        </is>
      </c>
      <c r="D265" t="inlineStr">
        <is>
          <t>World Tour Silver Stars</t>
        </is>
      </c>
      <c r="E265" t="inlineStr">
        <is>
          <t>Rarity World Tour Silver Stars</t>
        </is>
      </c>
      <c r="F265" t="inlineStr">
        <is>
          <t>Finesse Shot - EA SPORTS FC 26</t>
        </is>
      </c>
      <c r="G265" t="inlineStr">
        <is>
          <t>Reward</t>
        </is>
      </c>
      <c r="H265" t="inlineStr">
        <is>
          <t>Objective</t>
        </is>
      </c>
      <c r="I265" t="inlineStr">
        <is>
          <t>https://www.fut.gg/evolutions/1854-finesse-shot/</t>
        </is>
      </c>
    </row>
    <row r="266">
      <c r="A266" t="inlineStr">
        <is>
          <t>OVR_Max</t>
        </is>
      </c>
      <c r="B266" t="inlineStr">
        <is>
          <t>OVR_Max</t>
        </is>
      </c>
      <c r="C266" t="inlineStr">
        <is>
          <t>Max</t>
        </is>
      </c>
      <c r="D266" t="inlineStr">
        <is>
          <t>90</t>
        </is>
      </c>
      <c r="E266" t="inlineStr">
        <is>
          <t>Overall Max. 90</t>
        </is>
      </c>
      <c r="F266" t="inlineStr">
        <is>
          <t>Low Driven Shot+ - EA SPORTS FC 26</t>
        </is>
      </c>
      <c r="G266" t="inlineStr">
        <is>
          <t>Reward</t>
        </is>
      </c>
      <c r="H266" t="inlineStr">
        <is>
          <t>Objective</t>
        </is>
      </c>
      <c r="I266" t="inlineStr">
        <is>
          <t>https://www.fut.gg/evolutions/1818-low-driven-shot/</t>
        </is>
      </c>
    </row>
    <row r="267">
      <c r="A267" t="inlineStr">
        <is>
          <t>Max_PS_Plus</t>
        </is>
      </c>
      <c r="B267" t="inlineStr">
        <is>
          <t>Max_PS_Plus</t>
        </is>
      </c>
      <c r="C267" t="inlineStr">
        <is>
          <t>Max</t>
        </is>
      </c>
      <c r="D267" t="inlineStr">
        <is>
          <t>1</t>
        </is>
      </c>
      <c r="E267" t="inlineStr">
        <is>
          <t>Max PS+ 1</t>
        </is>
      </c>
      <c r="F267" t="inlineStr">
        <is>
          <t>Low Driven Shot+ - EA SPORTS FC 26</t>
        </is>
      </c>
      <c r="G267" t="inlineStr">
        <is>
          <t>Reward</t>
        </is>
      </c>
      <c r="H267" t="inlineStr">
        <is>
          <t>Objective</t>
        </is>
      </c>
      <c r="I267" t="inlineStr">
        <is>
          <t>https://www.fut.gg/evolutions/1818-low-driven-shot/</t>
        </is>
      </c>
    </row>
    <row r="268">
      <c r="A268" t="inlineStr">
        <is>
          <t>Excluded_Rarity</t>
        </is>
      </c>
      <c r="B268" t="inlineStr">
        <is>
          <t>Excluded Rarity</t>
        </is>
      </c>
      <c r="C268" t="inlineStr">
        <is>
          <t>Exclude</t>
        </is>
      </c>
      <c r="D268" t="inlineStr">
        <is>
          <t>World Tour Silver Stars</t>
        </is>
      </c>
      <c r="E268" t="inlineStr">
        <is>
          <t>Excluded Rarity World Tour Silver Stars</t>
        </is>
      </c>
      <c r="F268" t="inlineStr">
        <is>
          <t>Low Driven Shot+ - EA SPORTS FC 26</t>
        </is>
      </c>
      <c r="G268" t="inlineStr">
        <is>
          <t>Reward</t>
        </is>
      </c>
      <c r="H268" t="inlineStr">
        <is>
          <t>Objective</t>
        </is>
      </c>
      <c r="I268" t="inlineStr">
        <is>
          <t>https://www.fut.gg/evolutions/1818-low-driven-shot/</t>
        </is>
      </c>
    </row>
    <row r="269">
      <c r="A269" t="inlineStr">
        <is>
          <t>Rarity</t>
        </is>
      </c>
      <c r="B269" t="inlineStr">
        <is>
          <t>Rarity</t>
        </is>
      </c>
      <c r="C269" t="inlineStr">
        <is>
          <t>Include</t>
        </is>
      </c>
      <c r="D269" t="inlineStr">
        <is>
          <t>World Tour Silver Stars</t>
        </is>
      </c>
      <c r="E269" t="inlineStr">
        <is>
          <t>Rarity World Tour Silver Stars</t>
        </is>
      </c>
      <c r="F269" t="inlineStr">
        <is>
          <t>Low Driven Shot+ - EA SPORTS FC 26</t>
        </is>
      </c>
      <c r="G269" t="inlineStr">
        <is>
          <t>Reward</t>
        </is>
      </c>
      <c r="H269" t="inlineStr">
        <is>
          <t>Objective</t>
        </is>
      </c>
      <c r="I269" t="inlineStr">
        <is>
          <t>https://www.fut.gg/evolutions/1818-low-driven-shot/</t>
        </is>
      </c>
    </row>
    <row r="270">
      <c r="A270" t="inlineStr">
        <is>
          <t>OVR_Max</t>
        </is>
      </c>
      <c r="B270" t="inlineStr">
        <is>
          <t>OVR_Max</t>
        </is>
      </c>
      <c r="C270" t="inlineStr">
        <is>
          <t>Max</t>
        </is>
      </c>
      <c r="D270" t="inlineStr">
        <is>
          <t>90</t>
        </is>
      </c>
      <c r="E270" t="inlineStr">
        <is>
          <t>Overall Max. 90</t>
        </is>
      </c>
      <c r="F270" t="inlineStr">
        <is>
          <t>Intercept+ - EA SPORTS FC 26</t>
        </is>
      </c>
      <c r="G270" t="inlineStr">
        <is>
          <t>Reward</t>
        </is>
      </c>
      <c r="H270" t="inlineStr">
        <is>
          <t>Objective</t>
        </is>
      </c>
      <c r="I270" t="inlineStr">
        <is>
          <t>https://www.fut.gg/evolutions/1812-intercept/</t>
        </is>
      </c>
    </row>
    <row r="271">
      <c r="A271" t="inlineStr">
        <is>
          <t>Max_PS_Plus</t>
        </is>
      </c>
      <c r="B271" t="inlineStr">
        <is>
          <t>Max_PS_Plus</t>
        </is>
      </c>
      <c r="C271" t="inlineStr">
        <is>
          <t>Max</t>
        </is>
      </c>
      <c r="D271" t="inlineStr">
        <is>
          <t>1</t>
        </is>
      </c>
      <c r="E271" t="inlineStr">
        <is>
          <t>Max PS+ 1</t>
        </is>
      </c>
      <c r="F271" t="inlineStr">
        <is>
          <t>Intercept+ - EA SPORTS FC 26</t>
        </is>
      </c>
      <c r="G271" t="inlineStr">
        <is>
          <t>Reward</t>
        </is>
      </c>
      <c r="H271" t="inlineStr">
        <is>
          <t>Objective</t>
        </is>
      </c>
      <c r="I271" t="inlineStr">
        <is>
          <t>https://www.fut.gg/evolutions/1812-intercept/</t>
        </is>
      </c>
    </row>
    <row r="272">
      <c r="A272" t="inlineStr">
        <is>
          <t>Excluded_Rarity</t>
        </is>
      </c>
      <c r="B272" t="inlineStr">
        <is>
          <t>Excluded Rarity</t>
        </is>
      </c>
      <c r="C272" t="inlineStr">
        <is>
          <t>Exclude</t>
        </is>
      </c>
      <c r="D272" t="inlineStr">
        <is>
          <t>World Tour Silver Stars</t>
        </is>
      </c>
      <c r="E272" t="inlineStr">
        <is>
          <t>Excluded Rarity World Tour Silver Stars</t>
        </is>
      </c>
      <c r="F272" t="inlineStr">
        <is>
          <t>Intercept+ - EA SPORTS FC 26</t>
        </is>
      </c>
      <c r="G272" t="inlineStr">
        <is>
          <t>Reward</t>
        </is>
      </c>
      <c r="H272" t="inlineStr">
        <is>
          <t>Objective</t>
        </is>
      </c>
      <c r="I272" t="inlineStr">
        <is>
          <t>https://www.fut.gg/evolutions/1812-intercept/</t>
        </is>
      </c>
    </row>
    <row r="273">
      <c r="A273" t="inlineStr">
        <is>
          <t>Rarity</t>
        </is>
      </c>
      <c r="B273" t="inlineStr">
        <is>
          <t>Rarity</t>
        </is>
      </c>
      <c r="C273" t="inlineStr">
        <is>
          <t>Include</t>
        </is>
      </c>
      <c r="D273" t="inlineStr">
        <is>
          <t>World Tour Silver Stars</t>
        </is>
      </c>
      <c r="E273" t="inlineStr">
        <is>
          <t>Rarity World Tour Silver Stars</t>
        </is>
      </c>
      <c r="F273" t="inlineStr">
        <is>
          <t>Intercept+ - EA SPORTS FC 26</t>
        </is>
      </c>
      <c r="G273" t="inlineStr">
        <is>
          <t>Reward</t>
        </is>
      </c>
      <c r="H273" t="inlineStr">
        <is>
          <t>Objective</t>
        </is>
      </c>
      <c r="I273" t="inlineStr">
        <is>
          <t>https://www.fut.gg/evolutions/1812-intercept/</t>
        </is>
      </c>
    </row>
    <row r="274">
      <c r="A274" t="inlineStr">
        <is>
          <t>OVR_Max</t>
        </is>
      </c>
      <c r="B274" t="inlineStr">
        <is>
          <t>OVR_Max</t>
        </is>
      </c>
      <c r="C274" t="inlineStr">
        <is>
          <t>Max</t>
        </is>
      </c>
      <c r="D274" t="inlineStr">
        <is>
          <t>89</t>
        </is>
      </c>
      <c r="E274" t="inlineStr">
        <is>
          <t>Overall Max. 89</t>
        </is>
      </c>
      <c r="F274" t="inlineStr">
        <is>
          <t>5 Star Skill Moves &amp; Weak Foot Upgrade - EA SPORTS FC 26</t>
        </is>
      </c>
      <c r="G274" t="inlineStr">
        <is>
          <t>Reward</t>
        </is>
      </c>
      <c r="H274" t="inlineStr">
        <is>
          <t>Objective</t>
        </is>
      </c>
      <c r="I274" t="inlineStr">
        <is>
          <t>https://www.fut.gg/evolutions/1807-5-star-skill-moves-weak-foot-upgrade/</t>
        </is>
      </c>
    </row>
    <row r="275">
      <c r="A275" t="inlineStr">
        <is>
          <t>Max_PS_Plus</t>
        </is>
      </c>
      <c r="B275" t="inlineStr">
        <is>
          <t>Max_PS_Plus</t>
        </is>
      </c>
      <c r="C275" t="inlineStr">
        <is>
          <t>Max</t>
        </is>
      </c>
      <c r="D275" t="inlineStr">
        <is>
          <t>2</t>
        </is>
      </c>
      <c r="E275" t="inlineStr">
        <is>
          <t>Max PS+ 2</t>
        </is>
      </c>
      <c r="F275" t="inlineStr">
        <is>
          <t>5 Star Skill Moves &amp; Weak Foot Upgrade - EA SPORTS FC 26</t>
        </is>
      </c>
      <c r="G275" t="inlineStr">
        <is>
          <t>Reward</t>
        </is>
      </c>
      <c r="H275" t="inlineStr">
        <is>
          <t>Objective</t>
        </is>
      </c>
      <c r="I275" t="inlineStr">
        <is>
          <t>https://www.fut.gg/evolutions/1807-5-star-skill-moves-weak-foot-upgrade/</t>
        </is>
      </c>
    </row>
    <row r="276">
      <c r="A276" t="inlineStr">
        <is>
          <t>Excluded_Rarity</t>
        </is>
      </c>
      <c r="B276" t="inlineStr">
        <is>
          <t>Excluded Rarity</t>
        </is>
      </c>
      <c r="C276" t="inlineStr">
        <is>
          <t>Exclude</t>
        </is>
      </c>
      <c r="D276" t="inlineStr">
        <is>
          <t>World Tour Silver Stars</t>
        </is>
      </c>
      <c r="E276" t="inlineStr">
        <is>
          <t>Excluded Rarity World Tour Silver Stars</t>
        </is>
      </c>
      <c r="F276" t="inlineStr">
        <is>
          <t>5 Star Skill Moves &amp; Weak Foot Upgrade - EA SPORTS FC 26</t>
        </is>
      </c>
      <c r="G276" t="inlineStr">
        <is>
          <t>Reward</t>
        </is>
      </c>
      <c r="H276" t="inlineStr">
        <is>
          <t>Objective</t>
        </is>
      </c>
      <c r="I276" t="inlineStr">
        <is>
          <t>https://www.fut.gg/evolutions/1807-5-star-skill-moves-weak-foot-upgrade/</t>
        </is>
      </c>
    </row>
    <row r="277">
      <c r="A277" t="inlineStr">
        <is>
          <t>Rarity</t>
        </is>
      </c>
      <c r="B277" t="inlineStr">
        <is>
          <t>Rarity</t>
        </is>
      </c>
      <c r="C277" t="inlineStr">
        <is>
          <t>Include</t>
        </is>
      </c>
      <c r="D277" t="inlineStr">
        <is>
          <t>World Tour Silver Stars</t>
        </is>
      </c>
      <c r="E277" t="inlineStr">
        <is>
          <t>Rarity World Tour Silver Stars</t>
        </is>
      </c>
      <c r="F277" t="inlineStr">
        <is>
          <t>5 Star Skill Moves &amp; Weak Foot Upgrade - EA SPORTS FC 26</t>
        </is>
      </c>
      <c r="G277" t="inlineStr">
        <is>
          <t>Reward</t>
        </is>
      </c>
      <c r="H277" t="inlineStr">
        <is>
          <t>Objective</t>
        </is>
      </c>
      <c r="I277" t="inlineStr">
        <is>
          <t>https://www.fut.gg/evolutions/1807-5-star-skill-moves-weak-foot-upgrade/</t>
        </is>
      </c>
    </row>
    <row r="278">
      <c r="A278" t="inlineStr">
        <is>
          <t>OVR_Max</t>
        </is>
      </c>
      <c r="B278" t="inlineStr">
        <is>
          <t>OVR_Max</t>
        </is>
      </c>
      <c r="C278" t="inlineStr">
        <is>
          <t>Max</t>
        </is>
      </c>
      <c r="D278" t="inlineStr">
        <is>
          <t>89</t>
        </is>
      </c>
      <c r="E278" t="inlineStr">
        <is>
          <t>Overall Max. 89</t>
        </is>
      </c>
      <c r="F278" t="inlineStr">
        <is>
          <t>Bruiser+ - EA SPORTS FC 26</t>
        </is>
      </c>
      <c r="G278" t="inlineStr">
        <is>
          <t>Reward</t>
        </is>
      </c>
      <c r="H278" t="inlineStr">
        <is>
          <t>Objective</t>
        </is>
      </c>
      <c r="I278" t="inlineStr">
        <is>
          <t>https://www.fut.gg/evolutions/1806-bruiser/</t>
        </is>
      </c>
    </row>
    <row r="279">
      <c r="A279" t="inlineStr">
        <is>
          <t>Max_PS_Plus</t>
        </is>
      </c>
      <c r="B279" t="inlineStr">
        <is>
          <t>Max_PS_Plus</t>
        </is>
      </c>
      <c r="C279" t="inlineStr">
        <is>
          <t>Max</t>
        </is>
      </c>
      <c r="D279" t="inlineStr">
        <is>
          <t>1</t>
        </is>
      </c>
      <c r="E279" t="inlineStr">
        <is>
          <t>Max PS+ 1</t>
        </is>
      </c>
      <c r="F279" t="inlineStr">
        <is>
          <t>Bruiser+ - EA SPORTS FC 26</t>
        </is>
      </c>
      <c r="G279" t="inlineStr">
        <is>
          <t>Reward</t>
        </is>
      </c>
      <c r="H279" t="inlineStr">
        <is>
          <t>Objective</t>
        </is>
      </c>
      <c r="I279" t="inlineStr">
        <is>
          <t>https://www.fut.gg/evolutions/1806-bruiser/</t>
        </is>
      </c>
    </row>
    <row r="280">
      <c r="A280" t="inlineStr">
        <is>
          <t>Excluded_Rarity</t>
        </is>
      </c>
      <c r="B280" t="inlineStr">
        <is>
          <t>Excluded Rarity</t>
        </is>
      </c>
      <c r="C280" t="inlineStr">
        <is>
          <t>Exclude</t>
        </is>
      </c>
      <c r="D280" t="inlineStr">
        <is>
          <t>World Tour Silver Stars</t>
        </is>
      </c>
      <c r="E280" t="inlineStr">
        <is>
          <t>Excluded Rarity World Tour Silver Stars</t>
        </is>
      </c>
      <c r="F280" t="inlineStr">
        <is>
          <t>Bruiser+ - EA SPORTS FC 26</t>
        </is>
      </c>
      <c r="G280" t="inlineStr">
        <is>
          <t>Reward</t>
        </is>
      </c>
      <c r="H280" t="inlineStr">
        <is>
          <t>Objective</t>
        </is>
      </c>
      <c r="I280" t="inlineStr">
        <is>
          <t>https://www.fut.gg/evolutions/1806-bruiser/</t>
        </is>
      </c>
    </row>
    <row r="281">
      <c r="A281" t="inlineStr">
        <is>
          <t>Rarity</t>
        </is>
      </c>
      <c r="B281" t="inlineStr">
        <is>
          <t>Rarity</t>
        </is>
      </c>
      <c r="C281" t="inlineStr">
        <is>
          <t>Include</t>
        </is>
      </c>
      <c r="D281" t="inlineStr">
        <is>
          <t>World Tour Silver Stars</t>
        </is>
      </c>
      <c r="E281" t="inlineStr">
        <is>
          <t>Rarity World Tour Silver Stars</t>
        </is>
      </c>
      <c r="F281" t="inlineStr">
        <is>
          <t>Bruiser+ - EA SPORTS FC 26</t>
        </is>
      </c>
      <c r="G281" t="inlineStr">
        <is>
          <t>Reward</t>
        </is>
      </c>
      <c r="H281" t="inlineStr">
        <is>
          <t>Objective</t>
        </is>
      </c>
      <c r="I281" t="inlineStr">
        <is>
          <t>https://www.fut.gg/evolutions/1806-bruiser/</t>
        </is>
      </c>
    </row>
    <row r="282">
      <c r="A282" t="inlineStr">
        <is>
          <t>OVR_Max</t>
        </is>
      </c>
      <c r="B282" t="inlineStr">
        <is>
          <t>OVR_Max</t>
        </is>
      </c>
      <c r="C282" t="inlineStr">
        <is>
          <t>Max</t>
        </is>
      </c>
      <c r="D282" t="inlineStr">
        <is>
          <t>89</t>
        </is>
      </c>
      <c r="E282" t="inlineStr">
        <is>
          <t>Overall Max. 89</t>
        </is>
      </c>
      <c r="F282" t="inlineStr">
        <is>
          <t>Finesse Shot+ - EA SPORTS FC 26</t>
        </is>
      </c>
      <c r="G282" t="inlineStr">
        <is>
          <t>Reward</t>
        </is>
      </c>
      <c r="H282" t="inlineStr">
        <is>
          <t>Objective</t>
        </is>
      </c>
      <c r="I282" t="inlineStr">
        <is>
          <t>https://www.fut.gg/evolutions/1805-finesse-shot/</t>
        </is>
      </c>
    </row>
    <row r="283">
      <c r="A283" t="inlineStr">
        <is>
          <t>Max_PS_Plus</t>
        </is>
      </c>
      <c r="B283" t="inlineStr">
        <is>
          <t>Max_PS_Plus</t>
        </is>
      </c>
      <c r="C283" t="inlineStr">
        <is>
          <t>Max</t>
        </is>
      </c>
      <c r="D283" t="inlineStr">
        <is>
          <t>1</t>
        </is>
      </c>
      <c r="E283" t="inlineStr">
        <is>
          <t>Max PS+ 1</t>
        </is>
      </c>
      <c r="F283" t="inlineStr">
        <is>
          <t>Finesse Shot+ - EA SPORTS FC 26</t>
        </is>
      </c>
      <c r="G283" t="inlineStr">
        <is>
          <t>Reward</t>
        </is>
      </c>
      <c r="H283" t="inlineStr">
        <is>
          <t>Objective</t>
        </is>
      </c>
      <c r="I283" t="inlineStr">
        <is>
          <t>https://www.fut.gg/evolutions/1805-finesse-shot/</t>
        </is>
      </c>
    </row>
    <row r="284">
      <c r="A284" t="inlineStr">
        <is>
          <t>Excluded_Rarity</t>
        </is>
      </c>
      <c r="B284" t="inlineStr">
        <is>
          <t>Excluded Rarity</t>
        </is>
      </c>
      <c r="C284" t="inlineStr">
        <is>
          <t>Exclude</t>
        </is>
      </c>
      <c r="D284" t="inlineStr">
        <is>
          <t>World Tour Silver Stars</t>
        </is>
      </c>
      <c r="E284" t="inlineStr">
        <is>
          <t>Excluded Rarity World Tour Silver Stars</t>
        </is>
      </c>
      <c r="F284" t="inlineStr">
        <is>
          <t>Finesse Shot+ - EA SPORTS FC 26</t>
        </is>
      </c>
      <c r="G284" t="inlineStr">
        <is>
          <t>Reward</t>
        </is>
      </c>
      <c r="H284" t="inlineStr">
        <is>
          <t>Objective</t>
        </is>
      </c>
      <c r="I284" t="inlineStr">
        <is>
          <t>https://www.fut.gg/evolutions/1805-finesse-shot/</t>
        </is>
      </c>
    </row>
    <row r="285">
      <c r="A285" t="inlineStr">
        <is>
          <t>Rarity</t>
        </is>
      </c>
      <c r="B285" t="inlineStr">
        <is>
          <t>Rarity</t>
        </is>
      </c>
      <c r="C285" t="inlineStr">
        <is>
          <t>Include</t>
        </is>
      </c>
      <c r="D285" t="inlineStr">
        <is>
          <t>World Tour Silver Stars</t>
        </is>
      </c>
      <c r="E285" t="inlineStr">
        <is>
          <t>Rarity World Tour Silver Stars</t>
        </is>
      </c>
      <c r="F285" t="inlineStr">
        <is>
          <t>Finesse Shot+ - EA SPORTS FC 26</t>
        </is>
      </c>
      <c r="G285" t="inlineStr">
        <is>
          <t>Reward</t>
        </is>
      </c>
      <c r="H285" t="inlineStr">
        <is>
          <t>Objective</t>
        </is>
      </c>
      <c r="I285" t="inlineStr">
        <is>
          <t>https://www.fut.gg/evolutions/1805-finesse-shot/</t>
        </is>
      </c>
    </row>
    <row r="286">
      <c r="A286" t="inlineStr">
        <is>
          <t>OVR_Max</t>
        </is>
      </c>
      <c r="B286" t="inlineStr">
        <is>
          <t>OVR_Max</t>
        </is>
      </c>
      <c r="C286" t="inlineStr">
        <is>
          <t>Max</t>
        </is>
      </c>
      <c r="D286" t="inlineStr">
        <is>
          <t>89</t>
        </is>
      </c>
      <c r="E286" t="inlineStr">
        <is>
          <t>Overall Max. 89</t>
        </is>
      </c>
      <c r="F286" t="inlineStr">
        <is>
          <t>Technical+ - EA SPORTS FC 26</t>
        </is>
      </c>
      <c r="G286" t="inlineStr">
        <is>
          <t>Reward</t>
        </is>
      </c>
      <c r="H286" t="inlineStr">
        <is>
          <t>Objective</t>
        </is>
      </c>
      <c r="I286" t="inlineStr">
        <is>
          <t>https://www.fut.gg/evolutions/1804-technical/</t>
        </is>
      </c>
    </row>
    <row r="287">
      <c r="A287" t="inlineStr">
        <is>
          <t>Max_PS_Plus</t>
        </is>
      </c>
      <c r="B287" t="inlineStr">
        <is>
          <t>Max_PS_Plus</t>
        </is>
      </c>
      <c r="C287" t="inlineStr">
        <is>
          <t>Max</t>
        </is>
      </c>
      <c r="D287" t="inlineStr">
        <is>
          <t>1</t>
        </is>
      </c>
      <c r="E287" t="inlineStr">
        <is>
          <t>Max PS+ 1</t>
        </is>
      </c>
      <c r="F287" t="inlineStr">
        <is>
          <t>Technical+ - EA SPORTS FC 26</t>
        </is>
      </c>
      <c r="G287" t="inlineStr">
        <is>
          <t>Reward</t>
        </is>
      </c>
      <c r="H287" t="inlineStr">
        <is>
          <t>Objective</t>
        </is>
      </c>
      <c r="I287" t="inlineStr">
        <is>
          <t>https://www.fut.gg/evolutions/1804-technical/</t>
        </is>
      </c>
    </row>
    <row r="288">
      <c r="A288" t="inlineStr">
        <is>
          <t>Excluded_Rarity</t>
        </is>
      </c>
      <c r="B288" t="inlineStr">
        <is>
          <t>Excluded Rarity</t>
        </is>
      </c>
      <c r="C288" t="inlineStr">
        <is>
          <t>Exclude</t>
        </is>
      </c>
      <c r="D288" t="inlineStr">
        <is>
          <t>World Tour Silver Stars</t>
        </is>
      </c>
      <c r="E288" t="inlineStr">
        <is>
          <t>Excluded Rarity World Tour Silver Stars</t>
        </is>
      </c>
      <c r="F288" t="inlineStr">
        <is>
          <t>Technical+ - EA SPORTS FC 26</t>
        </is>
      </c>
      <c r="G288" t="inlineStr">
        <is>
          <t>Reward</t>
        </is>
      </c>
      <c r="H288" t="inlineStr">
        <is>
          <t>Objective</t>
        </is>
      </c>
      <c r="I288" t="inlineStr">
        <is>
          <t>https://www.fut.gg/evolutions/1804-technical/</t>
        </is>
      </c>
    </row>
    <row r="289">
      <c r="A289" t="inlineStr">
        <is>
          <t>Rarity</t>
        </is>
      </c>
      <c r="B289" t="inlineStr">
        <is>
          <t>Rarity</t>
        </is>
      </c>
      <c r="C289" t="inlineStr">
        <is>
          <t>Include</t>
        </is>
      </c>
      <c r="D289" t="inlineStr">
        <is>
          <t>World Tour Silver Stars</t>
        </is>
      </c>
      <c r="E289" t="inlineStr">
        <is>
          <t>Rarity World Tour Silver Stars</t>
        </is>
      </c>
      <c r="F289" t="inlineStr">
        <is>
          <t>Technical+ - EA SPORTS FC 26</t>
        </is>
      </c>
      <c r="G289" t="inlineStr">
        <is>
          <t>Reward</t>
        </is>
      </c>
      <c r="H289" t="inlineStr">
        <is>
          <t>Objective</t>
        </is>
      </c>
      <c r="I289" t="inlineStr">
        <is>
          <t>https://www.fut.gg/evolutions/1804-technical/</t>
        </is>
      </c>
    </row>
    <row r="290">
      <c r="A290" t="inlineStr">
        <is>
          <t>OVR_Max</t>
        </is>
      </c>
      <c r="B290" t="inlineStr">
        <is>
          <t>OVR_Max</t>
        </is>
      </c>
      <c r="C290" t="inlineStr">
        <is>
          <t>Max</t>
        </is>
      </c>
      <c r="D290" t="inlineStr">
        <is>
          <t>89</t>
        </is>
      </c>
      <c r="E290" t="inlineStr">
        <is>
          <t>Overall Max. 89</t>
        </is>
      </c>
      <c r="F290" t="inlineStr">
        <is>
          <t>5 Star Weak Foot Upgrade - EA SPORTS FC 26</t>
        </is>
      </c>
      <c r="G290" t="inlineStr">
        <is>
          <t>Reward</t>
        </is>
      </c>
      <c r="H290" t="inlineStr">
        <is>
          <t>Objective</t>
        </is>
      </c>
      <c r="I290" t="inlineStr">
        <is>
          <t>https://www.fut.gg/evolutions/1803-5-star-weak-foot-upgrade/</t>
        </is>
      </c>
    </row>
    <row r="291">
      <c r="A291" t="inlineStr">
        <is>
          <t>Max_PS_Plus</t>
        </is>
      </c>
      <c r="B291" t="inlineStr">
        <is>
          <t>Max_PS_Plus</t>
        </is>
      </c>
      <c r="C291" t="inlineStr">
        <is>
          <t>Max</t>
        </is>
      </c>
      <c r="D291" t="inlineStr">
        <is>
          <t>1</t>
        </is>
      </c>
      <c r="E291" t="inlineStr">
        <is>
          <t>Max PS+ 1</t>
        </is>
      </c>
      <c r="F291" t="inlineStr">
        <is>
          <t>5 Star Weak Foot Upgrade - EA SPORTS FC 26</t>
        </is>
      </c>
      <c r="G291" t="inlineStr">
        <is>
          <t>Reward</t>
        </is>
      </c>
      <c r="H291" t="inlineStr">
        <is>
          <t>Objective</t>
        </is>
      </c>
      <c r="I291" t="inlineStr">
        <is>
          <t>https://www.fut.gg/evolutions/1803-5-star-weak-foot-upgrade/</t>
        </is>
      </c>
    </row>
    <row r="292">
      <c r="A292" t="inlineStr">
        <is>
          <t>Excluded_Rarity</t>
        </is>
      </c>
      <c r="B292" t="inlineStr">
        <is>
          <t>Excluded Rarity</t>
        </is>
      </c>
      <c r="C292" t="inlineStr">
        <is>
          <t>Exclude</t>
        </is>
      </c>
      <c r="D292" t="inlineStr">
        <is>
          <t>World Tour Silver Stars</t>
        </is>
      </c>
      <c r="E292" t="inlineStr">
        <is>
          <t>Excluded Rarity World Tour Silver Stars</t>
        </is>
      </c>
      <c r="F292" t="inlineStr">
        <is>
          <t>5 Star Weak Foot Upgrade - EA SPORTS FC 26</t>
        </is>
      </c>
      <c r="G292" t="inlineStr">
        <is>
          <t>Reward</t>
        </is>
      </c>
      <c r="H292" t="inlineStr">
        <is>
          <t>Objective</t>
        </is>
      </c>
      <c r="I292" t="inlineStr">
        <is>
          <t>https://www.fut.gg/evolutions/1803-5-star-weak-foot-upgrade/</t>
        </is>
      </c>
    </row>
    <row r="293">
      <c r="A293" t="inlineStr">
        <is>
          <t>Rarity</t>
        </is>
      </c>
      <c r="B293" t="inlineStr">
        <is>
          <t>Rarity</t>
        </is>
      </c>
      <c r="C293" t="inlineStr">
        <is>
          <t>Include</t>
        </is>
      </c>
      <c r="D293" t="inlineStr">
        <is>
          <t>World Tour Silver Stars</t>
        </is>
      </c>
      <c r="E293" t="inlineStr">
        <is>
          <t>Rarity World Tour Silver Stars</t>
        </is>
      </c>
      <c r="F293" t="inlineStr">
        <is>
          <t>5 Star Weak Foot Upgrade - EA SPORTS FC 26</t>
        </is>
      </c>
      <c r="G293" t="inlineStr">
        <is>
          <t>Reward</t>
        </is>
      </c>
      <c r="H293" t="inlineStr">
        <is>
          <t>Objective</t>
        </is>
      </c>
      <c r="I293" t="inlineStr">
        <is>
          <t>https://www.fut.gg/evolutions/1803-5-star-weak-foot-upgrade/</t>
        </is>
      </c>
    </row>
    <row r="294">
      <c r="A294" t="inlineStr">
        <is>
          <t>OVR_Max</t>
        </is>
      </c>
      <c r="B294" t="inlineStr">
        <is>
          <t>OVR_Max</t>
        </is>
      </c>
      <c r="C294" t="inlineStr">
        <is>
          <t>Max</t>
        </is>
      </c>
      <c r="D294" t="inlineStr">
        <is>
          <t>89</t>
        </is>
      </c>
      <c r="E294" t="inlineStr">
        <is>
          <t>Overall Max. 89</t>
        </is>
      </c>
      <c r="F294" t="inlineStr">
        <is>
          <t>5 Star Skill Moves Upgrade - EA SPORTS FC 26</t>
        </is>
      </c>
      <c r="G294" t="inlineStr">
        <is>
          <t>Reward</t>
        </is>
      </c>
      <c r="H294" t="inlineStr">
        <is>
          <t>Objective</t>
        </is>
      </c>
      <c r="I294" t="inlineStr">
        <is>
          <t>https://www.fut.gg/evolutions/1802-5-star-skill-moves-upgrade/</t>
        </is>
      </c>
    </row>
    <row r="295">
      <c r="A295" t="inlineStr">
        <is>
          <t>Max_PS_Plus</t>
        </is>
      </c>
      <c r="B295" t="inlineStr">
        <is>
          <t>Max_PS_Plus</t>
        </is>
      </c>
      <c r="C295" t="inlineStr">
        <is>
          <t>Max</t>
        </is>
      </c>
      <c r="D295" t="inlineStr">
        <is>
          <t>1</t>
        </is>
      </c>
      <c r="E295" t="inlineStr">
        <is>
          <t>Max PS+ 1</t>
        </is>
      </c>
      <c r="F295" t="inlineStr">
        <is>
          <t>5 Star Skill Moves Upgrade - EA SPORTS FC 26</t>
        </is>
      </c>
      <c r="G295" t="inlineStr">
        <is>
          <t>Reward</t>
        </is>
      </c>
      <c r="H295" t="inlineStr">
        <is>
          <t>Objective</t>
        </is>
      </c>
      <c r="I295" t="inlineStr">
        <is>
          <t>https://www.fut.gg/evolutions/1802-5-star-skill-moves-upgrade/</t>
        </is>
      </c>
    </row>
    <row r="296">
      <c r="A296" t="inlineStr">
        <is>
          <t>Excluded_Rarity</t>
        </is>
      </c>
      <c r="B296" t="inlineStr">
        <is>
          <t>Excluded Rarity</t>
        </is>
      </c>
      <c r="C296" t="inlineStr">
        <is>
          <t>Exclude</t>
        </is>
      </c>
      <c r="D296" t="inlineStr">
        <is>
          <t>World Tour Silver Stars</t>
        </is>
      </c>
      <c r="E296" t="inlineStr">
        <is>
          <t>Excluded Rarity World Tour Silver Stars</t>
        </is>
      </c>
      <c r="F296" t="inlineStr">
        <is>
          <t>5 Star Skill Moves Upgrade - EA SPORTS FC 26</t>
        </is>
      </c>
      <c r="G296" t="inlineStr">
        <is>
          <t>Reward</t>
        </is>
      </c>
      <c r="H296" t="inlineStr">
        <is>
          <t>Objective</t>
        </is>
      </c>
      <c r="I296" t="inlineStr">
        <is>
          <t>https://www.fut.gg/evolutions/1802-5-star-skill-moves-upgrade/</t>
        </is>
      </c>
    </row>
    <row r="297">
      <c r="A297" t="inlineStr">
        <is>
          <t>Rarity</t>
        </is>
      </c>
      <c r="B297" t="inlineStr">
        <is>
          <t>Rarity</t>
        </is>
      </c>
      <c r="C297" t="inlineStr">
        <is>
          <t>Include</t>
        </is>
      </c>
      <c r="D297" t="inlineStr">
        <is>
          <t>World Tour Silver Stars</t>
        </is>
      </c>
      <c r="E297" t="inlineStr">
        <is>
          <t>Rarity World Tour Silver Stars</t>
        </is>
      </c>
      <c r="F297" t="inlineStr">
        <is>
          <t>5 Star Skill Moves Upgrade - EA SPORTS FC 26</t>
        </is>
      </c>
      <c r="G297" t="inlineStr">
        <is>
          <t>Reward</t>
        </is>
      </c>
      <c r="H297" t="inlineStr">
        <is>
          <t>Objective</t>
        </is>
      </c>
      <c r="I297" t="inlineStr">
        <is>
          <t>https://www.fut.gg/evolutions/1802-5-star-skill-moves-upgrade/</t>
        </is>
      </c>
    </row>
    <row r="298">
      <c r="A298" t="inlineStr">
        <is>
          <t>OVR_Max</t>
        </is>
      </c>
      <c r="B298" t="inlineStr">
        <is>
          <t>OVR_Max</t>
        </is>
      </c>
      <c r="C298" t="inlineStr">
        <is>
          <t>Max</t>
        </is>
      </c>
      <c r="D298" t="inlineStr">
        <is>
          <t>89</t>
        </is>
      </c>
      <c r="E298" t="inlineStr">
        <is>
          <t>Overall Max. 89</t>
        </is>
      </c>
      <c r="F298" t="inlineStr">
        <is>
          <t>Architect of Play [SP+ 4] - EA SPORTS FC 26</t>
        </is>
      </c>
      <c r="G298" t="inlineStr">
        <is>
          <t>Reward</t>
        </is>
      </c>
      <c r="H298" t="inlineStr">
        <is>
          <t>Premium Season Pass</t>
        </is>
      </c>
      <c r="I298" t="inlineStr">
        <is>
          <t>https://www.fut.gg/evolutions/1789-architect-of-play-sp-4/</t>
        </is>
      </c>
    </row>
    <row r="299">
      <c r="A299" t="inlineStr">
        <is>
          <t>Max_PS</t>
        </is>
      </c>
      <c r="B299" t="inlineStr">
        <is>
          <t>Max_PS</t>
        </is>
      </c>
      <c r="C299" t="inlineStr">
        <is>
          <t>Max</t>
        </is>
      </c>
      <c r="D299" t="inlineStr">
        <is>
          <t>8</t>
        </is>
      </c>
      <c r="E299" t="inlineStr">
        <is>
          <t>Max PS 8</t>
        </is>
      </c>
      <c r="F299" t="inlineStr">
        <is>
          <t>Architect of Play [SP+ 4] - EA SPORTS FC 26</t>
        </is>
      </c>
      <c r="G299" t="inlineStr">
        <is>
          <t>Reward</t>
        </is>
      </c>
      <c r="H299" t="inlineStr">
        <is>
          <t>Premium Season Pass</t>
        </is>
      </c>
      <c r="I299" t="inlineStr">
        <is>
          <t>https://www.fut.gg/evolutions/1789-architect-of-play-sp-4/</t>
        </is>
      </c>
    </row>
    <row r="300">
      <c r="A300" t="inlineStr">
        <is>
          <t>Excluded_Rarity</t>
        </is>
      </c>
      <c r="B300" t="inlineStr">
        <is>
          <t>Excluded Rarity</t>
        </is>
      </c>
      <c r="C300" t="inlineStr">
        <is>
          <t>Exclude</t>
        </is>
      </c>
      <c r="D300" t="inlineStr">
        <is>
          <t>World Tour Silver Stars</t>
        </is>
      </c>
      <c r="E300" t="inlineStr">
        <is>
          <t>Excluded Rarity World Tour Silver Stars</t>
        </is>
      </c>
      <c r="F300" t="inlineStr">
        <is>
          <t>Architect of Play [SP+ 4] - EA SPORTS FC 26</t>
        </is>
      </c>
      <c r="G300" t="inlineStr">
        <is>
          <t>Reward</t>
        </is>
      </c>
      <c r="H300" t="inlineStr">
        <is>
          <t>Premium Season Pass</t>
        </is>
      </c>
      <c r="I300" t="inlineStr">
        <is>
          <t>https://www.fut.gg/evolutions/1789-architect-of-play-sp-4/</t>
        </is>
      </c>
    </row>
    <row r="301">
      <c r="A301" t="inlineStr">
        <is>
          <t>Rarity</t>
        </is>
      </c>
      <c r="B301" t="inlineStr">
        <is>
          <t>Rarity</t>
        </is>
      </c>
      <c r="C301" t="inlineStr">
        <is>
          <t>Include</t>
        </is>
      </c>
      <c r="D301" t="inlineStr">
        <is>
          <t>World Tour Silver Stars</t>
        </is>
      </c>
      <c r="E301" t="inlineStr">
        <is>
          <t>Rarity World Tour Silver Stars</t>
        </is>
      </c>
      <c r="F301" t="inlineStr">
        <is>
          <t>Architect of Play [SP+ 4] - EA SPORTS FC 26</t>
        </is>
      </c>
      <c r="G301" t="inlineStr">
        <is>
          <t>Reward</t>
        </is>
      </c>
      <c r="H301" t="inlineStr">
        <is>
          <t>Premium Season Pass</t>
        </is>
      </c>
      <c r="I301" t="inlineStr">
        <is>
          <t>https://www.fut.gg/evolutions/1789-architect-of-play-sp-4/</t>
        </is>
      </c>
    </row>
    <row r="302">
      <c r="A302" t="inlineStr">
        <is>
          <t>OVR_Max</t>
        </is>
      </c>
      <c r="B302" t="inlineStr">
        <is>
          <t>OVR_Max</t>
        </is>
      </c>
      <c r="C302" t="inlineStr">
        <is>
          <t>Max</t>
        </is>
      </c>
      <c r="D302" t="inlineStr">
        <is>
          <t>87</t>
        </is>
      </c>
      <c r="E302" t="inlineStr">
        <is>
          <t>Overall Max. 87</t>
        </is>
      </c>
      <c r="F302" t="inlineStr">
        <is>
          <t>Make Your Idol - Tiki Taka+ [SP 3] - EA SPORTS FC 26</t>
        </is>
      </c>
      <c r="G302" t="inlineStr">
        <is>
          <t>Reward</t>
        </is>
      </c>
      <c r="H302" t="inlineStr">
        <is>
          <t>Standard Season Pass</t>
        </is>
      </c>
      <c r="I302" t="inlineStr">
        <is>
          <t>https://www.fut.gg/evolutions/1790-make-your-idol-tiki-taka-sp-3/</t>
        </is>
      </c>
    </row>
    <row r="303">
      <c r="A303" t="inlineStr">
        <is>
          <t>OVR_Min</t>
        </is>
      </c>
      <c r="B303" t="inlineStr">
        <is>
          <t>OVR_Min</t>
        </is>
      </c>
      <c r="C303" t="inlineStr">
        <is>
          <t>Value</t>
        </is>
      </c>
      <c r="D303" t="inlineStr">
        <is>
          <t>87</t>
        </is>
      </c>
      <c r="E303" t="inlineStr">
        <is>
          <t>Overall Min. 87</t>
        </is>
      </c>
      <c r="F303" t="inlineStr">
        <is>
          <t>Make Your Idol - Tiki Taka+ [SP 3] - EA SPORTS FC 26</t>
        </is>
      </c>
      <c r="G303" t="inlineStr">
        <is>
          <t>Reward</t>
        </is>
      </c>
      <c r="H303" t="inlineStr">
        <is>
          <t>Standard Season Pass</t>
        </is>
      </c>
      <c r="I303" t="inlineStr">
        <is>
          <t>https://www.fut.gg/evolutions/1790-make-your-idol-tiki-taka-sp-3/</t>
        </is>
      </c>
    </row>
    <row r="304">
      <c r="A304" t="inlineStr">
        <is>
          <t>Max_PS_Plus</t>
        </is>
      </c>
      <c r="B304" t="inlineStr">
        <is>
          <t>Max_PS_Plus</t>
        </is>
      </c>
      <c r="C304" t="inlineStr">
        <is>
          <t>Max</t>
        </is>
      </c>
      <c r="D304" t="inlineStr">
        <is>
          <t>0</t>
        </is>
      </c>
      <c r="E304" t="inlineStr">
        <is>
          <t>Max PS+ 0</t>
        </is>
      </c>
      <c r="F304" t="inlineStr">
        <is>
          <t>Make Your Idol - Tiki Taka+ [SP 3] - EA SPORTS FC 26</t>
        </is>
      </c>
      <c r="G304" t="inlineStr">
        <is>
          <t>Reward</t>
        </is>
      </c>
      <c r="H304" t="inlineStr">
        <is>
          <t>Standard Season Pass</t>
        </is>
      </c>
      <c r="I304" t="inlineStr">
        <is>
          <t>https://www.fut.gg/evolutions/1790-make-your-idol-tiki-taka-sp-3/</t>
        </is>
      </c>
    </row>
    <row r="305">
      <c r="A305" t="inlineStr">
        <is>
          <t>Rarity</t>
        </is>
      </c>
      <c r="B305" t="inlineStr">
        <is>
          <t>Rarity</t>
        </is>
      </c>
      <c r="C305" t="inlineStr">
        <is>
          <t>Include</t>
        </is>
      </c>
      <c r="D305" t="inlineStr">
        <is>
          <t>Choose Your Idol</t>
        </is>
      </c>
      <c r="E305" t="inlineStr">
        <is>
          <t>Rarity Choose Your Idol</t>
        </is>
      </c>
      <c r="F305" t="inlineStr">
        <is>
          <t>Make Your Idol - Tiki Taka+ [SP 3] - EA SPORTS FC 26</t>
        </is>
      </c>
      <c r="G305" t="inlineStr">
        <is>
          <t>Reward</t>
        </is>
      </c>
      <c r="H305" t="inlineStr">
        <is>
          <t>Standard Season Pass</t>
        </is>
      </c>
      <c r="I305" t="inlineStr">
        <is>
          <t>https://www.fut.gg/evolutions/1790-make-your-idol-tiki-taka-sp-3/</t>
        </is>
      </c>
    </row>
    <row r="306">
      <c r="A306" t="inlineStr">
        <is>
          <t>OVR_Max</t>
        </is>
      </c>
      <c r="B306" t="inlineStr">
        <is>
          <t>OVR_Max</t>
        </is>
      </c>
      <c r="C306" t="inlineStr">
        <is>
          <t>Max</t>
        </is>
      </c>
      <c r="D306" t="inlineStr">
        <is>
          <t>87</t>
        </is>
      </c>
      <c r="E306" t="inlineStr">
        <is>
          <t>Overall Max. 87</t>
        </is>
      </c>
      <c r="F306" t="inlineStr">
        <is>
          <t>Make Your Idol - Incisive Pass+ [SP 3] - EA SPORTS FC 26</t>
        </is>
      </c>
      <c r="G306" t="inlineStr">
        <is>
          <t>Reward</t>
        </is>
      </c>
      <c r="H306" t="inlineStr">
        <is>
          <t>Standard Season Pass</t>
        </is>
      </c>
      <c r="I306" t="inlineStr">
        <is>
          <t>https://www.fut.gg/evolutions/1791-make-your-idol-incisive-pass-sp-3/</t>
        </is>
      </c>
    </row>
    <row r="307">
      <c r="A307" t="inlineStr">
        <is>
          <t>OVR_Min</t>
        </is>
      </c>
      <c r="B307" t="inlineStr">
        <is>
          <t>OVR_Min</t>
        </is>
      </c>
      <c r="C307" t="inlineStr">
        <is>
          <t>Value</t>
        </is>
      </c>
      <c r="D307" t="inlineStr">
        <is>
          <t>87</t>
        </is>
      </c>
      <c r="E307" t="inlineStr">
        <is>
          <t>Overall Min. 87</t>
        </is>
      </c>
      <c r="F307" t="inlineStr">
        <is>
          <t>Make Your Idol - Incisive Pass+ [SP 3] - EA SPORTS FC 26</t>
        </is>
      </c>
      <c r="G307" t="inlineStr">
        <is>
          <t>Reward</t>
        </is>
      </c>
      <c r="H307" t="inlineStr">
        <is>
          <t>Standard Season Pass</t>
        </is>
      </c>
      <c r="I307" t="inlineStr">
        <is>
          <t>https://www.fut.gg/evolutions/1791-make-your-idol-incisive-pass-sp-3/</t>
        </is>
      </c>
    </row>
    <row r="308">
      <c r="A308" t="inlineStr">
        <is>
          <t>Max_PS_Plus</t>
        </is>
      </c>
      <c r="B308" t="inlineStr">
        <is>
          <t>Max_PS_Plus</t>
        </is>
      </c>
      <c r="C308" t="inlineStr">
        <is>
          <t>Max</t>
        </is>
      </c>
      <c r="D308" t="inlineStr">
        <is>
          <t>0</t>
        </is>
      </c>
      <c r="E308" t="inlineStr">
        <is>
          <t>Max PS+ 0</t>
        </is>
      </c>
      <c r="F308" t="inlineStr">
        <is>
          <t>Make Your Idol - Incisive Pass+ [SP 3] - EA SPORTS FC 26</t>
        </is>
      </c>
      <c r="G308" t="inlineStr">
        <is>
          <t>Reward</t>
        </is>
      </c>
      <c r="H308" t="inlineStr">
        <is>
          <t>Standard Season Pass</t>
        </is>
      </c>
      <c r="I308" t="inlineStr">
        <is>
          <t>https://www.fut.gg/evolutions/1791-make-your-idol-incisive-pass-sp-3/</t>
        </is>
      </c>
    </row>
    <row r="309">
      <c r="A309" t="inlineStr">
        <is>
          <t>Rarity</t>
        </is>
      </c>
      <c r="B309" t="inlineStr">
        <is>
          <t>Rarity</t>
        </is>
      </c>
      <c r="C309" t="inlineStr">
        <is>
          <t>Include</t>
        </is>
      </c>
      <c r="D309" t="inlineStr">
        <is>
          <t>Choose Your Idol</t>
        </is>
      </c>
      <c r="E309" t="inlineStr">
        <is>
          <t>Rarity Choose Your Idol</t>
        </is>
      </c>
      <c r="F309" t="inlineStr">
        <is>
          <t>Make Your Idol - Incisive Pass+ [SP 3] - EA SPORTS FC 26</t>
        </is>
      </c>
      <c r="G309" t="inlineStr">
        <is>
          <t>Reward</t>
        </is>
      </c>
      <c r="H309" t="inlineStr">
        <is>
          <t>Standard Season Pass</t>
        </is>
      </c>
      <c r="I309" t="inlineStr">
        <is>
          <t>https://www.fut.gg/evolutions/1791-make-your-idol-incisive-pass-sp-3/</t>
        </is>
      </c>
    </row>
    <row r="310">
      <c r="A310" t="inlineStr">
        <is>
          <t>OVR_Max</t>
        </is>
      </c>
      <c r="B310" t="inlineStr">
        <is>
          <t>OVR_Max</t>
        </is>
      </c>
      <c r="C310" t="inlineStr">
        <is>
          <t>Max</t>
        </is>
      </c>
      <c r="D310" t="inlineStr">
        <is>
          <t>87</t>
        </is>
      </c>
      <c r="E310" t="inlineStr">
        <is>
          <t>Overall Max. 87</t>
        </is>
      </c>
      <c r="F310" t="inlineStr">
        <is>
          <t>Make Your Idol - Low Driven+ [SP 3] - EA SPORTS FC 26</t>
        </is>
      </c>
      <c r="G310" t="inlineStr">
        <is>
          <t>Reward</t>
        </is>
      </c>
      <c r="H310" t="inlineStr">
        <is>
          <t>Standard Season Pass</t>
        </is>
      </c>
      <c r="I310" t="inlineStr">
        <is>
          <t>https://www.fut.gg/evolutions/1792-make-your-idol-low-driven-sp-3/</t>
        </is>
      </c>
    </row>
    <row r="311">
      <c r="A311" t="inlineStr">
        <is>
          <t>OVR_Min</t>
        </is>
      </c>
      <c r="B311" t="inlineStr">
        <is>
          <t>OVR_Min</t>
        </is>
      </c>
      <c r="C311" t="inlineStr">
        <is>
          <t>Value</t>
        </is>
      </c>
      <c r="D311" t="inlineStr">
        <is>
          <t>87</t>
        </is>
      </c>
      <c r="E311" t="inlineStr">
        <is>
          <t>Overall Min. 87</t>
        </is>
      </c>
      <c r="F311" t="inlineStr">
        <is>
          <t>Make Your Idol - Low Driven+ [SP 3] - EA SPORTS FC 26</t>
        </is>
      </c>
      <c r="G311" t="inlineStr">
        <is>
          <t>Reward</t>
        </is>
      </c>
      <c r="H311" t="inlineStr">
        <is>
          <t>Standard Season Pass</t>
        </is>
      </c>
      <c r="I311" t="inlineStr">
        <is>
          <t>https://www.fut.gg/evolutions/1792-make-your-idol-low-driven-sp-3/</t>
        </is>
      </c>
    </row>
    <row r="312">
      <c r="A312" t="inlineStr">
        <is>
          <t>Max_PS_Plus</t>
        </is>
      </c>
      <c r="B312" t="inlineStr">
        <is>
          <t>Max_PS_Plus</t>
        </is>
      </c>
      <c r="C312" t="inlineStr">
        <is>
          <t>Max</t>
        </is>
      </c>
      <c r="D312" t="inlineStr">
        <is>
          <t>0</t>
        </is>
      </c>
      <c r="E312" t="inlineStr">
        <is>
          <t>Max PS+ 0</t>
        </is>
      </c>
      <c r="F312" t="inlineStr">
        <is>
          <t>Make Your Idol - Low Driven+ [SP 3] - EA SPORTS FC 26</t>
        </is>
      </c>
      <c r="G312" t="inlineStr">
        <is>
          <t>Reward</t>
        </is>
      </c>
      <c r="H312" t="inlineStr">
        <is>
          <t>Standard Season Pass</t>
        </is>
      </c>
      <c r="I312" t="inlineStr">
        <is>
          <t>https://www.fut.gg/evolutions/1792-make-your-idol-low-driven-sp-3/</t>
        </is>
      </c>
    </row>
    <row r="313">
      <c r="A313" t="inlineStr">
        <is>
          <t>Rarity</t>
        </is>
      </c>
      <c r="B313" t="inlineStr">
        <is>
          <t>Rarity</t>
        </is>
      </c>
      <c r="C313" t="inlineStr">
        <is>
          <t>Include</t>
        </is>
      </c>
      <c r="D313" t="inlineStr">
        <is>
          <t>Choose Your Idol</t>
        </is>
      </c>
      <c r="E313" t="inlineStr">
        <is>
          <t>Rarity Choose Your Idol</t>
        </is>
      </c>
      <c r="F313" t="inlineStr">
        <is>
          <t>Make Your Idol - Low Driven+ [SP 3] - EA SPORTS FC 26</t>
        </is>
      </c>
      <c r="G313" t="inlineStr">
        <is>
          <t>Reward</t>
        </is>
      </c>
      <c r="H313" t="inlineStr">
        <is>
          <t>Standard Season Pass</t>
        </is>
      </c>
      <c r="I313" t="inlineStr">
        <is>
          <t>https://www.fut.gg/evolutions/1792-make-your-idol-low-driven-sp-3/</t>
        </is>
      </c>
    </row>
    <row r="314">
      <c r="A314" t="inlineStr">
        <is>
          <t>OVR_Max</t>
        </is>
      </c>
      <c r="B314" t="inlineStr">
        <is>
          <t>OVR_Max</t>
        </is>
      </c>
      <c r="C314" t="inlineStr">
        <is>
          <t>Max</t>
        </is>
      </c>
      <c r="D314" t="inlineStr">
        <is>
          <t>87</t>
        </is>
      </c>
      <c r="E314" t="inlineStr">
        <is>
          <t>Overall Max. 87</t>
        </is>
      </c>
      <c r="F314" t="inlineStr">
        <is>
          <t>Make Your Idol - Technical+ [SP 3] - EA SPORTS FC 26</t>
        </is>
      </c>
      <c r="G314" t="inlineStr">
        <is>
          <t>Reward</t>
        </is>
      </c>
      <c r="H314" t="inlineStr">
        <is>
          <t>Standard Season Pass</t>
        </is>
      </c>
      <c r="I314" t="inlineStr">
        <is>
          <t>https://www.fut.gg/evolutions/1793-make-your-idol-technical-sp-3/</t>
        </is>
      </c>
    </row>
    <row r="315">
      <c r="A315" t="inlineStr">
        <is>
          <t>OVR_Min</t>
        </is>
      </c>
      <c r="B315" t="inlineStr">
        <is>
          <t>OVR_Min</t>
        </is>
      </c>
      <c r="C315" t="inlineStr">
        <is>
          <t>Value</t>
        </is>
      </c>
      <c r="D315" t="inlineStr">
        <is>
          <t>87</t>
        </is>
      </c>
      <c r="E315" t="inlineStr">
        <is>
          <t>Overall Min. 87</t>
        </is>
      </c>
      <c r="F315" t="inlineStr">
        <is>
          <t>Make Your Idol - Technical+ [SP 3] - EA SPORTS FC 26</t>
        </is>
      </c>
      <c r="G315" t="inlineStr">
        <is>
          <t>Reward</t>
        </is>
      </c>
      <c r="H315" t="inlineStr">
        <is>
          <t>Standard Season Pass</t>
        </is>
      </c>
      <c r="I315" t="inlineStr">
        <is>
          <t>https://www.fut.gg/evolutions/1793-make-your-idol-technical-sp-3/</t>
        </is>
      </c>
    </row>
    <row r="316">
      <c r="A316" t="inlineStr">
        <is>
          <t>Max_PS_Plus</t>
        </is>
      </c>
      <c r="B316" t="inlineStr">
        <is>
          <t>Max_PS_Plus</t>
        </is>
      </c>
      <c r="C316" t="inlineStr">
        <is>
          <t>Max</t>
        </is>
      </c>
      <c r="D316" t="inlineStr">
        <is>
          <t>0</t>
        </is>
      </c>
      <c r="E316" t="inlineStr">
        <is>
          <t>Max PS+ 0</t>
        </is>
      </c>
      <c r="F316" t="inlineStr">
        <is>
          <t>Make Your Idol - Technical+ [SP 3] - EA SPORTS FC 26</t>
        </is>
      </c>
      <c r="G316" t="inlineStr">
        <is>
          <t>Reward</t>
        </is>
      </c>
      <c r="H316" t="inlineStr">
        <is>
          <t>Standard Season Pass</t>
        </is>
      </c>
      <c r="I316" t="inlineStr">
        <is>
          <t>https://www.fut.gg/evolutions/1793-make-your-idol-technical-sp-3/</t>
        </is>
      </c>
    </row>
    <row r="317">
      <c r="A317" t="inlineStr">
        <is>
          <t>Rarity</t>
        </is>
      </c>
      <c r="B317" t="inlineStr">
        <is>
          <t>Rarity</t>
        </is>
      </c>
      <c r="C317" t="inlineStr">
        <is>
          <t>Include</t>
        </is>
      </c>
      <c r="D317" t="inlineStr">
        <is>
          <t>Choose Your Idol</t>
        </is>
      </c>
      <c r="E317" t="inlineStr">
        <is>
          <t>Rarity Choose Your Idol</t>
        </is>
      </c>
      <c r="F317" t="inlineStr">
        <is>
          <t>Make Your Idol - Technical+ [SP 3] - EA SPORTS FC 26</t>
        </is>
      </c>
      <c r="G317" t="inlineStr">
        <is>
          <t>Reward</t>
        </is>
      </c>
      <c r="H317" t="inlineStr">
        <is>
          <t>Standard Season Pass</t>
        </is>
      </c>
      <c r="I317" t="inlineStr">
        <is>
          <t>https://www.fut.gg/evolutions/1793-make-your-idol-technical-sp-3/</t>
        </is>
      </c>
    </row>
    <row r="318">
      <c r="A318" t="inlineStr">
        <is>
          <t>OVR_Max</t>
        </is>
      </c>
      <c r="B318" t="inlineStr">
        <is>
          <t>OVR_Max</t>
        </is>
      </c>
      <c r="C318" t="inlineStr">
        <is>
          <t>Max</t>
        </is>
      </c>
      <c r="D318" t="inlineStr">
        <is>
          <t>87</t>
        </is>
      </c>
      <c r="E318" t="inlineStr">
        <is>
          <t>Overall Max. 87</t>
        </is>
      </c>
      <c r="F318" t="inlineStr">
        <is>
          <t>Make Your Idol - Jockey+ [SP 3] - EA SPORTS FC 26</t>
        </is>
      </c>
      <c r="G318" t="inlineStr">
        <is>
          <t>Reward</t>
        </is>
      </c>
      <c r="H318" t="inlineStr">
        <is>
          <t>Standard Season Pass</t>
        </is>
      </c>
      <c r="I318" t="inlineStr">
        <is>
          <t>https://www.fut.gg/evolutions/1794-make-your-idol-jockey-sp-3/</t>
        </is>
      </c>
    </row>
    <row r="319">
      <c r="A319" t="inlineStr">
        <is>
          <t>OVR_Min</t>
        </is>
      </c>
      <c r="B319" t="inlineStr">
        <is>
          <t>OVR_Min</t>
        </is>
      </c>
      <c r="C319" t="inlineStr">
        <is>
          <t>Value</t>
        </is>
      </c>
      <c r="D319" t="inlineStr">
        <is>
          <t>87</t>
        </is>
      </c>
      <c r="E319" t="inlineStr">
        <is>
          <t>Overall Min. 87</t>
        </is>
      </c>
      <c r="F319" t="inlineStr">
        <is>
          <t>Make Your Idol - Jockey+ [SP 3] - EA SPORTS FC 26</t>
        </is>
      </c>
      <c r="G319" t="inlineStr">
        <is>
          <t>Reward</t>
        </is>
      </c>
      <c r="H319" t="inlineStr">
        <is>
          <t>Standard Season Pass</t>
        </is>
      </c>
      <c r="I319" t="inlineStr">
        <is>
          <t>https://www.fut.gg/evolutions/1794-make-your-idol-jockey-sp-3/</t>
        </is>
      </c>
    </row>
    <row r="320">
      <c r="A320" t="inlineStr">
        <is>
          <t>Max_PS_Plus</t>
        </is>
      </c>
      <c r="B320" t="inlineStr">
        <is>
          <t>Max_PS_Plus</t>
        </is>
      </c>
      <c r="C320" t="inlineStr">
        <is>
          <t>Max</t>
        </is>
      </c>
      <c r="D320" t="inlineStr">
        <is>
          <t>0</t>
        </is>
      </c>
      <c r="E320" t="inlineStr">
        <is>
          <t>Max PS+ 0</t>
        </is>
      </c>
      <c r="F320" t="inlineStr">
        <is>
          <t>Make Your Idol - Jockey+ [SP 3] - EA SPORTS FC 26</t>
        </is>
      </c>
      <c r="G320" t="inlineStr">
        <is>
          <t>Reward</t>
        </is>
      </c>
      <c r="H320" t="inlineStr">
        <is>
          <t>Standard Season Pass</t>
        </is>
      </c>
      <c r="I320" t="inlineStr">
        <is>
          <t>https://www.fut.gg/evolutions/1794-make-your-idol-jockey-sp-3/</t>
        </is>
      </c>
    </row>
    <row r="321">
      <c r="A321" t="inlineStr">
        <is>
          <t>Rarity</t>
        </is>
      </c>
      <c r="B321" t="inlineStr">
        <is>
          <t>Rarity</t>
        </is>
      </c>
      <c r="C321" t="inlineStr">
        <is>
          <t>Include</t>
        </is>
      </c>
      <c r="D321" t="inlineStr">
        <is>
          <t>Choose Your Idol</t>
        </is>
      </c>
      <c r="E321" t="inlineStr">
        <is>
          <t>Rarity Choose Your Idol</t>
        </is>
      </c>
      <c r="F321" t="inlineStr">
        <is>
          <t>Make Your Idol - Jockey+ [SP 3] - EA SPORTS FC 26</t>
        </is>
      </c>
      <c r="G321" t="inlineStr">
        <is>
          <t>Reward</t>
        </is>
      </c>
      <c r="H321" t="inlineStr">
        <is>
          <t>Standard Season Pass</t>
        </is>
      </c>
      <c r="I321" t="inlineStr">
        <is>
          <t>https://www.fut.gg/evolutions/1794-make-your-idol-jockey-sp-3/</t>
        </is>
      </c>
    </row>
    <row r="322">
      <c r="A322" t="inlineStr">
        <is>
          <t>OVR_Max</t>
        </is>
      </c>
      <c r="B322" t="inlineStr">
        <is>
          <t>OVR_Max</t>
        </is>
      </c>
      <c r="C322" t="inlineStr">
        <is>
          <t>Max</t>
        </is>
      </c>
      <c r="D322" t="inlineStr">
        <is>
          <t>87</t>
        </is>
      </c>
      <c r="E322" t="inlineStr">
        <is>
          <t>Overall Max. 87</t>
        </is>
      </c>
      <c r="F322" t="inlineStr">
        <is>
          <t>Make Your Idol - Intercept+ [SP 3] - EA SPORTS FC 26</t>
        </is>
      </c>
      <c r="G322" t="inlineStr">
        <is>
          <t>Reward</t>
        </is>
      </c>
      <c r="H322" t="inlineStr">
        <is>
          <t>Standard Season Pass</t>
        </is>
      </c>
      <c r="I322" t="inlineStr">
        <is>
          <t>https://www.fut.gg/evolutions/1795-make-your-idol-intercept-sp-3/</t>
        </is>
      </c>
    </row>
    <row r="323">
      <c r="A323" t="inlineStr">
        <is>
          <t>OVR_Min</t>
        </is>
      </c>
      <c r="B323" t="inlineStr">
        <is>
          <t>OVR_Min</t>
        </is>
      </c>
      <c r="C323" t="inlineStr">
        <is>
          <t>Value</t>
        </is>
      </c>
      <c r="D323" t="inlineStr">
        <is>
          <t>87</t>
        </is>
      </c>
      <c r="E323" t="inlineStr">
        <is>
          <t>Overall Min. 87</t>
        </is>
      </c>
      <c r="F323" t="inlineStr">
        <is>
          <t>Make Your Idol - Intercept+ [SP 3] - EA SPORTS FC 26</t>
        </is>
      </c>
      <c r="G323" t="inlineStr">
        <is>
          <t>Reward</t>
        </is>
      </c>
      <c r="H323" t="inlineStr">
        <is>
          <t>Standard Season Pass</t>
        </is>
      </c>
      <c r="I323" t="inlineStr">
        <is>
          <t>https://www.fut.gg/evolutions/1795-make-your-idol-intercept-sp-3/</t>
        </is>
      </c>
    </row>
    <row r="324">
      <c r="A324" t="inlineStr">
        <is>
          <t>Max_PS_Plus</t>
        </is>
      </c>
      <c r="B324" t="inlineStr">
        <is>
          <t>Max_PS_Plus</t>
        </is>
      </c>
      <c r="C324" t="inlineStr">
        <is>
          <t>Max</t>
        </is>
      </c>
      <c r="D324" t="inlineStr">
        <is>
          <t>0</t>
        </is>
      </c>
      <c r="E324" t="inlineStr">
        <is>
          <t>Max PS+ 0</t>
        </is>
      </c>
      <c r="F324" t="inlineStr">
        <is>
          <t>Make Your Idol - Intercept+ [SP 3] - EA SPORTS FC 26</t>
        </is>
      </c>
      <c r="G324" t="inlineStr">
        <is>
          <t>Reward</t>
        </is>
      </c>
      <c r="H324" t="inlineStr">
        <is>
          <t>Standard Season Pass</t>
        </is>
      </c>
      <c r="I324" t="inlineStr">
        <is>
          <t>https://www.fut.gg/evolutions/1795-make-your-idol-intercept-sp-3/</t>
        </is>
      </c>
    </row>
    <row r="325">
      <c r="A325" t="inlineStr">
        <is>
          <t>Rarity</t>
        </is>
      </c>
      <c r="B325" t="inlineStr">
        <is>
          <t>Rarity</t>
        </is>
      </c>
      <c r="C325" t="inlineStr">
        <is>
          <t>Include</t>
        </is>
      </c>
      <c r="D325" t="inlineStr">
        <is>
          <t>Choose Your Idol</t>
        </is>
      </c>
      <c r="E325" t="inlineStr">
        <is>
          <t>Rarity Choose Your Idol</t>
        </is>
      </c>
      <c r="F325" t="inlineStr">
        <is>
          <t>Make Your Idol - Intercept+ [SP 3] - EA SPORTS FC 26</t>
        </is>
      </c>
      <c r="G325" t="inlineStr">
        <is>
          <t>Reward</t>
        </is>
      </c>
      <c r="H325" t="inlineStr">
        <is>
          <t>Standard Season Pass</t>
        </is>
      </c>
      <c r="I325" t="inlineStr">
        <is>
          <t>https://www.fut.gg/evolutions/1795-make-your-idol-intercept-sp-3/</t>
        </is>
      </c>
    </row>
    <row r="326">
      <c r="A326" t="inlineStr">
        <is>
          <t>OVR_Max</t>
        </is>
      </c>
      <c r="B326" t="inlineStr">
        <is>
          <t>OVR_Max</t>
        </is>
      </c>
      <c r="C326" t="inlineStr">
        <is>
          <t>Max</t>
        </is>
      </c>
      <c r="D326" t="inlineStr">
        <is>
          <t>89</t>
        </is>
      </c>
      <c r="E326" t="inlineStr">
        <is>
          <t>Overall Max. 89</t>
        </is>
      </c>
      <c r="F326" t="inlineStr">
        <is>
          <t>Make Your Idol - Finesse Shot+ [SP 7] - EA SPORTS FC 26</t>
        </is>
      </c>
      <c r="G326" t="inlineStr">
        <is>
          <t>Reward</t>
        </is>
      </c>
      <c r="H326" t="inlineStr">
        <is>
          <t>Standard Season Pass</t>
        </is>
      </c>
      <c r="I326" t="inlineStr">
        <is>
          <t>https://www.fut.gg/evolutions/1796-make-your-idol-finesse-shot-sp-7/</t>
        </is>
      </c>
    </row>
    <row r="327">
      <c r="A327" t="inlineStr">
        <is>
          <t>OVR_Min</t>
        </is>
      </c>
      <c r="B327" t="inlineStr">
        <is>
          <t>OVR_Min</t>
        </is>
      </c>
      <c r="C327" t="inlineStr">
        <is>
          <t>Value</t>
        </is>
      </c>
      <c r="D327" t="inlineStr">
        <is>
          <t>89</t>
        </is>
      </c>
      <c r="E327" t="inlineStr">
        <is>
          <t>Overall Min. 89</t>
        </is>
      </c>
      <c r="F327" t="inlineStr">
        <is>
          <t>Make Your Idol - Finesse Shot+ [SP 7] - EA SPORTS FC 26</t>
        </is>
      </c>
      <c r="G327" t="inlineStr">
        <is>
          <t>Reward</t>
        </is>
      </c>
      <c r="H327" t="inlineStr">
        <is>
          <t>Standard Season Pass</t>
        </is>
      </c>
      <c r="I327" t="inlineStr">
        <is>
          <t>https://www.fut.gg/evolutions/1796-make-your-idol-finesse-shot-sp-7/</t>
        </is>
      </c>
    </row>
    <row r="328">
      <c r="A328" t="inlineStr">
        <is>
          <t>Max_PS_Plus</t>
        </is>
      </c>
      <c r="B328" t="inlineStr">
        <is>
          <t>Max_PS_Plus</t>
        </is>
      </c>
      <c r="C328" t="inlineStr">
        <is>
          <t>Max</t>
        </is>
      </c>
      <c r="D328" t="inlineStr">
        <is>
          <t>2</t>
        </is>
      </c>
      <c r="E328" t="inlineStr">
        <is>
          <t>Max PS+ 2</t>
        </is>
      </c>
      <c r="F328" t="inlineStr">
        <is>
          <t>Make Your Idol - Finesse Shot+ [SP 7] - EA SPORTS FC 26</t>
        </is>
      </c>
      <c r="G328" t="inlineStr">
        <is>
          <t>Reward</t>
        </is>
      </c>
      <c r="H328" t="inlineStr">
        <is>
          <t>Standard Season Pass</t>
        </is>
      </c>
      <c r="I328" t="inlineStr">
        <is>
          <t>https://www.fut.gg/evolutions/1796-make-your-idol-finesse-shot-sp-7/</t>
        </is>
      </c>
    </row>
    <row r="329">
      <c r="A329" t="inlineStr">
        <is>
          <t>Rarity</t>
        </is>
      </c>
      <c r="B329" t="inlineStr">
        <is>
          <t>Rarity</t>
        </is>
      </c>
      <c r="C329" t="inlineStr">
        <is>
          <t>Include</t>
        </is>
      </c>
      <c r="D329" t="inlineStr">
        <is>
          <t>Choose Your Idol</t>
        </is>
      </c>
      <c r="E329" t="inlineStr">
        <is>
          <t>Rarity Choose Your Idol</t>
        </is>
      </c>
      <c r="F329" t="inlineStr">
        <is>
          <t>Make Your Idol - Finesse Shot+ [SP 7] - EA SPORTS FC 26</t>
        </is>
      </c>
      <c r="G329" t="inlineStr">
        <is>
          <t>Reward</t>
        </is>
      </c>
      <c r="H329" t="inlineStr">
        <is>
          <t>Standard Season Pass</t>
        </is>
      </c>
      <c r="I329" t="inlineStr">
        <is>
          <t>https://www.fut.gg/evolutions/1796-make-your-idol-finesse-shot-sp-7/</t>
        </is>
      </c>
    </row>
    <row r="330">
      <c r="A330" t="inlineStr">
        <is>
          <t>OVR_Max</t>
        </is>
      </c>
      <c r="B330" t="inlineStr">
        <is>
          <t>OVR_Max</t>
        </is>
      </c>
      <c r="C330" t="inlineStr">
        <is>
          <t>Max</t>
        </is>
      </c>
      <c r="D330" t="inlineStr">
        <is>
          <t>89</t>
        </is>
      </c>
      <c r="E330" t="inlineStr">
        <is>
          <t>Overall Max. 89</t>
        </is>
      </c>
      <c r="F330" t="inlineStr">
        <is>
          <t>Make Your Idol - First Touch+ [SP 7] - EA SPORTS FC 26</t>
        </is>
      </c>
      <c r="G330" t="inlineStr">
        <is>
          <t>Reward</t>
        </is>
      </c>
      <c r="H330" t="inlineStr">
        <is>
          <t>Standard Season Pass</t>
        </is>
      </c>
      <c r="I330" t="inlineStr">
        <is>
          <t>https://www.fut.gg/evolutions/1797-make-your-idol-first-touch-sp-7/</t>
        </is>
      </c>
    </row>
    <row r="331">
      <c r="A331" t="inlineStr">
        <is>
          <t>OVR_Min</t>
        </is>
      </c>
      <c r="B331" t="inlineStr">
        <is>
          <t>OVR_Min</t>
        </is>
      </c>
      <c r="C331" t="inlineStr">
        <is>
          <t>Value</t>
        </is>
      </c>
      <c r="D331" t="inlineStr">
        <is>
          <t>89</t>
        </is>
      </c>
      <c r="E331" t="inlineStr">
        <is>
          <t>Overall Min. 89</t>
        </is>
      </c>
      <c r="F331" t="inlineStr">
        <is>
          <t>Make Your Idol - First Touch+ [SP 7] - EA SPORTS FC 26</t>
        </is>
      </c>
      <c r="G331" t="inlineStr">
        <is>
          <t>Reward</t>
        </is>
      </c>
      <c r="H331" t="inlineStr">
        <is>
          <t>Standard Season Pass</t>
        </is>
      </c>
      <c r="I331" t="inlineStr">
        <is>
          <t>https://www.fut.gg/evolutions/1797-make-your-idol-first-touch-sp-7/</t>
        </is>
      </c>
    </row>
    <row r="332">
      <c r="A332" t="inlineStr">
        <is>
          <t>Max_PS_Plus</t>
        </is>
      </c>
      <c r="B332" t="inlineStr">
        <is>
          <t>Max_PS_Plus</t>
        </is>
      </c>
      <c r="C332" t="inlineStr">
        <is>
          <t>Max</t>
        </is>
      </c>
      <c r="D332" t="inlineStr">
        <is>
          <t>2</t>
        </is>
      </c>
      <c r="E332" t="inlineStr">
        <is>
          <t>Max PS+ 2</t>
        </is>
      </c>
      <c r="F332" t="inlineStr">
        <is>
          <t>Make Your Idol - First Touch+ [SP 7] - EA SPORTS FC 26</t>
        </is>
      </c>
      <c r="G332" t="inlineStr">
        <is>
          <t>Reward</t>
        </is>
      </c>
      <c r="H332" t="inlineStr">
        <is>
          <t>Standard Season Pass</t>
        </is>
      </c>
      <c r="I332" t="inlineStr">
        <is>
          <t>https://www.fut.gg/evolutions/1797-make-your-idol-first-touch-sp-7/</t>
        </is>
      </c>
    </row>
    <row r="333">
      <c r="A333" t="inlineStr">
        <is>
          <t>Rarity</t>
        </is>
      </c>
      <c r="B333" t="inlineStr">
        <is>
          <t>Rarity</t>
        </is>
      </c>
      <c r="C333" t="inlineStr">
        <is>
          <t>Include</t>
        </is>
      </c>
      <c r="D333" t="inlineStr">
        <is>
          <t>Choose Your Idol</t>
        </is>
      </c>
      <c r="E333" t="inlineStr">
        <is>
          <t>Rarity Choose Your Idol</t>
        </is>
      </c>
      <c r="F333" t="inlineStr">
        <is>
          <t>Make Your Idol - First Touch+ [SP 7] - EA SPORTS FC 26</t>
        </is>
      </c>
      <c r="G333" t="inlineStr">
        <is>
          <t>Reward</t>
        </is>
      </c>
      <c r="H333" t="inlineStr">
        <is>
          <t>Standard Season Pass</t>
        </is>
      </c>
      <c r="I333" t="inlineStr">
        <is>
          <t>https://www.fut.gg/evolutions/1797-make-your-idol-first-touch-sp-7/</t>
        </is>
      </c>
    </row>
    <row r="334">
      <c r="A334" t="inlineStr">
        <is>
          <t>OVR_Max</t>
        </is>
      </c>
      <c r="B334" t="inlineStr">
        <is>
          <t>OVR_Max</t>
        </is>
      </c>
      <c r="C334" t="inlineStr">
        <is>
          <t>Max</t>
        </is>
      </c>
      <c r="D334" t="inlineStr">
        <is>
          <t>89</t>
        </is>
      </c>
      <c r="E334" t="inlineStr">
        <is>
          <t>Overall Max. 89</t>
        </is>
      </c>
      <c r="F334" t="inlineStr">
        <is>
          <t>Make Your Idol - Pinged Pass+ [SP 7] - EA SPORTS FC 26</t>
        </is>
      </c>
      <c r="G334" t="inlineStr">
        <is>
          <t>Reward</t>
        </is>
      </c>
      <c r="H334" t="inlineStr">
        <is>
          <t>Standard Season Pass</t>
        </is>
      </c>
      <c r="I334" t="inlineStr">
        <is>
          <t>https://www.fut.gg/evolutions/1798-make-your-idol-pinged-pass-sp-7/</t>
        </is>
      </c>
    </row>
    <row r="335">
      <c r="A335" t="inlineStr">
        <is>
          <t>OVR_Min</t>
        </is>
      </c>
      <c r="B335" t="inlineStr">
        <is>
          <t>OVR_Min</t>
        </is>
      </c>
      <c r="C335" t="inlineStr">
        <is>
          <t>Value</t>
        </is>
      </c>
      <c r="D335" t="inlineStr">
        <is>
          <t>89</t>
        </is>
      </c>
      <c r="E335" t="inlineStr">
        <is>
          <t>Overall Min. 89</t>
        </is>
      </c>
      <c r="F335" t="inlineStr">
        <is>
          <t>Make Your Idol - Pinged Pass+ [SP 7] - EA SPORTS FC 26</t>
        </is>
      </c>
      <c r="G335" t="inlineStr">
        <is>
          <t>Reward</t>
        </is>
      </c>
      <c r="H335" t="inlineStr">
        <is>
          <t>Standard Season Pass</t>
        </is>
      </c>
      <c r="I335" t="inlineStr">
        <is>
          <t>https://www.fut.gg/evolutions/1798-make-your-idol-pinged-pass-sp-7/</t>
        </is>
      </c>
    </row>
    <row r="336">
      <c r="A336" t="inlineStr">
        <is>
          <t>Max_PS_Plus</t>
        </is>
      </c>
      <c r="B336" t="inlineStr">
        <is>
          <t>Max_PS_Plus</t>
        </is>
      </c>
      <c r="C336" t="inlineStr">
        <is>
          <t>Max</t>
        </is>
      </c>
      <c r="D336" t="inlineStr">
        <is>
          <t>2</t>
        </is>
      </c>
      <c r="E336" t="inlineStr">
        <is>
          <t>Max PS+ 2</t>
        </is>
      </c>
      <c r="F336" t="inlineStr">
        <is>
          <t>Make Your Idol - Pinged Pass+ [SP 7] - EA SPORTS FC 26</t>
        </is>
      </c>
      <c r="G336" t="inlineStr">
        <is>
          <t>Reward</t>
        </is>
      </c>
      <c r="H336" t="inlineStr">
        <is>
          <t>Standard Season Pass</t>
        </is>
      </c>
      <c r="I336" t="inlineStr">
        <is>
          <t>https://www.fut.gg/evolutions/1798-make-your-idol-pinged-pass-sp-7/</t>
        </is>
      </c>
    </row>
    <row r="337">
      <c r="A337" t="inlineStr">
        <is>
          <t>Rarity</t>
        </is>
      </c>
      <c r="B337" t="inlineStr">
        <is>
          <t>Rarity</t>
        </is>
      </c>
      <c r="C337" t="inlineStr">
        <is>
          <t>Include</t>
        </is>
      </c>
      <c r="D337" t="inlineStr">
        <is>
          <t>Choose Your Idol</t>
        </is>
      </c>
      <c r="E337" t="inlineStr">
        <is>
          <t>Rarity Choose Your Idol</t>
        </is>
      </c>
      <c r="F337" t="inlineStr">
        <is>
          <t>Make Your Idol - Pinged Pass+ [SP 7] - EA SPORTS FC 26</t>
        </is>
      </c>
      <c r="G337" t="inlineStr">
        <is>
          <t>Reward</t>
        </is>
      </c>
      <c r="H337" t="inlineStr">
        <is>
          <t>Standard Season Pass</t>
        </is>
      </c>
      <c r="I337" t="inlineStr">
        <is>
          <t>https://www.fut.gg/evolutions/1798-make-your-idol-pinged-pass-sp-7/</t>
        </is>
      </c>
    </row>
    <row r="338">
      <c r="A338" t="inlineStr">
        <is>
          <t>OVR_Max</t>
        </is>
      </c>
      <c r="B338" t="inlineStr">
        <is>
          <t>OVR_Max</t>
        </is>
      </c>
      <c r="C338" t="inlineStr">
        <is>
          <t>Max</t>
        </is>
      </c>
      <c r="D338" t="inlineStr">
        <is>
          <t>89</t>
        </is>
      </c>
      <c r="E338" t="inlineStr">
        <is>
          <t>Overall Max. 89</t>
        </is>
      </c>
      <c r="F338" t="inlineStr">
        <is>
          <t>Make Your Idol - Rapid+ [SP 7] - EA SPORTS FC 26</t>
        </is>
      </c>
      <c r="G338" t="inlineStr">
        <is>
          <t>Reward</t>
        </is>
      </c>
      <c r="H338" t="inlineStr">
        <is>
          <t>Standard Season Pass</t>
        </is>
      </c>
      <c r="I338" t="inlineStr">
        <is>
          <t>https://www.fut.gg/evolutions/1799-make-your-idol-rapid-sp-7/</t>
        </is>
      </c>
    </row>
    <row r="339">
      <c r="A339" t="inlineStr">
        <is>
          <t>OVR_Min</t>
        </is>
      </c>
      <c r="B339" t="inlineStr">
        <is>
          <t>OVR_Min</t>
        </is>
      </c>
      <c r="C339" t="inlineStr">
        <is>
          <t>Value</t>
        </is>
      </c>
      <c r="D339" t="inlineStr">
        <is>
          <t>89</t>
        </is>
      </c>
      <c r="E339" t="inlineStr">
        <is>
          <t>Overall Min. 89</t>
        </is>
      </c>
      <c r="F339" t="inlineStr">
        <is>
          <t>Make Your Idol - Rapid+ [SP 7] - EA SPORTS FC 26</t>
        </is>
      </c>
      <c r="G339" t="inlineStr">
        <is>
          <t>Reward</t>
        </is>
      </c>
      <c r="H339" t="inlineStr">
        <is>
          <t>Standard Season Pass</t>
        </is>
      </c>
      <c r="I339" t="inlineStr">
        <is>
          <t>https://www.fut.gg/evolutions/1799-make-your-idol-rapid-sp-7/</t>
        </is>
      </c>
    </row>
    <row r="340">
      <c r="A340" t="inlineStr">
        <is>
          <t>Max_PS_Plus</t>
        </is>
      </c>
      <c r="B340" t="inlineStr">
        <is>
          <t>Max_PS_Plus</t>
        </is>
      </c>
      <c r="C340" t="inlineStr">
        <is>
          <t>Max</t>
        </is>
      </c>
      <c r="D340" t="inlineStr">
        <is>
          <t>2</t>
        </is>
      </c>
      <c r="E340" t="inlineStr">
        <is>
          <t>Max PS+ 2</t>
        </is>
      </c>
      <c r="F340" t="inlineStr">
        <is>
          <t>Make Your Idol - Rapid+ [SP 7] - EA SPORTS FC 26</t>
        </is>
      </c>
      <c r="G340" t="inlineStr">
        <is>
          <t>Reward</t>
        </is>
      </c>
      <c r="H340" t="inlineStr">
        <is>
          <t>Standard Season Pass</t>
        </is>
      </c>
      <c r="I340" t="inlineStr">
        <is>
          <t>https://www.fut.gg/evolutions/1799-make-your-idol-rapid-sp-7/</t>
        </is>
      </c>
    </row>
    <row r="341">
      <c r="A341" t="inlineStr">
        <is>
          <t>Rarity</t>
        </is>
      </c>
      <c r="B341" t="inlineStr">
        <is>
          <t>Rarity</t>
        </is>
      </c>
      <c r="C341" t="inlineStr">
        <is>
          <t>Include</t>
        </is>
      </c>
      <c r="D341" t="inlineStr">
        <is>
          <t>Choose Your Idol</t>
        </is>
      </c>
      <c r="E341" t="inlineStr">
        <is>
          <t>Rarity Choose Your Idol</t>
        </is>
      </c>
      <c r="F341" t="inlineStr">
        <is>
          <t>Make Your Idol - Rapid+ [SP 7] - EA SPORTS FC 26</t>
        </is>
      </c>
      <c r="G341" t="inlineStr">
        <is>
          <t>Reward</t>
        </is>
      </c>
      <c r="H341" t="inlineStr">
        <is>
          <t>Standard Season Pass</t>
        </is>
      </c>
      <c r="I341" t="inlineStr">
        <is>
          <t>https://www.fut.gg/evolutions/1799-make-your-idol-rapid-sp-7/</t>
        </is>
      </c>
    </row>
    <row r="342">
      <c r="A342" t="inlineStr">
        <is>
          <t>OVR_Max</t>
        </is>
      </c>
      <c r="B342" t="inlineStr">
        <is>
          <t>OVR_Max</t>
        </is>
      </c>
      <c r="C342" t="inlineStr">
        <is>
          <t>Max</t>
        </is>
      </c>
      <c r="D342" t="inlineStr">
        <is>
          <t>89</t>
        </is>
      </c>
      <c r="E342" t="inlineStr">
        <is>
          <t>Overall Max. 89</t>
        </is>
      </c>
      <c r="F342" t="inlineStr">
        <is>
          <t>Make Your Idol - Quick Step+ [SP 7] - EA SPORTS FC 26</t>
        </is>
      </c>
      <c r="G342" t="inlineStr">
        <is>
          <t>Reward</t>
        </is>
      </c>
      <c r="H342" t="inlineStr">
        <is>
          <t>Standard Season Pass</t>
        </is>
      </c>
      <c r="I342" t="inlineStr">
        <is>
          <t>https://www.fut.gg/evolutions/1800-make-your-idol-quick-step-sp-7/</t>
        </is>
      </c>
    </row>
    <row r="343">
      <c r="A343" t="inlineStr">
        <is>
          <t>OVR_Min</t>
        </is>
      </c>
      <c r="B343" t="inlineStr">
        <is>
          <t>OVR_Min</t>
        </is>
      </c>
      <c r="C343" t="inlineStr">
        <is>
          <t>Value</t>
        </is>
      </c>
      <c r="D343" t="inlineStr">
        <is>
          <t>89</t>
        </is>
      </c>
      <c r="E343" t="inlineStr">
        <is>
          <t>Overall Min. 89</t>
        </is>
      </c>
      <c r="F343" t="inlineStr">
        <is>
          <t>Make Your Idol - Quick Step+ [SP 7] - EA SPORTS FC 26</t>
        </is>
      </c>
      <c r="G343" t="inlineStr">
        <is>
          <t>Reward</t>
        </is>
      </c>
      <c r="H343" t="inlineStr">
        <is>
          <t>Standard Season Pass</t>
        </is>
      </c>
      <c r="I343" t="inlineStr">
        <is>
          <t>https://www.fut.gg/evolutions/1800-make-your-idol-quick-step-sp-7/</t>
        </is>
      </c>
    </row>
    <row r="344">
      <c r="A344" t="inlineStr">
        <is>
          <t>Max_PS_Plus</t>
        </is>
      </c>
      <c r="B344" t="inlineStr">
        <is>
          <t>Max_PS_Plus</t>
        </is>
      </c>
      <c r="C344" t="inlineStr">
        <is>
          <t>Max</t>
        </is>
      </c>
      <c r="D344" t="inlineStr">
        <is>
          <t>2</t>
        </is>
      </c>
      <c r="E344" t="inlineStr">
        <is>
          <t>Max PS+ 2</t>
        </is>
      </c>
      <c r="F344" t="inlineStr">
        <is>
          <t>Make Your Idol - Quick Step+ [SP 7] - EA SPORTS FC 26</t>
        </is>
      </c>
      <c r="G344" t="inlineStr">
        <is>
          <t>Reward</t>
        </is>
      </c>
      <c r="H344" t="inlineStr">
        <is>
          <t>Standard Season Pass</t>
        </is>
      </c>
      <c r="I344" t="inlineStr">
        <is>
          <t>https://www.fut.gg/evolutions/1800-make-your-idol-quick-step-sp-7/</t>
        </is>
      </c>
    </row>
    <row r="345">
      <c r="A345" t="inlineStr">
        <is>
          <t>Rarity</t>
        </is>
      </c>
      <c r="B345" t="inlineStr">
        <is>
          <t>Rarity</t>
        </is>
      </c>
      <c r="C345" t="inlineStr">
        <is>
          <t>Include</t>
        </is>
      </c>
      <c r="D345" t="inlineStr">
        <is>
          <t>Choose Your Idol</t>
        </is>
      </c>
      <c r="E345" t="inlineStr">
        <is>
          <t>Rarity Choose Your Idol</t>
        </is>
      </c>
      <c r="F345" t="inlineStr">
        <is>
          <t>Make Your Idol - Quick Step+ [SP 7] - EA SPORTS FC 26</t>
        </is>
      </c>
      <c r="G345" t="inlineStr">
        <is>
          <t>Reward</t>
        </is>
      </c>
      <c r="H345" t="inlineStr">
        <is>
          <t>Standard Season Pass</t>
        </is>
      </c>
      <c r="I345" t="inlineStr">
        <is>
          <t>https://www.fut.gg/evolutions/1800-make-your-idol-quick-step-sp-7/</t>
        </is>
      </c>
    </row>
    <row r="346">
      <c r="A346" t="inlineStr">
        <is>
          <t>OVR_Max</t>
        </is>
      </c>
      <c r="B346" t="inlineStr">
        <is>
          <t>OVR_Max</t>
        </is>
      </c>
      <c r="C346" t="inlineStr">
        <is>
          <t>Max</t>
        </is>
      </c>
      <c r="D346" t="inlineStr">
        <is>
          <t>89</t>
        </is>
      </c>
      <c r="E346" t="inlineStr">
        <is>
          <t>Overall Max. 89</t>
        </is>
      </c>
      <c r="F346" t="inlineStr">
        <is>
          <t>Make Your Idol - Anticipate+ [SP 7] - EA SPORTS FC 26</t>
        </is>
      </c>
      <c r="G346" t="inlineStr">
        <is>
          <t>Reward</t>
        </is>
      </c>
      <c r="H346" t="inlineStr">
        <is>
          <t>Standard Season Pass</t>
        </is>
      </c>
      <c r="I346" t="inlineStr">
        <is>
          <t>https://www.fut.gg/evolutions/1801-make-your-idol-anticipate-sp-7/</t>
        </is>
      </c>
    </row>
    <row r="347">
      <c r="A347" t="inlineStr">
        <is>
          <t>OVR_Min</t>
        </is>
      </c>
      <c r="B347" t="inlineStr">
        <is>
          <t>OVR_Min</t>
        </is>
      </c>
      <c r="C347" t="inlineStr">
        <is>
          <t>Value</t>
        </is>
      </c>
      <c r="D347" t="inlineStr">
        <is>
          <t>89</t>
        </is>
      </c>
      <c r="E347" t="inlineStr">
        <is>
          <t>Overall Min. 89</t>
        </is>
      </c>
      <c r="F347" t="inlineStr">
        <is>
          <t>Make Your Idol - Anticipate+ [SP 7] - EA SPORTS FC 26</t>
        </is>
      </c>
      <c r="G347" t="inlineStr">
        <is>
          <t>Reward</t>
        </is>
      </c>
      <c r="H347" t="inlineStr">
        <is>
          <t>Standard Season Pass</t>
        </is>
      </c>
      <c r="I347" t="inlineStr">
        <is>
          <t>https://www.fut.gg/evolutions/1801-make-your-idol-anticipate-sp-7/</t>
        </is>
      </c>
    </row>
    <row r="348">
      <c r="A348" t="inlineStr">
        <is>
          <t>Max_PS_Plus</t>
        </is>
      </c>
      <c r="B348" t="inlineStr">
        <is>
          <t>Max_PS_Plus</t>
        </is>
      </c>
      <c r="C348" t="inlineStr">
        <is>
          <t>Max</t>
        </is>
      </c>
      <c r="D348" t="inlineStr">
        <is>
          <t>2</t>
        </is>
      </c>
      <c r="E348" t="inlineStr">
        <is>
          <t>Max PS+ 2</t>
        </is>
      </c>
      <c r="F348" t="inlineStr">
        <is>
          <t>Make Your Idol - Anticipate+ [SP 7] - EA SPORTS FC 26</t>
        </is>
      </c>
      <c r="G348" t="inlineStr">
        <is>
          <t>Reward</t>
        </is>
      </c>
      <c r="H348" t="inlineStr">
        <is>
          <t>Standard Season Pass</t>
        </is>
      </c>
      <c r="I348" t="inlineStr">
        <is>
          <t>https://www.fut.gg/evolutions/1801-make-your-idol-anticipate-sp-7/</t>
        </is>
      </c>
    </row>
    <row r="349">
      <c r="A349" t="inlineStr">
        <is>
          <t>Rarity</t>
        </is>
      </c>
      <c r="B349" t="inlineStr">
        <is>
          <t>Rarity</t>
        </is>
      </c>
      <c r="C349" t="inlineStr">
        <is>
          <t>Include</t>
        </is>
      </c>
      <c r="D349" t="inlineStr">
        <is>
          <t>Choose Your Idol</t>
        </is>
      </c>
      <c r="E349" t="inlineStr">
        <is>
          <t>Rarity Choose Your Idol</t>
        </is>
      </c>
      <c r="F349" t="inlineStr">
        <is>
          <t>Make Your Idol - Anticipate+ [SP 7] - EA SPORTS FC 26</t>
        </is>
      </c>
      <c r="G349" t="inlineStr">
        <is>
          <t>Reward</t>
        </is>
      </c>
      <c r="H349" t="inlineStr">
        <is>
          <t>Standard Season Pass</t>
        </is>
      </c>
      <c r="I349" t="inlineStr">
        <is>
          <t>https://www.fut.gg/evolutions/1801-make-your-idol-anticipate-sp-7/</t>
        </is>
      </c>
    </row>
    <row r="350">
      <c r="A350" t="inlineStr">
        <is>
          <t>OVR_Max</t>
        </is>
      </c>
      <c r="B350" t="inlineStr">
        <is>
          <t>OVR_Max</t>
        </is>
      </c>
      <c r="C350" t="inlineStr">
        <is>
          <t>Max</t>
        </is>
      </c>
      <c r="D350" t="inlineStr">
        <is>
          <t>85</t>
        </is>
      </c>
      <c r="E350" t="inlineStr">
        <is>
          <t>Overall Max. 85</t>
        </is>
      </c>
      <c r="F350" t="inlineStr">
        <is>
          <t>Make Your Idol - Attacker 1 [SP 3] - EA SPORTS FC 26</t>
        </is>
      </c>
      <c r="G350" t="inlineStr">
        <is>
          <t>Reward</t>
        </is>
      </c>
      <c r="H350" t="inlineStr">
        <is>
          <t>Standard Season Pass</t>
        </is>
      </c>
      <c r="I350" t="inlineStr">
        <is>
          <t>https://www.fut.gg/evolutions/1788-make-your-idol-attacker-1-sp-3/</t>
        </is>
      </c>
    </row>
    <row r="351">
      <c r="A351" t="inlineStr">
        <is>
          <t>OVR_Min</t>
        </is>
      </c>
      <c r="B351" t="inlineStr">
        <is>
          <t>OVR_Min</t>
        </is>
      </c>
      <c r="C351" t="inlineStr">
        <is>
          <t>Value</t>
        </is>
      </c>
      <c r="D351" t="inlineStr">
        <is>
          <t>85</t>
        </is>
      </c>
      <c r="E351" t="inlineStr">
        <is>
          <t>Overall Min. 85</t>
        </is>
      </c>
      <c r="F351" t="inlineStr">
        <is>
          <t>Make Your Idol - Attacker 1 [SP 3] - EA SPORTS FC 26</t>
        </is>
      </c>
      <c r="G351" t="inlineStr">
        <is>
          <t>Reward</t>
        </is>
      </c>
      <c r="H351" t="inlineStr">
        <is>
          <t>Standard Season Pass</t>
        </is>
      </c>
      <c r="I351" t="inlineStr">
        <is>
          <t>https://www.fut.gg/evolutions/1788-make-your-idol-attacker-1-sp-3/</t>
        </is>
      </c>
    </row>
    <row r="352">
      <c r="A352" t="inlineStr">
        <is>
          <t>Max_PS</t>
        </is>
      </c>
      <c r="B352" t="inlineStr">
        <is>
          <t>Max_PS</t>
        </is>
      </c>
      <c r="C352" t="inlineStr">
        <is>
          <t>Max</t>
        </is>
      </c>
      <c r="D352" t="inlineStr">
        <is>
          <t>10</t>
        </is>
      </c>
      <c r="E352" t="inlineStr">
        <is>
          <t>Max PS 10</t>
        </is>
      </c>
      <c r="F352" t="inlineStr">
        <is>
          <t>Make Your Idol - Attacker 1 [SP 3] - EA SPORTS FC 26</t>
        </is>
      </c>
      <c r="G352" t="inlineStr">
        <is>
          <t>Reward</t>
        </is>
      </c>
      <c r="H352" t="inlineStr">
        <is>
          <t>Standard Season Pass</t>
        </is>
      </c>
      <c r="I352" t="inlineStr">
        <is>
          <t>https://www.fut.gg/evolutions/1788-make-your-idol-attacker-1-sp-3/</t>
        </is>
      </c>
    </row>
    <row r="353">
      <c r="A353" t="inlineStr">
        <is>
          <t>Rarity</t>
        </is>
      </c>
      <c r="B353" t="inlineStr">
        <is>
          <t>Rarity</t>
        </is>
      </c>
      <c r="C353" t="inlineStr">
        <is>
          <t>Include</t>
        </is>
      </c>
      <c r="D353" t="inlineStr">
        <is>
          <t>Choose Your Idol</t>
        </is>
      </c>
      <c r="E353" t="inlineStr">
        <is>
          <t>Rarity Choose Your Idol</t>
        </is>
      </c>
      <c r="F353" t="inlineStr">
        <is>
          <t>Make Your Idol - Attacker 1 [SP 3] - EA SPORTS FC 26</t>
        </is>
      </c>
      <c r="G353" t="inlineStr">
        <is>
          <t>Reward</t>
        </is>
      </c>
      <c r="H353" t="inlineStr">
        <is>
          <t>Standard Season Pass</t>
        </is>
      </c>
      <c r="I353" t="inlineStr">
        <is>
          <t>https://www.fut.gg/evolutions/1788-make-your-idol-attacker-1-sp-3/</t>
        </is>
      </c>
    </row>
    <row r="354">
      <c r="A354" t="inlineStr">
        <is>
          <t>OVR_Max</t>
        </is>
      </c>
      <c r="B354" t="inlineStr">
        <is>
          <t>OVR_Max</t>
        </is>
      </c>
      <c r="C354" t="inlineStr">
        <is>
          <t>Max</t>
        </is>
      </c>
      <c r="D354" t="inlineStr">
        <is>
          <t>85</t>
        </is>
      </c>
      <c r="E354" t="inlineStr">
        <is>
          <t>Overall Max. 85</t>
        </is>
      </c>
      <c r="F354" t="inlineStr">
        <is>
          <t>Make Your Idol - Midfielder 1 [SP 3] - EA SPORTS FC 26</t>
        </is>
      </c>
      <c r="G354" t="inlineStr">
        <is>
          <t>Reward</t>
        </is>
      </c>
      <c r="H354" t="inlineStr">
        <is>
          <t>Standard Season Pass</t>
        </is>
      </c>
      <c r="I354" t="inlineStr">
        <is>
          <t>https://www.fut.gg/evolutions/1787-make-your-idol-midfielder-1-sp-3/</t>
        </is>
      </c>
    </row>
    <row r="355">
      <c r="A355" t="inlineStr">
        <is>
          <t>OVR_Min</t>
        </is>
      </c>
      <c r="B355" t="inlineStr">
        <is>
          <t>OVR_Min</t>
        </is>
      </c>
      <c r="C355" t="inlineStr">
        <is>
          <t>Value</t>
        </is>
      </c>
      <c r="D355" t="inlineStr">
        <is>
          <t>85</t>
        </is>
      </c>
      <c r="E355" t="inlineStr">
        <is>
          <t>Overall Min. 85</t>
        </is>
      </c>
      <c r="F355" t="inlineStr">
        <is>
          <t>Make Your Idol - Midfielder 1 [SP 3] - EA SPORTS FC 26</t>
        </is>
      </c>
      <c r="G355" t="inlineStr">
        <is>
          <t>Reward</t>
        </is>
      </c>
      <c r="H355" t="inlineStr">
        <is>
          <t>Standard Season Pass</t>
        </is>
      </c>
      <c r="I355" t="inlineStr">
        <is>
          <t>https://www.fut.gg/evolutions/1787-make-your-idol-midfielder-1-sp-3/</t>
        </is>
      </c>
    </row>
    <row r="356">
      <c r="A356" t="inlineStr">
        <is>
          <t>Max_PS</t>
        </is>
      </c>
      <c r="B356" t="inlineStr">
        <is>
          <t>Max_PS</t>
        </is>
      </c>
      <c r="C356" t="inlineStr">
        <is>
          <t>Max</t>
        </is>
      </c>
      <c r="D356" t="inlineStr">
        <is>
          <t>10</t>
        </is>
      </c>
      <c r="E356" t="inlineStr">
        <is>
          <t>Max PS 10</t>
        </is>
      </c>
      <c r="F356" t="inlineStr">
        <is>
          <t>Make Your Idol - Midfielder 1 [SP 3] - EA SPORTS FC 26</t>
        </is>
      </c>
      <c r="G356" t="inlineStr">
        <is>
          <t>Reward</t>
        </is>
      </c>
      <c r="H356" t="inlineStr">
        <is>
          <t>Standard Season Pass</t>
        </is>
      </c>
      <c r="I356" t="inlineStr">
        <is>
          <t>https://www.fut.gg/evolutions/1787-make-your-idol-midfielder-1-sp-3/</t>
        </is>
      </c>
    </row>
    <row r="357">
      <c r="A357" t="inlineStr">
        <is>
          <t>Rarity</t>
        </is>
      </c>
      <c r="B357" t="inlineStr">
        <is>
          <t>Rarity</t>
        </is>
      </c>
      <c r="C357" t="inlineStr">
        <is>
          <t>Include</t>
        </is>
      </c>
      <c r="D357" t="inlineStr">
        <is>
          <t>Choose Your Idol</t>
        </is>
      </c>
      <c r="E357" t="inlineStr">
        <is>
          <t>Rarity Choose Your Idol</t>
        </is>
      </c>
      <c r="F357" t="inlineStr">
        <is>
          <t>Make Your Idol - Midfielder 1 [SP 3] - EA SPORTS FC 26</t>
        </is>
      </c>
      <c r="G357" t="inlineStr">
        <is>
          <t>Reward</t>
        </is>
      </c>
      <c r="H357" t="inlineStr">
        <is>
          <t>Standard Season Pass</t>
        </is>
      </c>
      <c r="I357" t="inlineStr">
        <is>
          <t>https://www.fut.gg/evolutions/1787-make-your-idol-midfielder-1-sp-3/</t>
        </is>
      </c>
    </row>
    <row r="358">
      <c r="A358" t="inlineStr">
        <is>
          <t>OVR_Max</t>
        </is>
      </c>
      <c r="B358" t="inlineStr">
        <is>
          <t>OVR_Max</t>
        </is>
      </c>
      <c r="C358" t="inlineStr">
        <is>
          <t>Max</t>
        </is>
      </c>
      <c r="D358" t="inlineStr">
        <is>
          <t>85</t>
        </is>
      </c>
      <c r="E358" t="inlineStr">
        <is>
          <t>Overall Max. 85</t>
        </is>
      </c>
      <c r="F358" t="inlineStr">
        <is>
          <t>Make Your Idol - Defender 1 [SP 3] - EA SPORTS FC 26</t>
        </is>
      </c>
      <c r="G358" t="inlineStr">
        <is>
          <t>Reward</t>
        </is>
      </c>
      <c r="H358" t="inlineStr">
        <is>
          <t>Standard Season Pass</t>
        </is>
      </c>
      <c r="I358" t="inlineStr">
        <is>
          <t>https://www.fut.gg/evolutions/1786-make-your-idol-defender-1-sp-3/</t>
        </is>
      </c>
    </row>
    <row r="359">
      <c r="A359" t="inlineStr">
        <is>
          <t>OVR_Min</t>
        </is>
      </c>
      <c r="B359" t="inlineStr">
        <is>
          <t>OVR_Min</t>
        </is>
      </c>
      <c r="C359" t="inlineStr">
        <is>
          <t>Value</t>
        </is>
      </c>
      <c r="D359" t="inlineStr">
        <is>
          <t>85</t>
        </is>
      </c>
      <c r="E359" t="inlineStr">
        <is>
          <t>Overall Min. 85</t>
        </is>
      </c>
      <c r="F359" t="inlineStr">
        <is>
          <t>Make Your Idol - Defender 1 [SP 3] - EA SPORTS FC 26</t>
        </is>
      </c>
      <c r="G359" t="inlineStr">
        <is>
          <t>Reward</t>
        </is>
      </c>
      <c r="H359" t="inlineStr">
        <is>
          <t>Standard Season Pass</t>
        </is>
      </c>
      <c r="I359" t="inlineStr">
        <is>
          <t>https://www.fut.gg/evolutions/1786-make-your-idol-defender-1-sp-3/</t>
        </is>
      </c>
    </row>
    <row r="360">
      <c r="A360" t="inlineStr">
        <is>
          <t>Max_PS</t>
        </is>
      </c>
      <c r="B360" t="inlineStr">
        <is>
          <t>Max_PS</t>
        </is>
      </c>
      <c r="C360" t="inlineStr">
        <is>
          <t>Max</t>
        </is>
      </c>
      <c r="D360" t="inlineStr">
        <is>
          <t>10</t>
        </is>
      </c>
      <c r="E360" t="inlineStr">
        <is>
          <t>Max PS 10</t>
        </is>
      </c>
      <c r="F360" t="inlineStr">
        <is>
          <t>Make Your Idol - Defender 1 [SP 3] - EA SPORTS FC 26</t>
        </is>
      </c>
      <c r="G360" t="inlineStr">
        <is>
          <t>Reward</t>
        </is>
      </c>
      <c r="H360" t="inlineStr">
        <is>
          <t>Standard Season Pass</t>
        </is>
      </c>
      <c r="I360" t="inlineStr">
        <is>
          <t>https://www.fut.gg/evolutions/1786-make-your-idol-defender-1-sp-3/</t>
        </is>
      </c>
    </row>
    <row r="361">
      <c r="A361" t="inlineStr">
        <is>
          <t>Rarity</t>
        </is>
      </c>
      <c r="B361" t="inlineStr">
        <is>
          <t>Rarity</t>
        </is>
      </c>
      <c r="C361" t="inlineStr">
        <is>
          <t>Include</t>
        </is>
      </c>
      <c r="D361" t="inlineStr">
        <is>
          <t>Choose Your Idol</t>
        </is>
      </c>
      <c r="E361" t="inlineStr">
        <is>
          <t>Rarity Choose Your Idol</t>
        </is>
      </c>
      <c r="F361" t="inlineStr">
        <is>
          <t>Make Your Idol - Defender 1 [SP 3] - EA SPORTS FC 26</t>
        </is>
      </c>
      <c r="G361" t="inlineStr">
        <is>
          <t>Reward</t>
        </is>
      </c>
      <c r="H361" t="inlineStr">
        <is>
          <t>Standard Season Pass</t>
        </is>
      </c>
      <c r="I361" t="inlineStr">
        <is>
          <t>https://www.fut.gg/evolutions/1786-make-your-idol-defender-1-sp-3/</t>
        </is>
      </c>
    </row>
    <row r="362">
      <c r="A362" t="inlineStr">
        <is>
          <t>OVR_Max</t>
        </is>
      </c>
      <c r="B362" t="inlineStr">
        <is>
          <t>OVR_Max</t>
        </is>
      </c>
      <c r="C362" t="inlineStr">
        <is>
          <t>Max</t>
        </is>
      </c>
      <c r="D362" t="inlineStr">
        <is>
          <t>85</t>
        </is>
      </c>
      <c r="E362" t="inlineStr">
        <is>
          <t>Overall Max. 85</t>
        </is>
      </c>
      <c r="F362" t="inlineStr">
        <is>
          <t>Make Your Idol - Starter [SP 1] - EA SPORTS FC 26</t>
        </is>
      </c>
      <c r="G362" t="inlineStr">
        <is>
          <t>Reward</t>
        </is>
      </c>
      <c r="H362" t="inlineStr">
        <is>
          <t>Standard Season Pass</t>
        </is>
      </c>
      <c r="I362" t="inlineStr">
        <is>
          <t>https://www.fut.gg/evolutions/1785-make-your-idol-starter-sp-1/</t>
        </is>
      </c>
    </row>
    <row r="363">
      <c r="A363" t="inlineStr">
        <is>
          <t>Excluded_Rarity</t>
        </is>
      </c>
      <c r="B363" t="inlineStr">
        <is>
          <t>Excluded Rarity</t>
        </is>
      </c>
      <c r="C363" t="inlineStr">
        <is>
          <t>Exclude</t>
        </is>
      </c>
      <c r="D363" t="inlineStr">
        <is>
          <t>World Tour Silver Stars Nation Korea Republic, Japan</t>
        </is>
      </c>
      <c r="E363" t="inlineStr">
        <is>
          <t>Excluded Rarity World Tour Silver Stars Nation Korea Republic, Japan</t>
        </is>
      </c>
      <c r="F363" t="inlineStr">
        <is>
          <t>Make Your Idol - Starter [SP 1] - EA SPORTS FC 26</t>
        </is>
      </c>
      <c r="G363" t="inlineStr">
        <is>
          <t>Reward</t>
        </is>
      </c>
      <c r="H363" t="inlineStr">
        <is>
          <t>Standard Season Pass</t>
        </is>
      </c>
      <c r="I363" t="inlineStr">
        <is>
          <t>https://www.fut.gg/evolutions/1785-make-your-idol-starter-sp-1/</t>
        </is>
      </c>
    </row>
    <row r="364">
      <c r="A364" t="inlineStr">
        <is>
          <t>Rarity</t>
        </is>
      </c>
      <c r="B364" t="inlineStr">
        <is>
          <t>Rarity</t>
        </is>
      </c>
      <c r="C364" t="inlineStr">
        <is>
          <t>Include</t>
        </is>
      </c>
      <c r="D364" t="inlineStr">
        <is>
          <t>World Tour Silver Stars Nation Korea Republic, Japan</t>
        </is>
      </c>
      <c r="E364" t="inlineStr">
        <is>
          <t>Rarity World Tour Silver Stars Nation Korea Republic, Japan</t>
        </is>
      </c>
      <c r="F364" t="inlineStr">
        <is>
          <t>Make Your Idol - Starter [SP 1] - EA SPORTS FC 26</t>
        </is>
      </c>
      <c r="G364" t="inlineStr">
        <is>
          <t>Reward</t>
        </is>
      </c>
      <c r="H364" t="inlineStr">
        <is>
          <t>Standard Season Pass</t>
        </is>
      </c>
      <c r="I364" t="inlineStr">
        <is>
          <t>https://www.fut.gg/evolutions/1785-make-your-idol-starter-sp-1/</t>
        </is>
      </c>
    </row>
    <row r="365">
      <c r="A365" t="inlineStr">
        <is>
          <t>OVR_Max</t>
        </is>
      </c>
      <c r="B365" t="inlineStr">
        <is>
          <t>OVR_Max</t>
        </is>
      </c>
      <c r="C365" t="inlineStr">
        <is>
          <t>Max</t>
        </is>
      </c>
      <c r="D365" t="inlineStr">
        <is>
          <t>89</t>
        </is>
      </c>
      <c r="E365" t="inlineStr">
        <is>
          <t>Overall Max. 89</t>
        </is>
      </c>
      <c r="F365" t="inlineStr">
        <is>
          <t>Guardian of the Line [SP+ 10] - EA SPORTS FC 26</t>
        </is>
      </c>
      <c r="G365" t="inlineStr">
        <is>
          <t>Reward</t>
        </is>
      </c>
      <c r="H365" t="inlineStr">
        <is>
          <t>Premium Season Pass</t>
        </is>
      </c>
      <c r="I365" t="inlineStr">
        <is>
          <t>https://www.fut.gg/evolutions/1784-guardian-of-the-line-sp-10/</t>
        </is>
      </c>
    </row>
    <row r="366">
      <c r="A366" t="inlineStr">
        <is>
          <t>Max_PS</t>
        </is>
      </c>
      <c r="B366" t="inlineStr">
        <is>
          <t>Max_PS</t>
        </is>
      </c>
      <c r="C366" t="inlineStr">
        <is>
          <t>Max</t>
        </is>
      </c>
      <c r="D366" t="inlineStr">
        <is>
          <t>8</t>
        </is>
      </c>
      <c r="E366" t="inlineStr">
        <is>
          <t>Max PS 8</t>
        </is>
      </c>
      <c r="F366" t="inlineStr">
        <is>
          <t>Guardian of the Line [SP+ 10] - EA SPORTS FC 26</t>
        </is>
      </c>
      <c r="G366" t="inlineStr">
        <is>
          <t>Reward</t>
        </is>
      </c>
      <c r="H366" t="inlineStr">
        <is>
          <t>Premium Season Pass</t>
        </is>
      </c>
      <c r="I366" t="inlineStr">
        <is>
          <t>https://www.fut.gg/evolutions/1784-guardian-of-the-line-sp-10/</t>
        </is>
      </c>
    </row>
    <row r="367">
      <c r="A367" t="inlineStr">
        <is>
          <t>Excluded_Rarity</t>
        </is>
      </c>
      <c r="B367" t="inlineStr">
        <is>
          <t>Excluded Rarity</t>
        </is>
      </c>
      <c r="C367" t="inlineStr">
        <is>
          <t>Exclude</t>
        </is>
      </c>
      <c r="D367" t="inlineStr">
        <is>
          <t>World Tour Silver Stars</t>
        </is>
      </c>
      <c r="E367" t="inlineStr">
        <is>
          <t>Excluded Rarity World Tour Silver Stars</t>
        </is>
      </c>
      <c r="F367" t="inlineStr">
        <is>
          <t>Guardian of the Line [SP+ 10] - EA SPORTS FC 26</t>
        </is>
      </c>
      <c r="G367" t="inlineStr">
        <is>
          <t>Reward</t>
        </is>
      </c>
      <c r="H367" t="inlineStr">
        <is>
          <t>Premium Season Pass</t>
        </is>
      </c>
      <c r="I367" t="inlineStr">
        <is>
          <t>https://www.fut.gg/evolutions/1784-guardian-of-the-line-sp-10/</t>
        </is>
      </c>
    </row>
    <row r="368">
      <c r="A368" t="inlineStr">
        <is>
          <t>Rarity</t>
        </is>
      </c>
      <c r="B368" t="inlineStr">
        <is>
          <t>Rarity</t>
        </is>
      </c>
      <c r="C368" t="inlineStr">
        <is>
          <t>Include</t>
        </is>
      </c>
      <c r="D368" t="inlineStr">
        <is>
          <t>World Tour Silver Stars</t>
        </is>
      </c>
      <c r="E368" t="inlineStr">
        <is>
          <t>Rarity World Tour Silver Stars</t>
        </is>
      </c>
      <c r="F368" t="inlineStr">
        <is>
          <t>Guardian of the Line [SP+ 10] - EA SPORTS FC 26</t>
        </is>
      </c>
      <c r="G368" t="inlineStr">
        <is>
          <t>Reward</t>
        </is>
      </c>
      <c r="H368" t="inlineStr">
        <is>
          <t>Premium Season Pass</t>
        </is>
      </c>
      <c r="I368" t="inlineStr">
        <is>
          <t>https://www.fut.gg/evolutions/1784-guardian-of-the-line-sp-10/</t>
        </is>
      </c>
    </row>
    <row r="369">
      <c r="A369" t="inlineStr">
        <is>
          <t>OVR_Max</t>
        </is>
      </c>
      <c r="B369" t="inlineStr">
        <is>
          <t>OVR_Max</t>
        </is>
      </c>
      <c r="C369" t="inlineStr">
        <is>
          <t>Max</t>
        </is>
      </c>
      <c r="D369" t="inlineStr">
        <is>
          <t>89</t>
        </is>
      </c>
      <c r="E369" t="inlineStr">
        <is>
          <t>Overall Max. 89</t>
        </is>
      </c>
      <c r="F369" t="inlineStr">
        <is>
          <t>Up to Speed [SP+ 26] - EA SPORTS FC 26</t>
        </is>
      </c>
      <c r="G369" t="inlineStr">
        <is>
          <t>Reward</t>
        </is>
      </c>
      <c r="H369" t="inlineStr">
        <is>
          <t>Premium Season Pass</t>
        </is>
      </c>
      <c r="I369" t="inlineStr">
        <is>
          <t>https://www.fut.gg/evolutions/1783-up-to-speed-sp-26/</t>
        </is>
      </c>
    </row>
    <row r="370">
      <c r="A370" t="inlineStr">
        <is>
          <t>Max_PS_Plus</t>
        </is>
      </c>
      <c r="B370" t="inlineStr">
        <is>
          <t>Max_PS_Plus</t>
        </is>
      </c>
      <c r="C370" t="inlineStr">
        <is>
          <t>Max</t>
        </is>
      </c>
      <c r="D370" t="inlineStr">
        <is>
          <t>2</t>
        </is>
      </c>
      <c r="E370" t="inlineStr">
        <is>
          <t>Max PS+ 2</t>
        </is>
      </c>
      <c r="F370" t="inlineStr">
        <is>
          <t>Up to Speed [SP+ 26] - EA SPORTS FC 26</t>
        </is>
      </c>
      <c r="G370" t="inlineStr">
        <is>
          <t>Reward</t>
        </is>
      </c>
      <c r="H370" t="inlineStr">
        <is>
          <t>Premium Season Pass</t>
        </is>
      </c>
      <c r="I370" t="inlineStr">
        <is>
          <t>https://www.fut.gg/evolutions/1783-up-to-speed-sp-26/</t>
        </is>
      </c>
    </row>
    <row r="371">
      <c r="A371" t="inlineStr">
        <is>
          <t>Max_PS</t>
        </is>
      </c>
      <c r="B371" t="inlineStr">
        <is>
          <t>Max_PS</t>
        </is>
      </c>
      <c r="C371" t="inlineStr">
        <is>
          <t>Max</t>
        </is>
      </c>
      <c r="D371" t="inlineStr">
        <is>
          <t>10</t>
        </is>
      </c>
      <c r="E371" t="inlineStr">
        <is>
          <t>Max PS 10</t>
        </is>
      </c>
      <c r="F371" t="inlineStr">
        <is>
          <t>Up to Speed [SP+ 26] - EA SPORTS FC 26</t>
        </is>
      </c>
      <c r="G371" t="inlineStr">
        <is>
          <t>Reward</t>
        </is>
      </c>
      <c r="H371" t="inlineStr">
        <is>
          <t>Premium Season Pass</t>
        </is>
      </c>
      <c r="I371" t="inlineStr">
        <is>
          <t>https://www.fut.gg/evolutions/1783-up-to-speed-sp-26/</t>
        </is>
      </c>
    </row>
    <row r="372">
      <c r="A372" t="inlineStr">
        <is>
          <t>Excluded_Rarity</t>
        </is>
      </c>
      <c r="B372" t="inlineStr">
        <is>
          <t>Excluded Rarity</t>
        </is>
      </c>
      <c r="C372" t="inlineStr">
        <is>
          <t>Exclude</t>
        </is>
      </c>
      <c r="D372" t="inlineStr">
        <is>
          <t>World Tour Silver Stars</t>
        </is>
      </c>
      <c r="E372" t="inlineStr">
        <is>
          <t>Excluded Rarity World Tour Silver Stars</t>
        </is>
      </c>
      <c r="F372" t="inlineStr">
        <is>
          <t>Up to Speed [SP+ 26] - EA SPORTS FC 26</t>
        </is>
      </c>
      <c r="G372" t="inlineStr">
        <is>
          <t>Reward</t>
        </is>
      </c>
      <c r="H372" t="inlineStr">
        <is>
          <t>Premium Season Pass</t>
        </is>
      </c>
      <c r="I372" t="inlineStr">
        <is>
          <t>https://www.fut.gg/evolutions/1783-up-to-speed-sp-26/</t>
        </is>
      </c>
    </row>
    <row r="373">
      <c r="A373" t="inlineStr">
        <is>
          <t>Rarity</t>
        </is>
      </c>
      <c r="B373" t="inlineStr">
        <is>
          <t>Rarity</t>
        </is>
      </c>
      <c r="C373" t="inlineStr">
        <is>
          <t>Include</t>
        </is>
      </c>
      <c r="D373" t="inlineStr">
        <is>
          <t>World Tour Silver Stars</t>
        </is>
      </c>
      <c r="E373" t="inlineStr">
        <is>
          <t>Rarity World Tour Silver Stars</t>
        </is>
      </c>
      <c r="F373" t="inlineStr">
        <is>
          <t>Up to Speed [SP+ 26] - EA SPORTS FC 26</t>
        </is>
      </c>
      <c r="G373" t="inlineStr">
        <is>
          <t>Reward</t>
        </is>
      </c>
      <c r="H373" t="inlineStr">
        <is>
          <t>Premium Season Pass</t>
        </is>
      </c>
      <c r="I373" t="inlineStr">
        <is>
          <t>https://www.fut.gg/evolutions/1783-up-to-speed-sp-26/</t>
        </is>
      </c>
    </row>
    <row r="374">
      <c r="A374" t="inlineStr">
        <is>
          <t>Excluded_Rarity</t>
        </is>
      </c>
      <c r="B374" t="inlineStr">
        <is>
          <t>Excluded Rarity</t>
        </is>
      </c>
      <c r="C374" t="inlineStr">
        <is>
          <t>Exclude</t>
        </is>
      </c>
      <c r="D374" t="inlineStr">
        <is>
          <t>World Tour Silver Stars Details Submit by in 5 months Expiry in 8 days Coins Cost Free Points Cost Free</t>
        </is>
      </c>
      <c r="E374" t="inlineStr">
        <is>
          <t>Excluded Rarity World Tour Silver Stars Details Submit by in 5 months Expiry in 8 days Coins Cost Free Points Cost Free</t>
        </is>
      </c>
      <c r="F374" t="inlineStr">
        <is>
          <t>Fantasy Captain ICON [SP 27] - EA SPORTS FC 26</t>
        </is>
      </c>
      <c r="G374" t="inlineStr">
        <is>
          <t>Reward</t>
        </is>
      </c>
      <c r="H374" t="inlineStr">
        <is>
          <t>Standard Season Pass</t>
        </is>
      </c>
      <c r="I374" t="inlineStr">
        <is>
          <t>https://www.fut.gg/evolutions/1782-fantasy-captain-icon-sp-27/</t>
        </is>
      </c>
    </row>
    <row r="375">
      <c r="A375" t="inlineStr">
        <is>
          <t>Rarity</t>
        </is>
      </c>
      <c r="B375" t="inlineStr">
        <is>
          <t>Rarity</t>
        </is>
      </c>
      <c r="C375" t="inlineStr">
        <is>
          <t>Include</t>
        </is>
      </c>
      <c r="D375" t="inlineStr">
        <is>
          <t>World Tour Silver Stars Details Submit by in 5 months Expiry in 8 days Coins Cost Free Points Cost Free</t>
        </is>
      </c>
      <c r="E375" t="inlineStr">
        <is>
          <t>Rarity World Tour Silver Stars Details Submit by in 5 months Expiry in 8 days Coins Cost Free Points Cost Free</t>
        </is>
      </c>
      <c r="F375" t="inlineStr">
        <is>
          <t>Fantasy Captain ICON [SP 27] - EA SPORTS FC 26</t>
        </is>
      </c>
      <c r="G375" t="inlineStr">
        <is>
          <t>Reward</t>
        </is>
      </c>
      <c r="H375" t="inlineStr">
        <is>
          <t>Standard Season Pass</t>
        </is>
      </c>
      <c r="I375" t="inlineStr">
        <is>
          <t>https://www.fut.gg/evolutions/1782-fantasy-captain-icon-sp-27/</t>
        </is>
      </c>
    </row>
    <row r="376">
      <c r="A376" t="inlineStr">
        <is>
          <t>Excluded_Rarity</t>
        </is>
      </c>
      <c r="B376" t="inlineStr">
        <is>
          <t>Excluded Rarity</t>
        </is>
      </c>
      <c r="C376" t="inlineStr">
        <is>
          <t>Exclude</t>
        </is>
      </c>
      <c r="D376" t="inlineStr">
        <is>
          <t>World Tour Silver Stars Details Submit by in 5 months Expiry in 8 days Coins Cost Free Points Cost Free</t>
        </is>
      </c>
      <c r="E376" t="inlineStr">
        <is>
          <t>Excluded Rarity World Tour Silver Stars Details Submit by in 5 months Expiry in 8 days Coins Cost Free Points Cost Free</t>
        </is>
      </c>
      <c r="F376" t="inlineStr">
        <is>
          <t>Season Ladder Excellence [SP 15] - EA SPORTS FC 26</t>
        </is>
      </c>
      <c r="G376" t="inlineStr">
        <is>
          <t>Reward</t>
        </is>
      </c>
      <c r="H376" t="inlineStr">
        <is>
          <t>Standard Season Pass</t>
        </is>
      </c>
      <c r="I376" t="inlineStr">
        <is>
          <t>https://www.fut.gg/evolutions/1781-season-ladder-excellence-sp-15/</t>
        </is>
      </c>
    </row>
    <row r="377">
      <c r="A377" t="inlineStr">
        <is>
          <t>Rarity</t>
        </is>
      </c>
      <c r="B377" t="inlineStr">
        <is>
          <t>Rarity</t>
        </is>
      </c>
      <c r="C377" t="inlineStr">
        <is>
          <t>Include</t>
        </is>
      </c>
      <c r="D377" t="inlineStr">
        <is>
          <t>World Tour Silver Stars Details Submit by in 5 months Expiry in 8 days Coins Cost Free Points Cost Free</t>
        </is>
      </c>
      <c r="E377" t="inlineStr">
        <is>
          <t>Rarity World Tour Silver Stars Details Submit by in 5 months Expiry in 8 days Coins Cost Free Points Cost Free</t>
        </is>
      </c>
      <c r="F377" t="inlineStr">
        <is>
          <t>Season Ladder Excellence [SP 15] - EA SPORTS FC 26</t>
        </is>
      </c>
      <c r="G377" t="inlineStr">
        <is>
          <t>Reward</t>
        </is>
      </c>
      <c r="H377" t="inlineStr">
        <is>
          <t>Standard Season Pass</t>
        </is>
      </c>
      <c r="I377" t="inlineStr">
        <is>
          <t>https://www.fut.gg/evolutions/1781-season-ladder-excellence-sp-15/</t>
        </is>
      </c>
    </row>
    <row r="378">
      <c r="A378" t="inlineStr">
        <is>
          <t>OVR_Max</t>
        </is>
      </c>
      <c r="B378" t="inlineStr">
        <is>
          <t>OVR_Max</t>
        </is>
      </c>
      <c r="C378" t="inlineStr">
        <is>
          <t>Max</t>
        </is>
      </c>
      <c r="D378" t="inlineStr">
        <is>
          <t>87</t>
        </is>
      </c>
      <c r="E378" t="inlineStr">
        <is>
          <t>Overall Max. 87</t>
        </is>
      </c>
      <c r="F378" t="inlineStr">
        <is>
          <t>Make Your Idol - Defender 2 [SP 7] - EA SPORTS FC 26</t>
        </is>
      </c>
      <c r="G378" t="inlineStr">
        <is>
          <t>Reward</t>
        </is>
      </c>
      <c r="H378" t="inlineStr">
        <is>
          <t>Standard Season Pass</t>
        </is>
      </c>
      <c r="I378" t="inlineStr">
        <is>
          <t>https://www.fut.gg/evolutions/1780-make-your-idol-defender-2-sp-7/</t>
        </is>
      </c>
    </row>
    <row r="379">
      <c r="A379" t="inlineStr">
        <is>
          <t>OVR_Min</t>
        </is>
      </c>
      <c r="B379" t="inlineStr">
        <is>
          <t>OVR_Min</t>
        </is>
      </c>
      <c r="C379" t="inlineStr">
        <is>
          <t>Value</t>
        </is>
      </c>
      <c r="D379" t="inlineStr">
        <is>
          <t>87</t>
        </is>
      </c>
      <c r="E379" t="inlineStr">
        <is>
          <t>Overall Min. 87</t>
        </is>
      </c>
      <c r="F379" t="inlineStr">
        <is>
          <t>Make Your Idol - Defender 2 [SP 7] - EA SPORTS FC 26</t>
        </is>
      </c>
      <c r="G379" t="inlineStr">
        <is>
          <t>Reward</t>
        </is>
      </c>
      <c r="H379" t="inlineStr">
        <is>
          <t>Standard Season Pass</t>
        </is>
      </c>
      <c r="I379" t="inlineStr">
        <is>
          <t>https://www.fut.gg/evolutions/1780-make-your-idol-defender-2-sp-7/</t>
        </is>
      </c>
    </row>
    <row r="380">
      <c r="A380" t="inlineStr">
        <is>
          <t>Max_PS</t>
        </is>
      </c>
      <c r="B380" t="inlineStr">
        <is>
          <t>Max_PS</t>
        </is>
      </c>
      <c r="C380" t="inlineStr">
        <is>
          <t>Max</t>
        </is>
      </c>
      <c r="D380" t="inlineStr">
        <is>
          <t>10</t>
        </is>
      </c>
      <c r="E380" t="inlineStr">
        <is>
          <t>Max PS 10</t>
        </is>
      </c>
      <c r="F380" t="inlineStr">
        <is>
          <t>Make Your Idol - Defender 2 [SP 7] - EA SPORTS FC 26</t>
        </is>
      </c>
      <c r="G380" t="inlineStr">
        <is>
          <t>Reward</t>
        </is>
      </c>
      <c r="H380" t="inlineStr">
        <is>
          <t>Standard Season Pass</t>
        </is>
      </c>
      <c r="I380" t="inlineStr">
        <is>
          <t>https://www.fut.gg/evolutions/1780-make-your-idol-defender-2-sp-7/</t>
        </is>
      </c>
    </row>
    <row r="381">
      <c r="A381" t="inlineStr">
        <is>
          <t>Rarity</t>
        </is>
      </c>
      <c r="B381" t="inlineStr">
        <is>
          <t>Rarity</t>
        </is>
      </c>
      <c r="C381" t="inlineStr">
        <is>
          <t>Include</t>
        </is>
      </c>
      <c r="D381" t="inlineStr">
        <is>
          <t>Choose Your Idol</t>
        </is>
      </c>
      <c r="E381" t="inlineStr">
        <is>
          <t>Rarity Choose Your Idol</t>
        </is>
      </c>
      <c r="F381" t="inlineStr">
        <is>
          <t>Make Your Idol - Defender 2 [SP 7] - EA SPORTS FC 26</t>
        </is>
      </c>
      <c r="G381" t="inlineStr">
        <is>
          <t>Reward</t>
        </is>
      </c>
      <c r="H381" t="inlineStr">
        <is>
          <t>Standard Season Pass</t>
        </is>
      </c>
      <c r="I381" t="inlineStr">
        <is>
          <t>https://www.fut.gg/evolutions/1780-make-your-idol-defender-2-sp-7/</t>
        </is>
      </c>
    </row>
    <row r="382">
      <c r="A382" t="inlineStr">
        <is>
          <t>OVR_Max</t>
        </is>
      </c>
      <c r="B382" t="inlineStr">
        <is>
          <t>OVR_Max</t>
        </is>
      </c>
      <c r="C382" t="inlineStr">
        <is>
          <t>Max</t>
        </is>
      </c>
      <c r="D382" t="inlineStr">
        <is>
          <t>89</t>
        </is>
      </c>
      <c r="E382" t="inlineStr">
        <is>
          <t>Overall Max. 89</t>
        </is>
      </c>
      <c r="F382" t="inlineStr">
        <is>
          <t>Make Your Idol - Attacker 3 [SP 21] - EA SPORTS FC 26</t>
        </is>
      </c>
      <c r="G382" t="inlineStr">
        <is>
          <t>Reward</t>
        </is>
      </c>
      <c r="H382" t="inlineStr">
        <is>
          <t>Standard Season Pass</t>
        </is>
      </c>
      <c r="I382" t="inlineStr">
        <is>
          <t>https://www.fut.gg/evolutions/1779-make-your-idol-attacker-3-sp-21/</t>
        </is>
      </c>
    </row>
    <row r="383">
      <c r="A383" t="inlineStr">
        <is>
          <t>OVR_Min</t>
        </is>
      </c>
      <c r="B383" t="inlineStr">
        <is>
          <t>OVR_Min</t>
        </is>
      </c>
      <c r="C383" t="inlineStr">
        <is>
          <t>Value</t>
        </is>
      </c>
      <c r="D383" t="inlineStr">
        <is>
          <t>89</t>
        </is>
      </c>
      <c r="E383" t="inlineStr">
        <is>
          <t>Overall Min. 89</t>
        </is>
      </c>
      <c r="F383" t="inlineStr">
        <is>
          <t>Make Your Idol - Attacker 3 [SP 21] - EA SPORTS FC 26</t>
        </is>
      </c>
      <c r="G383" t="inlineStr">
        <is>
          <t>Reward</t>
        </is>
      </c>
      <c r="H383" t="inlineStr">
        <is>
          <t>Standard Season Pass</t>
        </is>
      </c>
      <c r="I383" t="inlineStr">
        <is>
          <t>https://www.fut.gg/evolutions/1779-make-your-idol-attacker-3-sp-21/</t>
        </is>
      </c>
    </row>
    <row r="384">
      <c r="A384" t="inlineStr">
        <is>
          <t>Max_PS_Plus</t>
        </is>
      </c>
      <c r="B384" t="inlineStr">
        <is>
          <t>Max_PS_Plus</t>
        </is>
      </c>
      <c r="C384" t="inlineStr">
        <is>
          <t>Max</t>
        </is>
      </c>
      <c r="D384" t="inlineStr">
        <is>
          <t>2</t>
        </is>
      </c>
      <c r="E384" t="inlineStr">
        <is>
          <t>Max PS+ 2</t>
        </is>
      </c>
      <c r="F384" t="inlineStr">
        <is>
          <t>Make Your Idol - Attacker 3 [SP 21] - EA SPORTS FC 26</t>
        </is>
      </c>
      <c r="G384" t="inlineStr">
        <is>
          <t>Reward</t>
        </is>
      </c>
      <c r="H384" t="inlineStr">
        <is>
          <t>Standard Season Pass</t>
        </is>
      </c>
      <c r="I384" t="inlineStr">
        <is>
          <t>https://www.fut.gg/evolutions/1779-make-your-idol-attacker-3-sp-21/</t>
        </is>
      </c>
    </row>
    <row r="385">
      <c r="A385" t="inlineStr">
        <is>
          <t>Max_PS</t>
        </is>
      </c>
      <c r="B385" t="inlineStr">
        <is>
          <t>Max_PS</t>
        </is>
      </c>
      <c r="C385" t="inlineStr">
        <is>
          <t>Max</t>
        </is>
      </c>
      <c r="D385" t="inlineStr">
        <is>
          <t>10</t>
        </is>
      </c>
      <c r="E385" t="inlineStr">
        <is>
          <t>Max PS 10</t>
        </is>
      </c>
      <c r="F385" t="inlineStr">
        <is>
          <t>Make Your Idol - Attacker 3 [SP 21] - EA SPORTS FC 26</t>
        </is>
      </c>
      <c r="G385" t="inlineStr">
        <is>
          <t>Reward</t>
        </is>
      </c>
      <c r="H385" t="inlineStr">
        <is>
          <t>Standard Season Pass</t>
        </is>
      </c>
      <c r="I385" t="inlineStr">
        <is>
          <t>https://www.fut.gg/evolutions/1779-make-your-idol-attacker-3-sp-21/</t>
        </is>
      </c>
    </row>
    <row r="386">
      <c r="A386" t="inlineStr">
        <is>
          <t>Rarity</t>
        </is>
      </c>
      <c r="B386" t="inlineStr">
        <is>
          <t>Rarity</t>
        </is>
      </c>
      <c r="C386" t="inlineStr">
        <is>
          <t>Include</t>
        </is>
      </c>
      <c r="D386" t="inlineStr">
        <is>
          <t>Choose Your Idol</t>
        </is>
      </c>
      <c r="E386" t="inlineStr">
        <is>
          <t>Rarity Choose Your Idol</t>
        </is>
      </c>
      <c r="F386" t="inlineStr">
        <is>
          <t>Make Your Idol - Attacker 3 [SP 21] - EA SPORTS FC 26</t>
        </is>
      </c>
      <c r="G386" t="inlineStr">
        <is>
          <t>Reward</t>
        </is>
      </c>
      <c r="H386" t="inlineStr">
        <is>
          <t>Standard Season Pass</t>
        </is>
      </c>
      <c r="I386" t="inlineStr">
        <is>
          <t>https://www.fut.gg/evolutions/1779-make-your-idol-attacker-3-sp-21/</t>
        </is>
      </c>
    </row>
    <row r="387">
      <c r="A387" t="inlineStr">
        <is>
          <t>OVR_Max</t>
        </is>
      </c>
      <c r="B387" t="inlineStr">
        <is>
          <t>OVR_Max</t>
        </is>
      </c>
      <c r="C387" t="inlineStr">
        <is>
          <t>Max</t>
        </is>
      </c>
      <c r="D387" t="inlineStr">
        <is>
          <t>89</t>
        </is>
      </c>
      <c r="E387" t="inlineStr">
        <is>
          <t>Overall Max. 89</t>
        </is>
      </c>
      <c r="F387" t="inlineStr">
        <is>
          <t>Make Your Idol - Midfielder 3 [SP 21] - EA SPORTS FC 26</t>
        </is>
      </c>
      <c r="G387" t="inlineStr">
        <is>
          <t>Reward</t>
        </is>
      </c>
      <c r="H387" t="inlineStr">
        <is>
          <t>Standard Season Pass</t>
        </is>
      </c>
      <c r="I387" t="inlineStr">
        <is>
          <t>https://www.fut.gg/evolutions/1778-make-your-idol-midfielder-3-sp-21/</t>
        </is>
      </c>
    </row>
    <row r="388">
      <c r="A388" t="inlineStr">
        <is>
          <t>OVR_Min</t>
        </is>
      </c>
      <c r="B388" t="inlineStr">
        <is>
          <t>OVR_Min</t>
        </is>
      </c>
      <c r="C388" t="inlineStr">
        <is>
          <t>Value</t>
        </is>
      </c>
      <c r="D388" t="inlineStr">
        <is>
          <t>89</t>
        </is>
      </c>
      <c r="E388" t="inlineStr">
        <is>
          <t>Overall Min. 89</t>
        </is>
      </c>
      <c r="F388" t="inlineStr">
        <is>
          <t>Make Your Idol - Midfielder 3 [SP 21] - EA SPORTS FC 26</t>
        </is>
      </c>
      <c r="G388" t="inlineStr">
        <is>
          <t>Reward</t>
        </is>
      </c>
      <c r="H388" t="inlineStr">
        <is>
          <t>Standard Season Pass</t>
        </is>
      </c>
      <c r="I388" t="inlineStr">
        <is>
          <t>https://www.fut.gg/evolutions/1778-make-your-idol-midfielder-3-sp-21/</t>
        </is>
      </c>
    </row>
    <row r="389">
      <c r="A389" t="inlineStr">
        <is>
          <t>Max_PS_Plus</t>
        </is>
      </c>
      <c r="B389" t="inlineStr">
        <is>
          <t>Max_PS_Plus</t>
        </is>
      </c>
      <c r="C389" t="inlineStr">
        <is>
          <t>Max</t>
        </is>
      </c>
      <c r="D389" t="inlineStr">
        <is>
          <t>2</t>
        </is>
      </c>
      <c r="E389" t="inlineStr">
        <is>
          <t>Max PS+ 2</t>
        </is>
      </c>
      <c r="F389" t="inlineStr">
        <is>
          <t>Make Your Idol - Midfielder 3 [SP 21] - EA SPORTS FC 26</t>
        </is>
      </c>
      <c r="G389" t="inlineStr">
        <is>
          <t>Reward</t>
        </is>
      </c>
      <c r="H389" t="inlineStr">
        <is>
          <t>Standard Season Pass</t>
        </is>
      </c>
      <c r="I389" t="inlineStr">
        <is>
          <t>https://www.fut.gg/evolutions/1778-make-your-idol-midfielder-3-sp-21/</t>
        </is>
      </c>
    </row>
    <row r="390">
      <c r="A390" t="inlineStr">
        <is>
          <t>Max_PS</t>
        </is>
      </c>
      <c r="B390" t="inlineStr">
        <is>
          <t>Max_PS</t>
        </is>
      </c>
      <c r="C390" t="inlineStr">
        <is>
          <t>Max</t>
        </is>
      </c>
      <c r="D390" t="inlineStr">
        <is>
          <t>10</t>
        </is>
      </c>
      <c r="E390" t="inlineStr">
        <is>
          <t>Max PS 10</t>
        </is>
      </c>
      <c r="F390" t="inlineStr">
        <is>
          <t>Make Your Idol - Midfielder 3 [SP 21] - EA SPORTS FC 26</t>
        </is>
      </c>
      <c r="G390" t="inlineStr">
        <is>
          <t>Reward</t>
        </is>
      </c>
      <c r="H390" t="inlineStr">
        <is>
          <t>Standard Season Pass</t>
        </is>
      </c>
      <c r="I390" t="inlineStr">
        <is>
          <t>https://www.fut.gg/evolutions/1778-make-your-idol-midfielder-3-sp-21/</t>
        </is>
      </c>
    </row>
    <row r="391">
      <c r="A391" t="inlineStr">
        <is>
          <t>Rarity</t>
        </is>
      </c>
      <c r="B391" t="inlineStr">
        <is>
          <t>Rarity</t>
        </is>
      </c>
      <c r="C391" t="inlineStr">
        <is>
          <t>Include</t>
        </is>
      </c>
      <c r="D391" t="inlineStr">
        <is>
          <t>Choose Your Idol</t>
        </is>
      </c>
      <c r="E391" t="inlineStr">
        <is>
          <t>Rarity Choose Your Idol</t>
        </is>
      </c>
      <c r="F391" t="inlineStr">
        <is>
          <t>Make Your Idol - Midfielder 3 [SP 21] - EA SPORTS FC 26</t>
        </is>
      </c>
      <c r="G391" t="inlineStr">
        <is>
          <t>Reward</t>
        </is>
      </c>
      <c r="H391" t="inlineStr">
        <is>
          <t>Standard Season Pass</t>
        </is>
      </c>
      <c r="I391" t="inlineStr">
        <is>
          <t>https://www.fut.gg/evolutions/1778-make-your-idol-midfielder-3-sp-21/</t>
        </is>
      </c>
    </row>
    <row r="392">
      <c r="A392" t="inlineStr">
        <is>
          <t>OVR_Max</t>
        </is>
      </c>
      <c r="B392" t="inlineStr">
        <is>
          <t>OVR_Max</t>
        </is>
      </c>
      <c r="C392" t="inlineStr">
        <is>
          <t>Max</t>
        </is>
      </c>
      <c r="D392" t="inlineStr">
        <is>
          <t>89</t>
        </is>
      </c>
      <c r="E392" t="inlineStr">
        <is>
          <t>Overall Max. 89</t>
        </is>
      </c>
      <c r="F392" t="inlineStr">
        <is>
          <t>Make Your Idol - Defender 3 [SP 21] - EA SPORTS FC 26</t>
        </is>
      </c>
      <c r="G392" t="inlineStr">
        <is>
          <t>Reward</t>
        </is>
      </c>
      <c r="H392" t="inlineStr">
        <is>
          <t>Standard Season Pass</t>
        </is>
      </c>
      <c r="I392" t="inlineStr">
        <is>
          <t>https://www.fut.gg/evolutions/1777-make-your-idol-defender-3-sp-21/</t>
        </is>
      </c>
    </row>
    <row r="393">
      <c r="A393" t="inlineStr">
        <is>
          <t>OVR_Min</t>
        </is>
      </c>
      <c r="B393" t="inlineStr">
        <is>
          <t>OVR_Min</t>
        </is>
      </c>
      <c r="C393" t="inlineStr">
        <is>
          <t>Value</t>
        </is>
      </c>
      <c r="D393" t="inlineStr">
        <is>
          <t>89</t>
        </is>
      </c>
      <c r="E393" t="inlineStr">
        <is>
          <t>Overall Min. 89</t>
        </is>
      </c>
      <c r="F393" t="inlineStr">
        <is>
          <t>Make Your Idol - Defender 3 [SP 21] - EA SPORTS FC 26</t>
        </is>
      </c>
      <c r="G393" t="inlineStr">
        <is>
          <t>Reward</t>
        </is>
      </c>
      <c r="H393" t="inlineStr">
        <is>
          <t>Standard Season Pass</t>
        </is>
      </c>
      <c r="I393" t="inlineStr">
        <is>
          <t>https://www.fut.gg/evolutions/1777-make-your-idol-defender-3-sp-21/</t>
        </is>
      </c>
    </row>
    <row r="394">
      <c r="A394" t="inlineStr">
        <is>
          <t>Max_PS_Plus</t>
        </is>
      </c>
      <c r="B394" t="inlineStr">
        <is>
          <t>Max_PS_Plus</t>
        </is>
      </c>
      <c r="C394" t="inlineStr">
        <is>
          <t>Max</t>
        </is>
      </c>
      <c r="D394" t="inlineStr">
        <is>
          <t>2</t>
        </is>
      </c>
      <c r="E394" t="inlineStr">
        <is>
          <t>Max PS+ 2</t>
        </is>
      </c>
      <c r="F394" t="inlineStr">
        <is>
          <t>Make Your Idol - Defender 3 [SP 21] - EA SPORTS FC 26</t>
        </is>
      </c>
      <c r="G394" t="inlineStr">
        <is>
          <t>Reward</t>
        </is>
      </c>
      <c r="H394" t="inlineStr">
        <is>
          <t>Standard Season Pass</t>
        </is>
      </c>
      <c r="I394" t="inlineStr">
        <is>
          <t>https://www.fut.gg/evolutions/1777-make-your-idol-defender-3-sp-21/</t>
        </is>
      </c>
    </row>
    <row r="395">
      <c r="A395" t="inlineStr">
        <is>
          <t>Max_PS</t>
        </is>
      </c>
      <c r="B395" t="inlineStr">
        <is>
          <t>Max_PS</t>
        </is>
      </c>
      <c r="C395" t="inlineStr">
        <is>
          <t>Max</t>
        </is>
      </c>
      <c r="D395" t="inlineStr">
        <is>
          <t>10</t>
        </is>
      </c>
      <c r="E395" t="inlineStr">
        <is>
          <t>Max PS 10</t>
        </is>
      </c>
      <c r="F395" t="inlineStr">
        <is>
          <t>Make Your Idol - Defender 3 [SP 21] - EA SPORTS FC 26</t>
        </is>
      </c>
      <c r="G395" t="inlineStr">
        <is>
          <t>Reward</t>
        </is>
      </c>
      <c r="H395" t="inlineStr">
        <is>
          <t>Standard Season Pass</t>
        </is>
      </c>
      <c r="I395" t="inlineStr">
        <is>
          <t>https://www.fut.gg/evolutions/1777-make-your-idol-defender-3-sp-21/</t>
        </is>
      </c>
    </row>
    <row r="396">
      <c r="A396" t="inlineStr">
        <is>
          <t>Rarity</t>
        </is>
      </c>
      <c r="B396" t="inlineStr">
        <is>
          <t>Rarity</t>
        </is>
      </c>
      <c r="C396" t="inlineStr">
        <is>
          <t>Include</t>
        </is>
      </c>
      <c r="D396" t="inlineStr">
        <is>
          <t>Choose Your Idol</t>
        </is>
      </c>
      <c r="E396" t="inlineStr">
        <is>
          <t>Rarity Choose Your Idol</t>
        </is>
      </c>
      <c r="F396" t="inlineStr">
        <is>
          <t>Make Your Idol - Defender 3 [SP 21] - EA SPORTS FC 26</t>
        </is>
      </c>
      <c r="G396" t="inlineStr">
        <is>
          <t>Reward</t>
        </is>
      </c>
      <c r="H396" t="inlineStr">
        <is>
          <t>Standard Season Pass</t>
        </is>
      </c>
      <c r="I396" t="inlineStr">
        <is>
          <t>https://www.fut.gg/evolutions/1777-make-your-idol-defender-3-sp-21/</t>
        </is>
      </c>
    </row>
    <row r="397">
      <c r="A397" t="inlineStr">
        <is>
          <t>OVR_Max</t>
        </is>
      </c>
      <c r="B397" t="inlineStr">
        <is>
          <t>OVR_Max</t>
        </is>
      </c>
      <c r="C397" t="inlineStr">
        <is>
          <t>Max</t>
        </is>
      </c>
      <c r="D397" t="inlineStr">
        <is>
          <t>87</t>
        </is>
      </c>
      <c r="E397" t="inlineStr">
        <is>
          <t>Overall Max. 87</t>
        </is>
      </c>
      <c r="F397" t="inlineStr">
        <is>
          <t>Make Your Idol - Attacker 2 [SP 7] - EA SPORTS FC 26</t>
        </is>
      </c>
      <c r="G397" t="inlineStr">
        <is>
          <t>Reward</t>
        </is>
      </c>
      <c r="H397" t="inlineStr">
        <is>
          <t>Standard Season Pass</t>
        </is>
      </c>
      <c r="I397" t="inlineStr">
        <is>
          <t>https://www.fut.gg/evolutions/1776-make-your-idol-attacker-2-sp-7/</t>
        </is>
      </c>
    </row>
    <row r="398">
      <c r="A398" t="inlineStr">
        <is>
          <t>OVR_Min</t>
        </is>
      </c>
      <c r="B398" t="inlineStr">
        <is>
          <t>OVR_Min</t>
        </is>
      </c>
      <c r="C398" t="inlineStr">
        <is>
          <t>Value</t>
        </is>
      </c>
      <c r="D398" t="inlineStr">
        <is>
          <t>87</t>
        </is>
      </c>
      <c r="E398" t="inlineStr">
        <is>
          <t>Overall Min. 87</t>
        </is>
      </c>
      <c r="F398" t="inlineStr">
        <is>
          <t>Make Your Idol - Attacker 2 [SP 7] - EA SPORTS FC 26</t>
        </is>
      </c>
      <c r="G398" t="inlineStr">
        <is>
          <t>Reward</t>
        </is>
      </c>
      <c r="H398" t="inlineStr">
        <is>
          <t>Standard Season Pass</t>
        </is>
      </c>
      <c r="I398" t="inlineStr">
        <is>
          <t>https://www.fut.gg/evolutions/1776-make-your-idol-attacker-2-sp-7/</t>
        </is>
      </c>
    </row>
    <row r="399">
      <c r="A399" t="inlineStr">
        <is>
          <t>Max_PS</t>
        </is>
      </c>
      <c r="B399" t="inlineStr">
        <is>
          <t>Max_PS</t>
        </is>
      </c>
      <c r="C399" t="inlineStr">
        <is>
          <t>Max</t>
        </is>
      </c>
      <c r="D399" t="inlineStr">
        <is>
          <t>10</t>
        </is>
      </c>
      <c r="E399" t="inlineStr">
        <is>
          <t>Max PS 10</t>
        </is>
      </c>
      <c r="F399" t="inlineStr">
        <is>
          <t>Make Your Idol - Attacker 2 [SP 7] - EA SPORTS FC 26</t>
        </is>
      </c>
      <c r="G399" t="inlineStr">
        <is>
          <t>Reward</t>
        </is>
      </c>
      <c r="H399" t="inlineStr">
        <is>
          <t>Standard Season Pass</t>
        </is>
      </c>
      <c r="I399" t="inlineStr">
        <is>
          <t>https://www.fut.gg/evolutions/1776-make-your-idol-attacker-2-sp-7/</t>
        </is>
      </c>
    </row>
    <row r="400">
      <c r="A400" t="inlineStr">
        <is>
          <t>Rarity</t>
        </is>
      </c>
      <c r="B400" t="inlineStr">
        <is>
          <t>Rarity</t>
        </is>
      </c>
      <c r="C400" t="inlineStr">
        <is>
          <t>Include</t>
        </is>
      </c>
      <c r="D400" t="inlineStr">
        <is>
          <t>Choose Your Idol</t>
        </is>
      </c>
      <c r="E400" t="inlineStr">
        <is>
          <t>Rarity Choose Your Idol</t>
        </is>
      </c>
      <c r="F400" t="inlineStr">
        <is>
          <t>Make Your Idol - Attacker 2 [SP 7] - EA SPORTS FC 26</t>
        </is>
      </c>
      <c r="G400" t="inlineStr">
        <is>
          <t>Reward</t>
        </is>
      </c>
      <c r="H400" t="inlineStr">
        <is>
          <t>Standard Season Pass</t>
        </is>
      </c>
      <c r="I400" t="inlineStr">
        <is>
          <t>https://www.fut.gg/evolutions/1776-make-your-idol-attacker-2-sp-7/</t>
        </is>
      </c>
    </row>
    <row r="401">
      <c r="A401" t="inlineStr">
        <is>
          <t>OVR_Max</t>
        </is>
      </c>
      <c r="B401" t="inlineStr">
        <is>
          <t>OVR_Max</t>
        </is>
      </c>
      <c r="C401" t="inlineStr">
        <is>
          <t>Max</t>
        </is>
      </c>
      <c r="D401" t="inlineStr">
        <is>
          <t>87</t>
        </is>
      </c>
      <c r="E401" t="inlineStr">
        <is>
          <t>Overall Max. 87</t>
        </is>
      </c>
      <c r="F401" t="inlineStr">
        <is>
          <t>Make Your Idol - Midfielder 2 [SP 7] - EA SPORTS FC 26</t>
        </is>
      </c>
      <c r="G401" t="inlineStr">
        <is>
          <t>Reward</t>
        </is>
      </c>
      <c r="H401" t="inlineStr">
        <is>
          <t>Standard Season Pass</t>
        </is>
      </c>
      <c r="I401" t="inlineStr">
        <is>
          <t>https://www.fut.gg/evolutions/1775-make-your-idol-midfielder-2-sp-7/</t>
        </is>
      </c>
    </row>
    <row r="402">
      <c r="A402" t="inlineStr">
        <is>
          <t>OVR_Min</t>
        </is>
      </c>
      <c r="B402" t="inlineStr">
        <is>
          <t>OVR_Min</t>
        </is>
      </c>
      <c r="C402" t="inlineStr">
        <is>
          <t>Value</t>
        </is>
      </c>
      <c r="D402" t="inlineStr">
        <is>
          <t>87</t>
        </is>
      </c>
      <c r="E402" t="inlineStr">
        <is>
          <t>Overall Min. 87</t>
        </is>
      </c>
      <c r="F402" t="inlineStr">
        <is>
          <t>Make Your Idol - Midfielder 2 [SP 7] - EA SPORTS FC 26</t>
        </is>
      </c>
      <c r="G402" t="inlineStr">
        <is>
          <t>Reward</t>
        </is>
      </c>
      <c r="H402" t="inlineStr">
        <is>
          <t>Standard Season Pass</t>
        </is>
      </c>
      <c r="I402" t="inlineStr">
        <is>
          <t>https://www.fut.gg/evolutions/1775-make-your-idol-midfielder-2-sp-7/</t>
        </is>
      </c>
    </row>
    <row r="403">
      <c r="A403" t="inlineStr">
        <is>
          <t>Max_PS</t>
        </is>
      </c>
      <c r="B403" t="inlineStr">
        <is>
          <t>Max_PS</t>
        </is>
      </c>
      <c r="C403" t="inlineStr">
        <is>
          <t>Max</t>
        </is>
      </c>
      <c r="D403" t="inlineStr">
        <is>
          <t>10</t>
        </is>
      </c>
      <c r="E403" t="inlineStr">
        <is>
          <t>Max PS 10</t>
        </is>
      </c>
      <c r="F403" t="inlineStr">
        <is>
          <t>Make Your Idol - Midfielder 2 [SP 7] - EA SPORTS FC 26</t>
        </is>
      </c>
      <c r="G403" t="inlineStr">
        <is>
          <t>Reward</t>
        </is>
      </c>
      <c r="H403" t="inlineStr">
        <is>
          <t>Standard Season Pass</t>
        </is>
      </c>
      <c r="I403" t="inlineStr">
        <is>
          <t>https://www.fut.gg/evolutions/1775-make-your-idol-midfielder-2-sp-7/</t>
        </is>
      </c>
    </row>
    <row r="404">
      <c r="A404" t="inlineStr">
        <is>
          <t>Rarity</t>
        </is>
      </c>
      <c r="B404" t="inlineStr">
        <is>
          <t>Rarity</t>
        </is>
      </c>
      <c r="C404" t="inlineStr">
        <is>
          <t>Include</t>
        </is>
      </c>
      <c r="D404" t="inlineStr">
        <is>
          <t>Choose Your Idol</t>
        </is>
      </c>
      <c r="E404" t="inlineStr">
        <is>
          <t>Rarity Choose Your Idol</t>
        </is>
      </c>
      <c r="F404" t="inlineStr">
        <is>
          <t>Make Your Idol - Midfielder 2 [SP 7] - EA SPORTS FC 26</t>
        </is>
      </c>
      <c r="G404" t="inlineStr">
        <is>
          <t>Reward</t>
        </is>
      </c>
      <c r="H404" t="inlineStr">
        <is>
          <t>Standard Season Pass</t>
        </is>
      </c>
      <c r="I404" t="inlineStr">
        <is>
          <t>https://www.fut.gg/evolutions/1775-make-your-idol-midfielder-2-sp-7/</t>
        </is>
      </c>
    </row>
    <row r="405">
      <c r="A405" t="inlineStr">
        <is>
          <t>OVR_Max</t>
        </is>
      </c>
      <c r="B405" t="inlineStr">
        <is>
          <t>OVR_Max</t>
        </is>
      </c>
      <c r="C405" t="inlineStr">
        <is>
          <t>Max</t>
        </is>
      </c>
      <c r="D405" t="inlineStr">
        <is>
          <t>90</t>
        </is>
      </c>
      <c r="E405" t="inlineStr">
        <is>
          <t>Overall Max. 90</t>
        </is>
      </c>
      <c r="F405" t="inlineStr">
        <is>
          <t>Pinged Pass+ [SP+ 28] - EA SPORTS FC 26</t>
        </is>
      </c>
      <c r="G405" t="inlineStr">
        <is>
          <t>Reward</t>
        </is>
      </c>
      <c r="H405" t="inlineStr">
        <is>
          <t>Premium Season Pass</t>
        </is>
      </c>
      <c r="I405" t="inlineStr">
        <is>
          <t>https://www.fut.gg/evolutions/1774-pinged-pass-sp-28/</t>
        </is>
      </c>
    </row>
    <row r="406">
      <c r="A406" t="inlineStr">
        <is>
          <t>Max_PS_Plus</t>
        </is>
      </c>
      <c r="B406" t="inlineStr">
        <is>
          <t>Max_PS_Plus</t>
        </is>
      </c>
      <c r="C406" t="inlineStr">
        <is>
          <t>Max</t>
        </is>
      </c>
      <c r="D406" t="inlineStr">
        <is>
          <t>2</t>
        </is>
      </c>
      <c r="E406" t="inlineStr">
        <is>
          <t>Max PS+ 2</t>
        </is>
      </c>
      <c r="F406" t="inlineStr">
        <is>
          <t>Pinged Pass+ [SP+ 28] - EA SPORTS FC 26</t>
        </is>
      </c>
      <c r="G406" t="inlineStr">
        <is>
          <t>Reward</t>
        </is>
      </c>
      <c r="H406" t="inlineStr">
        <is>
          <t>Premium Season Pass</t>
        </is>
      </c>
      <c r="I406" t="inlineStr">
        <is>
          <t>https://www.fut.gg/evolutions/1774-pinged-pass-sp-28/</t>
        </is>
      </c>
    </row>
    <row r="407">
      <c r="A407" t="inlineStr">
        <is>
          <t>Excluded_Rarity</t>
        </is>
      </c>
      <c r="B407" t="inlineStr">
        <is>
          <t>Excluded Rarity</t>
        </is>
      </c>
      <c r="C407" t="inlineStr">
        <is>
          <t>Exclude</t>
        </is>
      </c>
      <c r="D407" t="inlineStr">
        <is>
          <t>World Tour Silver Stars</t>
        </is>
      </c>
      <c r="E407" t="inlineStr">
        <is>
          <t>Excluded Rarity World Tour Silver Stars</t>
        </is>
      </c>
      <c r="F407" t="inlineStr">
        <is>
          <t>Pinged Pass+ [SP+ 28] - EA SPORTS FC 26</t>
        </is>
      </c>
      <c r="G407" t="inlineStr">
        <is>
          <t>Reward</t>
        </is>
      </c>
      <c r="H407" t="inlineStr">
        <is>
          <t>Premium Season Pass</t>
        </is>
      </c>
      <c r="I407" t="inlineStr">
        <is>
          <t>https://www.fut.gg/evolutions/1774-pinged-pass-sp-28/</t>
        </is>
      </c>
    </row>
    <row r="408">
      <c r="A408" t="inlineStr">
        <is>
          <t>Rarity</t>
        </is>
      </c>
      <c r="B408" t="inlineStr">
        <is>
          <t>Rarity</t>
        </is>
      </c>
      <c r="C408" t="inlineStr">
        <is>
          <t>Include</t>
        </is>
      </c>
      <c r="D408" t="inlineStr">
        <is>
          <t>World Tour Silver Stars</t>
        </is>
      </c>
      <c r="E408" t="inlineStr">
        <is>
          <t>Rarity World Tour Silver Stars</t>
        </is>
      </c>
      <c r="F408" t="inlineStr">
        <is>
          <t>Pinged Pass+ [SP+ 28] - EA SPORTS FC 26</t>
        </is>
      </c>
      <c r="G408" t="inlineStr">
        <is>
          <t>Reward</t>
        </is>
      </c>
      <c r="H408" t="inlineStr">
        <is>
          <t>Premium Season Pass</t>
        </is>
      </c>
      <c r="I408" t="inlineStr">
        <is>
          <t>https://www.fut.gg/evolutions/1774-pinged-pass-sp-28/</t>
        </is>
      </c>
    </row>
    <row r="409">
      <c r="A409" t="inlineStr">
        <is>
          <t>OVR_Max</t>
        </is>
      </c>
      <c r="B409" t="inlineStr">
        <is>
          <t>OVR_Max</t>
        </is>
      </c>
      <c r="C409" t="inlineStr">
        <is>
          <t>Max</t>
        </is>
      </c>
      <c r="D409" t="inlineStr">
        <is>
          <t>89</t>
        </is>
      </c>
      <c r="E409" t="inlineStr">
        <is>
          <t>Overall Max. 89</t>
        </is>
      </c>
      <c r="F409" t="inlineStr">
        <is>
          <t>Relentless+ [SP+ 27] - EA SPORTS FC 26</t>
        </is>
      </c>
      <c r="G409" t="inlineStr">
        <is>
          <t>Reward</t>
        </is>
      </c>
      <c r="H409" t="inlineStr">
        <is>
          <t>Premium Season Pass</t>
        </is>
      </c>
      <c r="I409" t="inlineStr">
        <is>
          <t>https://www.fut.gg/evolutions/1773-relentless-sp-27/</t>
        </is>
      </c>
    </row>
    <row r="410">
      <c r="A410" t="inlineStr">
        <is>
          <t>Max_PS_Plus</t>
        </is>
      </c>
      <c r="B410" t="inlineStr">
        <is>
          <t>Max_PS_Plus</t>
        </is>
      </c>
      <c r="C410" t="inlineStr">
        <is>
          <t>Max</t>
        </is>
      </c>
      <c r="D410" t="inlineStr">
        <is>
          <t>2</t>
        </is>
      </c>
      <c r="E410" t="inlineStr">
        <is>
          <t>Max PS+ 2</t>
        </is>
      </c>
      <c r="F410" t="inlineStr">
        <is>
          <t>Relentless+ [SP+ 27] - EA SPORTS FC 26</t>
        </is>
      </c>
      <c r="G410" t="inlineStr">
        <is>
          <t>Reward</t>
        </is>
      </c>
      <c r="H410" t="inlineStr">
        <is>
          <t>Premium Season Pass</t>
        </is>
      </c>
      <c r="I410" t="inlineStr">
        <is>
          <t>https://www.fut.gg/evolutions/1773-relentless-sp-27/</t>
        </is>
      </c>
    </row>
    <row r="411">
      <c r="A411" t="inlineStr">
        <is>
          <t>Excluded_Rarity</t>
        </is>
      </c>
      <c r="B411" t="inlineStr">
        <is>
          <t>Excluded Rarity</t>
        </is>
      </c>
      <c r="C411" t="inlineStr">
        <is>
          <t>Exclude</t>
        </is>
      </c>
      <c r="D411" t="inlineStr">
        <is>
          <t>World Tour Silver Stars</t>
        </is>
      </c>
      <c r="E411" t="inlineStr">
        <is>
          <t>Excluded Rarity World Tour Silver Stars</t>
        </is>
      </c>
      <c r="F411" t="inlineStr">
        <is>
          <t>Relentless+ [SP+ 27] - EA SPORTS FC 26</t>
        </is>
      </c>
      <c r="G411" t="inlineStr">
        <is>
          <t>Reward</t>
        </is>
      </c>
      <c r="H411" t="inlineStr">
        <is>
          <t>Premium Season Pass</t>
        </is>
      </c>
      <c r="I411" t="inlineStr">
        <is>
          <t>https://www.fut.gg/evolutions/1773-relentless-sp-27/</t>
        </is>
      </c>
    </row>
    <row r="412">
      <c r="A412" t="inlineStr">
        <is>
          <t>Rarity</t>
        </is>
      </c>
      <c r="B412" t="inlineStr">
        <is>
          <t>Rarity</t>
        </is>
      </c>
      <c r="C412" t="inlineStr">
        <is>
          <t>Include</t>
        </is>
      </c>
      <c r="D412" t="inlineStr">
        <is>
          <t>World Tour Silver Stars</t>
        </is>
      </c>
      <c r="E412" t="inlineStr">
        <is>
          <t>Rarity World Tour Silver Stars</t>
        </is>
      </c>
      <c r="F412" t="inlineStr">
        <is>
          <t>Relentless+ [SP+ 27] - EA SPORTS FC 26</t>
        </is>
      </c>
      <c r="G412" t="inlineStr">
        <is>
          <t>Reward</t>
        </is>
      </c>
      <c r="H412" t="inlineStr">
        <is>
          <t>Premium Season Pass</t>
        </is>
      </c>
      <c r="I412" t="inlineStr">
        <is>
          <t>https://www.fut.gg/evolutions/1773-relentless-sp-27/</t>
        </is>
      </c>
    </row>
    <row r="413">
      <c r="A413" t="inlineStr">
        <is>
          <t>OVR_Max</t>
        </is>
      </c>
      <c r="B413" t="inlineStr">
        <is>
          <t>OVR_Max</t>
        </is>
      </c>
      <c r="C413" t="inlineStr">
        <is>
          <t>Max</t>
        </is>
      </c>
      <c r="D413" t="inlineStr">
        <is>
          <t>89</t>
        </is>
      </c>
      <c r="E413" t="inlineStr">
        <is>
          <t>Overall Max. 89</t>
        </is>
      </c>
      <c r="F413" t="inlineStr">
        <is>
          <t>Dish 'em Out [SP+ 1] - EA SPORTS FC 26</t>
        </is>
      </c>
      <c r="G413" t="inlineStr">
        <is>
          <t>Reward</t>
        </is>
      </c>
      <c r="H413" t="inlineStr">
        <is>
          <t>Premium Season Pass</t>
        </is>
      </c>
      <c r="I413" t="inlineStr">
        <is>
          <t>https://www.fut.gg/evolutions/1772-dish-em-out-sp-1/</t>
        </is>
      </c>
    </row>
    <row r="414">
      <c r="A414" t="inlineStr">
        <is>
          <t>Max_PS</t>
        </is>
      </c>
      <c r="B414" t="inlineStr">
        <is>
          <t>Max_PS</t>
        </is>
      </c>
      <c r="C414" t="inlineStr">
        <is>
          <t>Max</t>
        </is>
      </c>
      <c r="D414" t="inlineStr">
        <is>
          <t>10</t>
        </is>
      </c>
      <c r="E414" t="inlineStr">
        <is>
          <t>Max PS 10</t>
        </is>
      </c>
      <c r="F414" t="inlineStr">
        <is>
          <t>Dish 'em Out [SP+ 1] - EA SPORTS FC 26</t>
        </is>
      </c>
      <c r="G414" t="inlineStr">
        <is>
          <t>Reward</t>
        </is>
      </c>
      <c r="H414" t="inlineStr">
        <is>
          <t>Premium Season Pass</t>
        </is>
      </c>
      <c r="I414" t="inlineStr">
        <is>
          <t>https://www.fut.gg/evolutions/1772-dish-em-out-sp-1/</t>
        </is>
      </c>
    </row>
    <row r="415">
      <c r="A415" t="inlineStr">
        <is>
          <t>Excluded_Rarity</t>
        </is>
      </c>
      <c r="B415" t="inlineStr">
        <is>
          <t>Excluded Rarity</t>
        </is>
      </c>
      <c r="C415" t="inlineStr">
        <is>
          <t>Exclude</t>
        </is>
      </c>
      <c r="D415" t="inlineStr">
        <is>
          <t>World Tour Silver Stars</t>
        </is>
      </c>
      <c r="E415" t="inlineStr">
        <is>
          <t>Excluded Rarity World Tour Silver Stars</t>
        </is>
      </c>
      <c r="F415" t="inlineStr">
        <is>
          <t>Dish 'em Out [SP+ 1] - EA SPORTS FC 26</t>
        </is>
      </c>
      <c r="G415" t="inlineStr">
        <is>
          <t>Reward</t>
        </is>
      </c>
      <c r="H415" t="inlineStr">
        <is>
          <t>Premium Season Pass</t>
        </is>
      </c>
      <c r="I415" t="inlineStr">
        <is>
          <t>https://www.fut.gg/evolutions/1772-dish-em-out-sp-1/</t>
        </is>
      </c>
    </row>
    <row r="416">
      <c r="A416" t="inlineStr">
        <is>
          <t>Rarity</t>
        </is>
      </c>
      <c r="B416" t="inlineStr">
        <is>
          <t>Rarity</t>
        </is>
      </c>
      <c r="C416" t="inlineStr">
        <is>
          <t>Include</t>
        </is>
      </c>
      <c r="D416" t="inlineStr">
        <is>
          <t>World Tour Silver Stars</t>
        </is>
      </c>
      <c r="E416" t="inlineStr">
        <is>
          <t>Rarity World Tour Silver Stars</t>
        </is>
      </c>
      <c r="F416" t="inlineStr">
        <is>
          <t>Dish 'em Out [SP+ 1] - EA SPORTS FC 26</t>
        </is>
      </c>
      <c r="G416" t="inlineStr">
        <is>
          <t>Reward</t>
        </is>
      </c>
      <c r="H416" t="inlineStr">
        <is>
          <t>Premium Season Pass</t>
        </is>
      </c>
      <c r="I416" t="inlineStr">
        <is>
          <t>https://www.fut.gg/evolutions/1772-dish-em-out-sp-1/</t>
        </is>
      </c>
    </row>
    <row r="417">
      <c r="A417" t="inlineStr">
        <is>
          <t>OVR_Max</t>
        </is>
      </c>
      <c r="B417" t="inlineStr">
        <is>
          <t>OVR_Max</t>
        </is>
      </c>
      <c r="C417" t="inlineStr">
        <is>
          <t>Max</t>
        </is>
      </c>
      <c r="D417" t="inlineStr">
        <is>
          <t>88</t>
        </is>
      </c>
      <c r="E417" t="inlineStr">
        <is>
          <t>Overall Max. 88</t>
        </is>
      </c>
      <c r="F417" t="inlineStr">
        <is>
          <t>Locked &amp; Loaded [SP 25] - EA SPORTS FC 26</t>
        </is>
      </c>
      <c r="G417" t="inlineStr">
        <is>
          <t>Reward</t>
        </is>
      </c>
      <c r="H417" t="inlineStr">
        <is>
          <t>Standard Season Pass</t>
        </is>
      </c>
      <c r="I417" t="inlineStr">
        <is>
          <t>https://www.fut.gg/evolutions/1771-locked-loaded-sp-25/</t>
        </is>
      </c>
    </row>
    <row r="418">
      <c r="A418" t="inlineStr">
        <is>
          <t>Max_PS</t>
        </is>
      </c>
      <c r="B418" t="inlineStr">
        <is>
          <t>Max_PS</t>
        </is>
      </c>
      <c r="C418" t="inlineStr">
        <is>
          <t>Max</t>
        </is>
      </c>
      <c r="D418" t="inlineStr">
        <is>
          <t>10</t>
        </is>
      </c>
      <c r="E418" t="inlineStr">
        <is>
          <t>Max PS 10</t>
        </is>
      </c>
      <c r="F418" t="inlineStr">
        <is>
          <t>Locked &amp; Loaded [SP 25] - EA SPORTS FC 26</t>
        </is>
      </c>
      <c r="G418" t="inlineStr">
        <is>
          <t>Reward</t>
        </is>
      </c>
      <c r="H418" t="inlineStr">
        <is>
          <t>Standard Season Pass</t>
        </is>
      </c>
      <c r="I418" t="inlineStr">
        <is>
          <t>https://www.fut.gg/evolutions/1771-locked-loaded-sp-25/</t>
        </is>
      </c>
    </row>
    <row r="419">
      <c r="A419" t="inlineStr">
        <is>
          <t>Excluded_Rarity</t>
        </is>
      </c>
      <c r="B419" t="inlineStr">
        <is>
          <t>Excluded Rarity</t>
        </is>
      </c>
      <c r="C419" t="inlineStr">
        <is>
          <t>Exclude</t>
        </is>
      </c>
      <c r="D419" t="inlineStr">
        <is>
          <t>World Tour Silver Stars</t>
        </is>
      </c>
      <c r="E419" t="inlineStr">
        <is>
          <t>Excluded Rarity World Tour Silver Stars</t>
        </is>
      </c>
      <c r="F419" t="inlineStr">
        <is>
          <t>Locked &amp; Loaded [SP 25] - EA SPORTS FC 26</t>
        </is>
      </c>
      <c r="G419" t="inlineStr">
        <is>
          <t>Reward</t>
        </is>
      </c>
      <c r="H419" t="inlineStr">
        <is>
          <t>Standard Season Pass</t>
        </is>
      </c>
      <c r="I419" t="inlineStr">
        <is>
          <t>https://www.fut.gg/evolutions/1771-locked-loaded-sp-25/</t>
        </is>
      </c>
    </row>
    <row r="420">
      <c r="A420" t="inlineStr">
        <is>
          <t>Rarity</t>
        </is>
      </c>
      <c r="B420" t="inlineStr">
        <is>
          <t>Rarity</t>
        </is>
      </c>
      <c r="C420" t="inlineStr">
        <is>
          <t>Include</t>
        </is>
      </c>
      <c r="D420" t="inlineStr">
        <is>
          <t>World Tour Silver Stars</t>
        </is>
      </c>
      <c r="E420" t="inlineStr">
        <is>
          <t>Rarity World Tour Silver Stars</t>
        </is>
      </c>
      <c r="F420" t="inlineStr">
        <is>
          <t>Locked &amp; Loaded [SP 25] - EA SPORTS FC 26</t>
        </is>
      </c>
      <c r="G420" t="inlineStr">
        <is>
          <t>Reward</t>
        </is>
      </c>
      <c r="H420" t="inlineStr">
        <is>
          <t>Standard Season Pass</t>
        </is>
      </c>
      <c r="I420" t="inlineStr">
        <is>
          <t>https://www.fut.gg/evolutions/1771-locked-loaded-sp-25/</t>
        </is>
      </c>
    </row>
    <row r="421">
      <c r="A421" t="inlineStr">
        <is>
          <t>OVR_Max</t>
        </is>
      </c>
      <c r="B421" t="inlineStr">
        <is>
          <t>OVR_Max</t>
        </is>
      </c>
      <c r="C421" t="inlineStr">
        <is>
          <t>Max</t>
        </is>
      </c>
      <c r="D421" t="inlineStr">
        <is>
          <t>88</t>
        </is>
      </c>
      <c r="E421" t="inlineStr">
        <is>
          <t>Overall Max. 88</t>
        </is>
      </c>
      <c r="F421" t="inlineStr">
        <is>
          <t>Goal Machine [SP 8] - EA SPORTS FC 26</t>
        </is>
      </c>
      <c r="G421" t="inlineStr">
        <is>
          <t>Reward</t>
        </is>
      </c>
      <c r="H421" t="inlineStr">
        <is>
          <t>Standard Season Pass</t>
        </is>
      </c>
      <c r="I421" t="inlineStr">
        <is>
          <t>https://www.fut.gg/evolutions/1770-goal-machine-sp-8/</t>
        </is>
      </c>
    </row>
    <row r="422">
      <c r="A422" t="inlineStr">
        <is>
          <t>Excluded_Rarity</t>
        </is>
      </c>
      <c r="B422" t="inlineStr">
        <is>
          <t>Excluded Rarity</t>
        </is>
      </c>
      <c r="C422" t="inlineStr">
        <is>
          <t>Exclude</t>
        </is>
      </c>
      <c r="D422" t="inlineStr">
        <is>
          <t>World Tour Silver Stars</t>
        </is>
      </c>
      <c r="E422" t="inlineStr">
        <is>
          <t>Excluded Rarity World Tour Silver Stars</t>
        </is>
      </c>
      <c r="F422" t="inlineStr">
        <is>
          <t>Goal Machine [SP 8] - EA SPORTS FC 26</t>
        </is>
      </c>
      <c r="G422" t="inlineStr">
        <is>
          <t>Reward</t>
        </is>
      </c>
      <c r="H422" t="inlineStr">
        <is>
          <t>Standard Season Pass</t>
        </is>
      </c>
      <c r="I422" t="inlineStr">
        <is>
          <t>https://www.fut.gg/evolutions/1770-goal-machine-sp-8/</t>
        </is>
      </c>
    </row>
    <row r="423">
      <c r="A423" t="inlineStr">
        <is>
          <t>Rarity</t>
        </is>
      </c>
      <c r="B423" t="inlineStr">
        <is>
          <t>Rarity</t>
        </is>
      </c>
      <c r="C423" t="inlineStr">
        <is>
          <t>Include</t>
        </is>
      </c>
      <c r="D423" t="inlineStr">
        <is>
          <t>World Tour Silver Stars</t>
        </is>
      </c>
      <c r="E423" t="inlineStr">
        <is>
          <t>Rarity World Tour Silver Stars</t>
        </is>
      </c>
      <c r="F423" t="inlineStr">
        <is>
          <t>Goal Machine [SP 8] - EA SPORTS FC 26</t>
        </is>
      </c>
      <c r="G423" t="inlineStr">
        <is>
          <t>Reward</t>
        </is>
      </c>
      <c r="H423" t="inlineStr">
        <is>
          <t>Standard Season Pass</t>
        </is>
      </c>
      <c r="I423" t="inlineStr">
        <is>
          <t>https://www.fut.gg/evolutions/1770-goal-machine-sp-8/</t>
        </is>
      </c>
    </row>
    <row r="424">
      <c r="A424" t="inlineStr">
        <is>
          <t>OVR_Max</t>
        </is>
      </c>
      <c r="B424" t="inlineStr">
        <is>
          <t>OVR_Max</t>
        </is>
      </c>
      <c r="C424" t="inlineStr">
        <is>
          <t>Max</t>
        </is>
      </c>
      <c r="D424" t="inlineStr">
        <is>
          <t>89</t>
        </is>
      </c>
      <c r="E424" t="inlineStr">
        <is>
          <t>Overall Max. 89</t>
        </is>
      </c>
      <c r="F424" t="inlineStr">
        <is>
          <t>Roadrunner [SP+ 24] - EA SPORTS FC 26</t>
        </is>
      </c>
      <c r="G424" t="inlineStr">
        <is>
          <t>Reward</t>
        </is>
      </c>
      <c r="H424" t="inlineStr">
        <is>
          <t>Premium Season Pass</t>
        </is>
      </c>
      <c r="I424" t="inlineStr">
        <is>
          <t>https://www.fut.gg/evolutions/1769-roadrunner-sp-24/</t>
        </is>
      </c>
    </row>
    <row r="425">
      <c r="A425" t="inlineStr">
        <is>
          <t>Max_PS</t>
        </is>
      </c>
      <c r="B425" t="inlineStr">
        <is>
          <t>Max_PS</t>
        </is>
      </c>
      <c r="C425" t="inlineStr">
        <is>
          <t>Max</t>
        </is>
      </c>
      <c r="D425" t="inlineStr">
        <is>
          <t>10</t>
        </is>
      </c>
      <c r="E425" t="inlineStr">
        <is>
          <t>Max PS 10</t>
        </is>
      </c>
      <c r="F425" t="inlineStr">
        <is>
          <t>Roadrunner [SP+ 24] - EA SPORTS FC 26</t>
        </is>
      </c>
      <c r="G425" t="inlineStr">
        <is>
          <t>Reward</t>
        </is>
      </c>
      <c r="H425" t="inlineStr">
        <is>
          <t>Premium Season Pass</t>
        </is>
      </c>
      <c r="I425" t="inlineStr">
        <is>
          <t>https://www.fut.gg/evolutions/1769-roadrunner-sp-24/</t>
        </is>
      </c>
    </row>
    <row r="426">
      <c r="A426" t="inlineStr">
        <is>
          <t>Excluded_Rarity</t>
        </is>
      </c>
      <c r="B426" t="inlineStr">
        <is>
          <t>Excluded Rarity</t>
        </is>
      </c>
      <c r="C426" t="inlineStr">
        <is>
          <t>Exclude</t>
        </is>
      </c>
      <c r="D426" t="inlineStr">
        <is>
          <t>World Tour Silver Stars</t>
        </is>
      </c>
      <c r="E426" t="inlineStr">
        <is>
          <t>Excluded Rarity World Tour Silver Stars</t>
        </is>
      </c>
      <c r="F426" t="inlineStr">
        <is>
          <t>Roadrunner [SP+ 24] - EA SPORTS FC 26</t>
        </is>
      </c>
      <c r="G426" t="inlineStr">
        <is>
          <t>Reward</t>
        </is>
      </c>
      <c r="H426" t="inlineStr">
        <is>
          <t>Premium Season Pass</t>
        </is>
      </c>
      <c r="I426" t="inlineStr">
        <is>
          <t>https://www.fut.gg/evolutions/1769-roadrunner-sp-24/</t>
        </is>
      </c>
    </row>
    <row r="427">
      <c r="A427" t="inlineStr">
        <is>
          <t>Rarity</t>
        </is>
      </c>
      <c r="B427" t="inlineStr">
        <is>
          <t>Rarity</t>
        </is>
      </c>
      <c r="C427" t="inlineStr">
        <is>
          <t>Include</t>
        </is>
      </c>
      <c r="D427" t="inlineStr">
        <is>
          <t>World Tour Silver Stars</t>
        </is>
      </c>
      <c r="E427" t="inlineStr">
        <is>
          <t>Rarity World Tour Silver Stars</t>
        </is>
      </c>
      <c r="F427" t="inlineStr">
        <is>
          <t>Roadrunner [SP+ 24] - EA SPORTS FC 26</t>
        </is>
      </c>
      <c r="G427" t="inlineStr">
        <is>
          <t>Reward</t>
        </is>
      </c>
      <c r="H427" t="inlineStr">
        <is>
          <t>Premium Season Pass</t>
        </is>
      </c>
      <c r="I427" t="inlineStr">
        <is>
          <t>https://www.fut.gg/evolutions/1769-roadrunner-sp-24/</t>
        </is>
      </c>
    </row>
    <row r="428">
      <c r="A428" t="inlineStr">
        <is>
          <t>OVR_Max</t>
        </is>
      </c>
      <c r="B428" t="inlineStr">
        <is>
          <t>OVR_Max</t>
        </is>
      </c>
      <c r="C428" t="inlineStr">
        <is>
          <t>Max</t>
        </is>
      </c>
      <c r="D428" t="inlineStr">
        <is>
          <t>89</t>
        </is>
      </c>
      <c r="E428" t="inlineStr">
        <is>
          <t>Overall Max. 89</t>
        </is>
      </c>
      <c r="F428" t="inlineStr">
        <is>
          <t>Sweep &amp; Supply [SP+ 18] - EA SPORTS FC 26</t>
        </is>
      </c>
      <c r="G428" t="inlineStr">
        <is>
          <t>Reward</t>
        </is>
      </c>
      <c r="H428" t="inlineStr">
        <is>
          <t>Premium Season Pass</t>
        </is>
      </c>
      <c r="I428" t="inlineStr">
        <is>
          <t>https://www.fut.gg/evolutions/1768-sweep-supply-sp-18/</t>
        </is>
      </c>
    </row>
    <row r="429">
      <c r="A429" t="inlineStr">
        <is>
          <t>Max_PS</t>
        </is>
      </c>
      <c r="B429" t="inlineStr">
        <is>
          <t>Max_PS</t>
        </is>
      </c>
      <c r="C429" t="inlineStr">
        <is>
          <t>Max</t>
        </is>
      </c>
      <c r="D429" t="inlineStr">
        <is>
          <t>10</t>
        </is>
      </c>
      <c r="E429" t="inlineStr">
        <is>
          <t>Max PS 10</t>
        </is>
      </c>
      <c r="F429" t="inlineStr">
        <is>
          <t>Sweep &amp; Supply [SP+ 18] - EA SPORTS FC 26</t>
        </is>
      </c>
      <c r="G429" t="inlineStr">
        <is>
          <t>Reward</t>
        </is>
      </c>
      <c r="H429" t="inlineStr">
        <is>
          <t>Premium Season Pass</t>
        </is>
      </c>
      <c r="I429" t="inlineStr">
        <is>
          <t>https://www.fut.gg/evolutions/1768-sweep-supply-sp-18/</t>
        </is>
      </c>
    </row>
    <row r="430">
      <c r="A430" t="inlineStr">
        <is>
          <t>Excluded_Rarity</t>
        </is>
      </c>
      <c r="B430" t="inlineStr">
        <is>
          <t>Excluded Rarity</t>
        </is>
      </c>
      <c r="C430" t="inlineStr">
        <is>
          <t>Exclude</t>
        </is>
      </c>
      <c r="D430" t="inlineStr">
        <is>
          <t>World Tour Silver Stars</t>
        </is>
      </c>
      <c r="E430" t="inlineStr">
        <is>
          <t>Excluded Rarity World Tour Silver Stars</t>
        </is>
      </c>
      <c r="F430" t="inlineStr">
        <is>
          <t>Sweep &amp; Supply [SP+ 18] - EA SPORTS FC 26</t>
        </is>
      </c>
      <c r="G430" t="inlineStr">
        <is>
          <t>Reward</t>
        </is>
      </c>
      <c r="H430" t="inlineStr">
        <is>
          <t>Premium Season Pass</t>
        </is>
      </c>
      <c r="I430" t="inlineStr">
        <is>
          <t>https://www.fut.gg/evolutions/1768-sweep-supply-sp-18/</t>
        </is>
      </c>
    </row>
    <row r="431">
      <c r="A431" t="inlineStr">
        <is>
          <t>Rarity</t>
        </is>
      </c>
      <c r="B431" t="inlineStr">
        <is>
          <t>Rarity</t>
        </is>
      </c>
      <c r="C431" t="inlineStr">
        <is>
          <t>Include</t>
        </is>
      </c>
      <c r="D431" t="inlineStr">
        <is>
          <t>World Tour Silver Stars</t>
        </is>
      </c>
      <c r="E431" t="inlineStr">
        <is>
          <t>Rarity World Tour Silver Stars</t>
        </is>
      </c>
      <c r="F431" t="inlineStr">
        <is>
          <t>Sweep &amp; Supply [SP+ 18] - EA SPORTS FC 26</t>
        </is>
      </c>
      <c r="G431" t="inlineStr">
        <is>
          <t>Reward</t>
        </is>
      </c>
      <c r="H431" t="inlineStr">
        <is>
          <t>Premium Season Pass</t>
        </is>
      </c>
      <c r="I431" t="inlineStr">
        <is>
          <t>https://www.fut.gg/evolutions/1768-sweep-supply-sp-18/</t>
        </is>
      </c>
    </row>
    <row r="432">
      <c r="A432" t="inlineStr">
        <is>
          <t>OVR_Max</t>
        </is>
      </c>
      <c r="B432" t="inlineStr">
        <is>
          <t>OVR_Max</t>
        </is>
      </c>
      <c r="C432" t="inlineStr">
        <is>
          <t>Max</t>
        </is>
      </c>
      <c r="D432" t="inlineStr">
        <is>
          <t>90</t>
        </is>
      </c>
      <c r="E432" t="inlineStr">
        <is>
          <t>Overall Max. 90</t>
        </is>
      </c>
      <c r="F432" t="inlineStr">
        <is>
          <t>Quick Step+ - EA SPORTS FC 26</t>
        </is>
      </c>
      <c r="G432" t="inlineStr">
        <is>
          <t>Reward</t>
        </is>
      </c>
      <c r="H432" t="inlineStr">
        <is>
          <t>Objective</t>
        </is>
      </c>
      <c r="I432" t="inlineStr">
        <is>
          <t>https://www.fut.gg/evolutions/1762-quick-step/</t>
        </is>
      </c>
    </row>
    <row r="433">
      <c r="A433" t="inlineStr">
        <is>
          <t>Max_PS_Plus</t>
        </is>
      </c>
      <c r="B433" t="inlineStr">
        <is>
          <t>Max_PS_Plus</t>
        </is>
      </c>
      <c r="C433" t="inlineStr">
        <is>
          <t>Max</t>
        </is>
      </c>
      <c r="D433" t="inlineStr">
        <is>
          <t>1</t>
        </is>
      </c>
      <c r="E433" t="inlineStr">
        <is>
          <t>Max PS+ 1</t>
        </is>
      </c>
      <c r="F433" t="inlineStr">
        <is>
          <t>Quick Step+ - EA SPORTS FC 26</t>
        </is>
      </c>
      <c r="G433" t="inlineStr">
        <is>
          <t>Reward</t>
        </is>
      </c>
      <c r="H433" t="inlineStr">
        <is>
          <t>Objective</t>
        </is>
      </c>
      <c r="I433" t="inlineStr">
        <is>
          <t>https://www.fut.gg/evolutions/1762-quick-step/</t>
        </is>
      </c>
    </row>
    <row r="434">
      <c r="A434" t="inlineStr">
        <is>
          <t>Excluded_Rarity</t>
        </is>
      </c>
      <c r="B434" t="inlineStr">
        <is>
          <t>Excluded Rarity</t>
        </is>
      </c>
      <c r="C434" t="inlineStr">
        <is>
          <t>Exclude</t>
        </is>
      </c>
      <c r="D434" t="inlineStr">
        <is>
          <t>World Tour Silver Stars</t>
        </is>
      </c>
      <c r="E434" t="inlineStr">
        <is>
          <t>Excluded Rarity World Tour Silver Stars</t>
        </is>
      </c>
      <c r="F434" t="inlineStr">
        <is>
          <t>Quick Step+ - EA SPORTS FC 26</t>
        </is>
      </c>
      <c r="G434" t="inlineStr">
        <is>
          <t>Reward</t>
        </is>
      </c>
      <c r="H434" t="inlineStr">
        <is>
          <t>Objective</t>
        </is>
      </c>
      <c r="I434" t="inlineStr">
        <is>
          <t>https://www.fut.gg/evolutions/1762-quick-step/</t>
        </is>
      </c>
    </row>
    <row r="435">
      <c r="A435" t="inlineStr">
        <is>
          <t>Rarity</t>
        </is>
      </c>
      <c r="B435" t="inlineStr">
        <is>
          <t>Rarity</t>
        </is>
      </c>
      <c r="C435" t="inlineStr">
        <is>
          <t>Include</t>
        </is>
      </c>
      <c r="D435" t="inlineStr">
        <is>
          <t>World Tour Silver Stars</t>
        </is>
      </c>
      <c r="E435" t="inlineStr">
        <is>
          <t>Rarity World Tour Silver Stars</t>
        </is>
      </c>
      <c r="F435" t="inlineStr">
        <is>
          <t>Quick Step+ - EA SPORTS FC 26</t>
        </is>
      </c>
      <c r="G435" t="inlineStr">
        <is>
          <t>Reward</t>
        </is>
      </c>
      <c r="H435" t="inlineStr">
        <is>
          <t>Objective</t>
        </is>
      </c>
      <c r="I435" t="inlineStr">
        <is>
          <t>https://www.fut.gg/evolutions/1762-quick-step/</t>
        </is>
      </c>
    </row>
    <row r="436">
      <c r="A436" t="inlineStr">
        <is>
          <t>OVR_Max</t>
        </is>
      </c>
      <c r="B436" t="inlineStr">
        <is>
          <t>OVR_Max</t>
        </is>
      </c>
      <c r="C436" t="inlineStr">
        <is>
          <t>Max</t>
        </is>
      </c>
      <c r="D436" t="inlineStr">
        <is>
          <t>90</t>
        </is>
      </c>
      <c r="E436" t="inlineStr">
        <is>
          <t>Overall Max. 90</t>
        </is>
      </c>
      <c r="F436" t="inlineStr">
        <is>
          <t>Finesse Shot+ - EA SPORTS FC 26</t>
        </is>
      </c>
      <c r="G436" t="inlineStr">
        <is>
          <t>Reward</t>
        </is>
      </c>
      <c r="H436" t="inlineStr">
        <is>
          <t>Objective</t>
        </is>
      </c>
      <c r="I436" t="inlineStr">
        <is>
          <t>https://www.fut.gg/evolutions/1760-finesse-shot/</t>
        </is>
      </c>
    </row>
    <row r="437">
      <c r="A437" t="inlineStr">
        <is>
          <t>Max_PS_Plus</t>
        </is>
      </c>
      <c r="B437" t="inlineStr">
        <is>
          <t>Max_PS_Plus</t>
        </is>
      </c>
      <c r="C437" t="inlineStr">
        <is>
          <t>Max</t>
        </is>
      </c>
      <c r="D437" t="inlineStr">
        <is>
          <t>1</t>
        </is>
      </c>
      <c r="E437" t="inlineStr">
        <is>
          <t>Max PS+ 1</t>
        </is>
      </c>
      <c r="F437" t="inlineStr">
        <is>
          <t>Finesse Shot+ - EA SPORTS FC 26</t>
        </is>
      </c>
      <c r="G437" t="inlineStr">
        <is>
          <t>Reward</t>
        </is>
      </c>
      <c r="H437" t="inlineStr">
        <is>
          <t>Objective</t>
        </is>
      </c>
      <c r="I437" t="inlineStr">
        <is>
          <t>https://www.fut.gg/evolutions/1760-finesse-shot/</t>
        </is>
      </c>
    </row>
    <row r="438">
      <c r="A438" t="inlineStr">
        <is>
          <t>Excluded_Rarity</t>
        </is>
      </c>
      <c r="B438" t="inlineStr">
        <is>
          <t>Excluded Rarity</t>
        </is>
      </c>
      <c r="C438" t="inlineStr">
        <is>
          <t>Exclude</t>
        </is>
      </c>
      <c r="D438" t="inlineStr">
        <is>
          <t>World Tour Silver Stars</t>
        </is>
      </c>
      <c r="E438" t="inlineStr">
        <is>
          <t>Excluded Rarity World Tour Silver Stars</t>
        </is>
      </c>
      <c r="F438" t="inlineStr">
        <is>
          <t>Finesse Shot+ - EA SPORTS FC 26</t>
        </is>
      </c>
      <c r="G438" t="inlineStr">
        <is>
          <t>Reward</t>
        </is>
      </c>
      <c r="H438" t="inlineStr">
        <is>
          <t>Objective</t>
        </is>
      </c>
      <c r="I438" t="inlineStr">
        <is>
          <t>https://www.fut.gg/evolutions/1760-finesse-shot/</t>
        </is>
      </c>
    </row>
    <row r="439">
      <c r="A439" t="inlineStr">
        <is>
          <t>Rarity</t>
        </is>
      </c>
      <c r="B439" t="inlineStr">
        <is>
          <t>Rarity</t>
        </is>
      </c>
      <c r="C439" t="inlineStr">
        <is>
          <t>Include</t>
        </is>
      </c>
      <c r="D439" t="inlineStr">
        <is>
          <t>World Tour Silver Stars</t>
        </is>
      </c>
      <c r="E439" t="inlineStr">
        <is>
          <t>Rarity World Tour Silver Stars</t>
        </is>
      </c>
      <c r="F439" t="inlineStr">
        <is>
          <t>Finesse Shot+ - EA SPORTS FC 26</t>
        </is>
      </c>
      <c r="G439" t="inlineStr">
        <is>
          <t>Reward</t>
        </is>
      </c>
      <c r="H439" t="inlineStr">
        <is>
          <t>Objective</t>
        </is>
      </c>
      <c r="I439" t="inlineStr">
        <is>
          <t>https://www.fut.gg/evolutions/1760-finesse-shot/</t>
        </is>
      </c>
    </row>
    <row r="440">
      <c r="A440" t="inlineStr">
        <is>
          <t>OVR_Max</t>
        </is>
      </c>
      <c r="B440" t="inlineStr">
        <is>
          <t>OVR_Max</t>
        </is>
      </c>
      <c r="C440" t="inlineStr">
        <is>
          <t>Max</t>
        </is>
      </c>
      <c r="D440" t="inlineStr">
        <is>
          <t>82</t>
        </is>
      </c>
      <c r="E440" t="inlineStr">
        <is>
          <t>Overall Max. 82</t>
        </is>
      </c>
      <c r="F440" t="inlineStr">
        <is>
          <t>Intro to Rewards EVOs - EA SPORTS FC 26</t>
        </is>
      </c>
      <c r="G440" t="inlineStr">
        <is>
          <t>Reward</t>
        </is>
      </c>
      <c r="H440" t="inlineStr">
        <is>
          <t>Reward</t>
        </is>
      </c>
      <c r="I440" t="inlineStr">
        <is>
          <t>https://www.fut.gg/evolutions/1214-intro-to-rewards-evos/</t>
        </is>
      </c>
    </row>
    <row r="441">
      <c r="A441" t="inlineStr">
        <is>
          <t>PAC_Max</t>
        </is>
      </c>
      <c r="B441" t="inlineStr">
        <is>
          <t>PAC_Max</t>
        </is>
      </c>
      <c r="C441" t="inlineStr">
        <is>
          <t>Max</t>
        </is>
      </c>
      <c r="D441" t="inlineStr">
        <is>
          <t>84</t>
        </is>
      </c>
      <c r="E441" t="inlineStr">
        <is>
          <t>Pace Max. 84</t>
        </is>
      </c>
      <c r="F441" t="inlineStr">
        <is>
          <t>Intro to Rewards EVOs - EA SPORTS FC 26</t>
        </is>
      </c>
      <c r="G441" t="inlineStr">
        <is>
          <t>Reward</t>
        </is>
      </c>
      <c r="H441" t="inlineStr">
        <is>
          <t>Reward</t>
        </is>
      </c>
      <c r="I441" t="inlineStr">
        <is>
          <t>https://www.fut.gg/evolutions/1214-intro-to-rewards-evos/</t>
        </is>
      </c>
    </row>
    <row r="442">
      <c r="A442" t="inlineStr">
        <is>
          <t>Excluded_Rarity</t>
        </is>
      </c>
      <c r="B442" t="inlineStr">
        <is>
          <t>Excluded Rarity</t>
        </is>
      </c>
      <c r="C442" t="inlineStr">
        <is>
          <t>Exclude</t>
        </is>
      </c>
      <c r="D442" t="inlineStr">
        <is>
          <t>World Tour Silver Stars</t>
        </is>
      </c>
      <c r="E442" t="inlineStr">
        <is>
          <t>Excluded Rarity World Tour Silver Stars</t>
        </is>
      </c>
      <c r="F442" t="inlineStr">
        <is>
          <t>Intro to Rewards EVOs - EA SPORTS FC 26</t>
        </is>
      </c>
      <c r="G442" t="inlineStr">
        <is>
          <t>Reward</t>
        </is>
      </c>
      <c r="H442" t="inlineStr">
        <is>
          <t>Reward</t>
        </is>
      </c>
      <c r="I442" t="inlineStr">
        <is>
          <t>https://www.fut.gg/evolutions/1214-intro-to-rewards-evos/</t>
        </is>
      </c>
    </row>
    <row r="443">
      <c r="A443" t="inlineStr">
        <is>
          <t>Rarity</t>
        </is>
      </c>
      <c r="B443" t="inlineStr">
        <is>
          <t>Rarity</t>
        </is>
      </c>
      <c r="C443" t="inlineStr">
        <is>
          <t>Include</t>
        </is>
      </c>
      <c r="D443" t="inlineStr">
        <is>
          <t>World Tour Silver Stars</t>
        </is>
      </c>
      <c r="E443" t="inlineStr">
        <is>
          <t>Rarity World Tour Silver Stars</t>
        </is>
      </c>
      <c r="F443" t="inlineStr">
        <is>
          <t>Intro to Rewards EVOs - EA SPORTS FC 26</t>
        </is>
      </c>
      <c r="G443" t="inlineStr">
        <is>
          <t>Reward</t>
        </is>
      </c>
      <c r="H443" t="inlineStr">
        <is>
          <t>Reward</t>
        </is>
      </c>
      <c r="I443" t="inlineStr">
        <is>
          <t>https://www.fut.gg/evolutions/1214-intro-to-rewards-evos/</t>
        </is>
      </c>
    </row>
    <row r="444">
      <c r="A444" t="inlineStr">
        <is>
          <t>OVR_Max</t>
        </is>
      </c>
      <c r="B444" t="inlineStr">
        <is>
          <t>OVR_Max</t>
        </is>
      </c>
      <c r="C444" t="inlineStr">
        <is>
          <t>Max</t>
        </is>
      </c>
      <c r="D444" t="inlineStr">
        <is>
          <t>83</t>
        </is>
      </c>
      <c r="E444" t="inlineStr">
        <is>
          <t>Overall Max. 83</t>
        </is>
      </c>
      <c r="F444" t="inlineStr">
        <is>
          <t>Club Member Reward - EA SPORTS FC 26</t>
        </is>
      </c>
      <c r="G444" t="inlineStr">
        <is>
          <t>Reward</t>
        </is>
      </c>
      <c r="H444" t="inlineStr">
        <is>
          <t>Reward</t>
        </is>
      </c>
      <c r="I444" t="inlineStr">
        <is>
          <t>https://www.fut.gg/evolutions/1215-club-member-reward/</t>
        </is>
      </c>
    </row>
    <row r="445">
      <c r="A445" t="inlineStr">
        <is>
          <t>Position</t>
        </is>
      </c>
      <c r="B445" t="inlineStr">
        <is>
          <t>Position</t>
        </is>
      </c>
      <c r="C445" t="inlineStr">
        <is>
          <t>Include</t>
        </is>
      </c>
      <c r="D445" t="inlineStr">
        <is>
          <t>ST Details Submit by in 5 months Expiry in 5 months Coins Cost Free Points Cost Free</t>
        </is>
      </c>
      <c r="E445" t="inlineStr">
        <is>
          <t>Position ST Details Submit by in 5 months Expiry in 5 months Coins Cost Free Points Cost Free</t>
        </is>
      </c>
      <c r="F445" t="inlineStr">
        <is>
          <t>Club Member Reward - EA SPORTS FC 26</t>
        </is>
      </c>
      <c r="G445" t="inlineStr">
        <is>
          <t>Reward</t>
        </is>
      </c>
      <c r="H445" t="inlineStr">
        <is>
          <t>Reward</t>
        </is>
      </c>
      <c r="I445" t="inlineStr">
        <is>
          <t>https://www.fut.gg/evolutions/1215-club-member-reward/</t>
        </is>
      </c>
    </row>
    <row r="446">
      <c r="A446" t="inlineStr">
        <is>
          <t>Excluded_Rarity</t>
        </is>
      </c>
      <c r="B446" t="inlineStr">
        <is>
          <t>Excluded Rarity</t>
        </is>
      </c>
      <c r="C446" t="inlineStr">
        <is>
          <t>Exclude</t>
        </is>
      </c>
      <c r="D446" t="inlineStr">
        <is>
          <t>World Tour Silver Stars</t>
        </is>
      </c>
      <c r="E446" t="inlineStr">
        <is>
          <t>Excluded Rarity World Tour Silver Stars</t>
        </is>
      </c>
      <c r="F446" t="inlineStr">
        <is>
          <t>Club Member Reward - EA SPORTS FC 26</t>
        </is>
      </c>
      <c r="G446" t="inlineStr">
        <is>
          <t>Reward</t>
        </is>
      </c>
      <c r="H446" t="inlineStr">
        <is>
          <t>Reward</t>
        </is>
      </c>
      <c r="I446" t="inlineStr">
        <is>
          <t>https://www.fut.gg/evolutions/1215-club-member-reward/</t>
        </is>
      </c>
    </row>
    <row r="447">
      <c r="A447" t="inlineStr">
        <is>
          <t>Rarity</t>
        </is>
      </c>
      <c r="B447" t="inlineStr">
        <is>
          <t>Rarity</t>
        </is>
      </c>
      <c r="C447" t="inlineStr">
        <is>
          <t>Include</t>
        </is>
      </c>
      <c r="D447" t="inlineStr">
        <is>
          <t>World Tour Silver Stars</t>
        </is>
      </c>
      <c r="E447" t="inlineStr">
        <is>
          <t>Rarity World Tour Silver Stars</t>
        </is>
      </c>
      <c r="F447" t="inlineStr">
        <is>
          <t>Club Member Reward - EA SPORTS FC 26</t>
        </is>
      </c>
      <c r="G447" t="inlineStr">
        <is>
          <t>Reward</t>
        </is>
      </c>
      <c r="H447" t="inlineStr">
        <is>
          <t>Reward</t>
        </is>
      </c>
      <c r="I447" t="inlineStr">
        <is>
          <t>https://www.fut.gg/evolutions/1215-club-member-reward/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6.5"/>
  <sheetData>
    <row r="1">
      <c r="A1" t="inlineStr">
        <is>
          <t>Source_Group</t>
        </is>
      </c>
      <c r="B1" t="inlineStr">
        <is>
          <t>Category</t>
        </is>
      </c>
      <c r="C1" t="inlineStr">
        <is>
          <t>URL</t>
        </is>
      </c>
      <c r="D1" t="inlineStr">
        <is>
          <t>Link_Text</t>
        </is>
      </c>
      <c r="E1" t="inlineStr">
        <is>
          <t>Parent_Text</t>
        </is>
      </c>
    </row>
    <row r="2">
      <c r="A2" t="inlineStr">
        <is>
          <t>Current</t>
        </is>
      </c>
      <c r="B2" t="inlineStr">
        <is>
          <t>Current Evolutions</t>
        </is>
      </c>
      <c r="C2" t="inlineStr">
        <is>
          <t>https://www.fut.gg/evolutions/1962-rapid-gains/</t>
        </is>
      </c>
      <c r="D2" t="inlineStr">
        <is>
          <t>Rapid Gains NEW 3</t>
        </is>
      </c>
      <c r="E2" t="inlineStr">
        <is>
          <t>Rapid Gains NEW 3 Hit the gym, skip leg day? Not here. This EVO boosts strength and agility so your player can outmuscle defenders and still glide past them. Riise 88 LB PAC 88 SHO 83 PAS 86 DRI 85 DEF 86 PHY 88 LM L 4 ★ 4 LB 88.2 Riise 88 LB PAC 88 SHO 83 PAS 86 DRI 86 DEF 86 PHY 92 LM L 4 ★ 4 LB 89.5 REQUIREMENTS Excluded Rarity World Tour Silver Stars Overall Max. 88 Max PS 10 UPGRADES +10 Agility 90 +10 Strength 95 8 in 9 days in 16 days 67% 33%</t>
        </is>
      </c>
    </row>
    <row r="3">
      <c r="A3" t="inlineStr">
        <is>
          <t>Current</t>
        </is>
      </c>
      <c r="B3" t="inlineStr">
        <is>
          <t>Current Evolutions</t>
        </is>
      </c>
      <c r="C3" t="inlineStr">
        <is>
          <t>https://www.fut.gg/evolutions/1954-tie-interceptor/</t>
        </is>
      </c>
      <c r="D3" t="inlineStr">
        <is>
          <t>Tie Interceptor 3</t>
        </is>
      </c>
      <c r="E3" t="inlineStr">
        <is>
          <t>Tie Interceptor 3 Make key defensive stops and drive the ball forward in the moments that define the match. Wesley 88 RB PAC 92 SHO 75 PAS 84 DRI 88 DEF 85 PHY 84 RM R 4 ★ 3 RB 85.4 Wesley 89 RB PAC 92 SHO 75 PAS 86 DRI 88 DEF 88 PHY 85 RM R 4 ★ 3 RB 89.7 REQUIREMENTS Excluded Rarity World Tour Silver Stars Overall Max. 88 Max PS 10 Max PS+ 2 UPGRADES +1 OVR +5 Vision 91 +2 Short Pass 90 +2 Long Pass 93 +5 Agility 88 +5 Interceptions 93 +5 Defensive Awareness 92 +2 Strength 92 +2 Aggression 93 2 8 in 8 days in 15 days 57% 43%</t>
        </is>
      </c>
    </row>
    <row r="4">
      <c r="A4" t="inlineStr">
        <is>
          <t>Current</t>
        </is>
      </c>
      <c r="B4" t="inlineStr">
        <is>
          <t>Current Evolutions</t>
        </is>
      </c>
      <c r="C4" t="inlineStr">
        <is>
          <t>https://www.fut.gg/evolutions/1953-the-trailblazer/</t>
        </is>
      </c>
      <c r="D4" t="inlineStr">
        <is>
          <t>The Trailblazer 30,000 300</t>
        </is>
      </c>
      <c r="E4" t="inlineStr">
        <is>
          <t>The Trailblazer 30,000 300 Right‑side brilliance meets big‑game pedigree. A trophy‑winning Lioness with fearless overlaps and pinpoint delivery, redefining what a modern full‑back can be. Lahm 89 RB PAC 84 SHO 68 PAS 83 DRI 83 DEF 86 PHY 70 LB CDM R 3 ★ 3 LB 80.0 Lahm 91 RB PAC 91 SHO 68 PAS 89 DRI 90 DEF 91 PHY 78 LB CDM R 3 ★ 5 LB 90.6 REQUIREMENTS Excluded Rarity World Tour Silver Stars Overall Max. 89 Position RB Excluded Position CB Max PS 10 Max PS+ 2 UPGRADES +15 OVR 91 +4 WF +25 Acceleration 92 +25 Short Pass 93 +25 Long Pass 89 +15 Curve 88 +25 Sprint Speed 91 +15 Vision 87 +20 Crossing 89 +10 Fk Accuracy 80 +10 Aggression 89 +20 Agility 91 +20 Balance 88 +10 Stamina 90 +10 Strength 89 +10 Jumping 85 +20 Reactions 89 +20 Ball Control 90 +20 Dribbling 90 +20 Composure 91 +15 Interceptions 92 +10 Heading Acc. 88 +10 Defensive Awareness 90 +15 Standing Tackle 94 +15 Sliding Tackle 90 3 7 in 7 days in 14 days 82% 18%</t>
        </is>
      </c>
    </row>
    <row r="5">
      <c r="A5" t="inlineStr">
        <is>
          <t>Current</t>
        </is>
      </c>
      <c r="B5" t="inlineStr">
        <is>
          <t>Current Evolutions</t>
        </is>
      </c>
      <c r="C5" t="inlineStr">
        <is>
          <t>https://www.fut.gg/evolutions/1951-fountain-of-youth/</t>
        </is>
      </c>
      <c r="D5" t="inlineStr">
        <is>
          <t>Fountain of Youth 3</t>
        </is>
      </c>
      <c r="E5" t="inlineStr">
        <is>
          <t>Fountain of Youth 3 Turn back the clock and give your qualifying player a pace, dribbling and stamina boost. Bardakcı 88 CB PAC 85 SHO 53 PAS 85 DRI 76 DEF 88 PHY 92 LB LM L 4 ★ 5 LB 88.3 Bardakcı 88 CB PAC 88 SHO 53 PAS 85 DRI 77 DEF 88 PHY 93 LB LM L 4 ★ 5 LB 89.7 REQUIREMENTS Excluded Rarity World Tour Silver Stars Overall Max. 88 Born Before 1996-04-25 UPGRADES +3 Acceleration 91 +3 Sprint Speed 90 +5 Agility 94 +5 Balance 94 +10 Stamina 95 in 6 days in 13 days 25% 75%</t>
        </is>
      </c>
    </row>
    <row r="6">
      <c r="A6" t="inlineStr">
        <is>
          <t>Current</t>
        </is>
      </c>
      <c r="B6" t="inlineStr">
        <is>
          <t>Current Evolutions</t>
        </is>
      </c>
      <c r="C6" t="inlineStr">
        <is>
          <t>https://www.fut.gg/evolutions/1939-the-king-of-highbury/</t>
        </is>
      </c>
      <c r="D6" t="inlineStr">
        <is>
          <t>The King of Highbury 125,000 1,000</t>
        </is>
      </c>
      <c r="E6" t="inlineStr">
        <is>
          <t>The King of Highbury 125,000 1,000 Explode beyond defenders with electrifying speed and channel Thierry Henry’s signature strike, delivering every shot with flawless technique and ice-cold composure. Shaw 90 ST PAC 85 SHO 90 PAS 76 DRI 85 DEF 33 PHY 85 R 3 ★ 4 ST 82.2 Shaw 91 ST PAC 92 SHO 93 PAS 87 DRI 90 DEF 33 PHY 85 R 5 ★ 4 ST 93.0 REQUIREMENTS Excluded Rarity World Tour Silver Stars Overall Max. 90 Position ST, LW Max PS 10 Max PS+ 2 Strength Max. 91 Pace Max. 95 UPGRADES +30 OVR 91 +4 SM +3 WF 4 +30 Acceleration 92 +30 Agility 90 +30 Balance 88 +30 Reactions 93 +30 Ball Control 89 +30 Sprint Speed 92 +30 Positioning 92 +30 Finishing 94 +30 Shot Power 91 +30 Long Shots 91 +30 Volleys 89 +30 Penalties 85 +30 Vision 85 +30 Crossing 85 +30 Fk Accuracy 90 +30 Short Pass 88 +30 Long Pass 85 +30 Curve 95 +30 Dribbling 90 +30 Composure 92 +25 Heading Acc. 87 3 7 in 5 days in 12 days 67% 33%</t>
        </is>
      </c>
    </row>
    <row r="7">
      <c r="A7" t="inlineStr">
        <is>
          <t>Current</t>
        </is>
      </c>
      <c r="B7" t="inlineStr">
        <is>
          <t>Current Evolutions</t>
        </is>
      </c>
      <c r="C7" t="inlineStr">
        <is>
          <t>https://www.fut.gg/evolutions/1938-power-up/</t>
        </is>
      </c>
      <c r="D7" t="inlineStr">
        <is>
          <t>Power Up 5</t>
        </is>
      </c>
      <c r="E7" t="inlineStr">
        <is>
          <t>Power Up 5 Power up physically and unleash pure strength on your opponents. O'Reilly 87 LB PAC 89 SHO 82 PAS 86 DRI 87 DEF 85 PHY 85 CM CAM L 3 ★ 3 LB 87.2 O'Reilly 87 LB PAC 89 SHO 83 PAS 86 DRI 87 DEF 86 PHY 88 CM CAM L 3 ★ 3 LB 89.5 REQUIREMENTS Excluded Rarity World Tour Silver Stars Overall Max. 88 Max PS 10 UPGRADES +4 Shot Power 93 +4 Jumping 93 +3 Aggression 91 +4 Heading Acc. 93 +3 Stamina 91 +4 Strength 91 8 in 5 days in 12 days 37% 63%</t>
        </is>
      </c>
    </row>
    <row r="8">
      <c r="A8" t="inlineStr">
        <is>
          <t>Current</t>
        </is>
      </c>
      <c r="B8" t="inlineStr">
        <is>
          <t>Current Evolutions</t>
        </is>
      </c>
      <c r="C8" t="inlineStr">
        <is>
          <t>https://www.fut.gg/evolutions/1937-back-on-track/</t>
        </is>
      </c>
      <c r="D8" t="inlineStr">
        <is>
          <t>Back on Track 3</t>
        </is>
      </c>
      <c r="E8" t="inlineStr">
        <is>
          <t>Back on Track 3 Help your players get Back on Track with a variety of stat boosts and 3 base PlayStyles. Amaiur Sarriegi 88 ST PAC 93 SHO 86 PAS 84 DRI 91 DEF 55 PHY 88 RM RW LW R 4 ★ 4 RW 88.3 Amaiur Sarriegi 88 ST PAC 93 SHO 86 PAS 85 DRI 91 DEF 56 PHY 88 RM RW LW R 4 ★ 4 RW 89.9 REQUIREMENTS Excluded Rarity World Tour Silver Stars Overall Max. 88 Max PS 10 UPGRADES +3 Positioning 90 +4 Curve 90 +4 Composure 90 +3 Stamina 90 +4 Vision 90 +4 Reactions 90 +3 Defensive Awareness 90 +3 Aggression 90 8 in 4 days in 11 days 40% 60%</t>
        </is>
      </c>
    </row>
    <row r="9">
      <c r="A9" t="inlineStr">
        <is>
          <t>Current</t>
        </is>
      </c>
      <c r="B9" t="inlineStr">
        <is>
          <t>Current Evolutions</t>
        </is>
      </c>
      <c r="C9" t="inlineStr">
        <is>
          <t>https://www.fut.gg/evolutions/1922-columbus-conductor/</t>
        </is>
      </c>
      <c r="D9" t="inlineStr">
        <is>
          <t>Columbus Conductor</t>
        </is>
      </c>
      <c r="E9" t="inlineStr">
        <is>
          <t>Columbus Conductor Become a true master of midfield balance. The Columbus Conductor commands the tempo, controls the chaos, and orchestrates the match. Madsen 84 CDM PAC 78 SHO 81 PAS 86 DRI 84 DEF 80 PHY 84 CM CAM R 3 ★ 4 CM 79.2 Madsen 90 CDM PAC 88 SHO 83 PAS 90 DRI 90 DEF 89 PHY 86 CM CAM R 3 ★ 4 CM 90.2 REQUIREMENTS Excluded Rarity World Tour Silver Stars Overall Max. 88 Position CDM Max PS 10 Max PS+ 2 Defending Max. 98 UPGRADES +25 OVR 90 +25 Jumping 87 +15 Long Shots 90 +25 Curve 92 +25 Agility 92 +25 Dribbling 89 +15 Acceleration 87 +15 Volleys 94 +25 Short Pass 92 +25 Balance 89 +25 Defensive Awareness 90 +15 Sprint Speed 89 +25 Vision 92 +25 Long Pass 92 +25 Reactions 91 +25 Standing Tackle 90 +15 Shot Power 90 +25 Crossing 84 +25 Ball Control 89 +25 Interceptions 91 +25 Sliding Tackle 88 +25 Fk Accuracy 89 +25 Composure 91 +25 Stamina 90 +25 Strength 87 2 8 in 3 days in 10 days 46% 54%</t>
        </is>
      </c>
    </row>
    <row r="10">
      <c r="A10" t="inlineStr">
        <is>
          <t>Current</t>
        </is>
      </c>
      <c r="B10" t="inlineStr">
        <is>
          <t>Current Evolutions</t>
        </is>
      </c>
      <c r="C10" t="inlineStr">
        <is>
          <t>https://www.fut.gg/evolutions/1921-tricksy-hobbits/</t>
        </is>
      </c>
      <c r="D10" t="inlineStr">
        <is>
          <t>Tricksy Hobbits 2</t>
        </is>
      </c>
      <c r="E10" t="inlineStr">
        <is>
          <t>Tricksy Hobbits 2 Quick off the mark and slippery in tight spaces, turn your player into a darting menace. Luany 88 RM PAC 91 SHO 87 PAS 82 DRI 88 DEF 51 PHY 85 CAM RW ST R 3 ★ 5 RM 84.7 Luany 88 RM PAC 92 SHO 87 PAS 82 DRI 89 DEF 51 PHY 85 CAM RW ST R 5 ★ 5 RM 89.9 REQUIREMENTS Excluded Rarity World Tour Silver Stars Overall Max. 88 Position LW, RW Max PS 10 UPGRADES +4 SM 5 +8 Acceleration 93 +8 Agility 93 +6 Sprint Speed 91 +6 Balance 92 8 in 2 days in 9 days 34% 66%</t>
        </is>
      </c>
    </row>
    <row r="11">
      <c r="A11" t="inlineStr">
        <is>
          <t>Current</t>
        </is>
      </c>
      <c r="B11" t="inlineStr">
        <is>
          <t>Current Evolutions</t>
        </is>
      </c>
      <c r="C11" t="inlineStr">
        <is>
          <t>https://www.fut.gg/evolutions/1920-express-delivery/</t>
        </is>
      </c>
      <c r="D11" t="inlineStr">
        <is>
          <t>Express Delivery 2</t>
        </is>
      </c>
      <c r="E11" t="inlineStr">
        <is>
          <t>Express Delivery 2 Turn your fullback into a nonstop outlet down the flank. Show blistering pace and quality on the ball to deliver the perfect cross. Deijl 88 RB PAC 88 SHO 74 PAS 81 DRI 83 DEF 87 PHY 89 R 3 ★ 5 RB 86.5 Deijl 89 RB PAC 92 SHO 74 PAS 88 DRI 87 DEF 87 PHY 89 R 3 ★ 5 RB 91.8 REQUIREMENTS Excluded Rarity World Tour Silver Stars Overall Max. 88 Position LB, RB Excluded Position CB Max PS 10 Max PS+ 2 UPGRADES +1 OVR +12 Crossing 93 +6 Short Pass 90 +6 Sprint Speed 92 +10 Long Pass 92 +6 Acceleration 92 +12 Curve 92 +8 Vision 91 +10 Stamina 93 +8 Dribbling 91 +8 Agility 91 2 8 in 1 day in 8 days 14% 86%</t>
        </is>
      </c>
    </row>
    <row r="12">
      <c r="A12" t="inlineStr">
        <is>
          <t>Current</t>
        </is>
      </c>
      <c r="B12" t="inlineStr">
        <is>
          <t>Current Evolutions</t>
        </is>
      </c>
      <c r="C12" t="inlineStr">
        <is>
          <t>https://www.fut.gg/evolutions/1919-the-swan-of-utrecht/</t>
        </is>
      </c>
      <c r="D12" t="inlineStr">
        <is>
          <t>The Swan of Utrecht 60,000 400</t>
        </is>
      </c>
      <c r="E12" t="inlineStr">
        <is>
          <t>The Swan of Utrecht 60,000 400 Glide through defenses with effortless elegance and channel Marco van Basten’s signature blend of grace and ruthlessness to make finishes look like art. Lukaku 85 CAM PAC 84 SHO 86 PAS 80 DRI 81 DEF 42 PHY 85 ST L 4 ★ 4 ST 80.4 Lukaku 91 CAM PAC 91 SHO 91 PAS 87 DRI 91 DEF 43 PHY 89 ST L 4 ★ 5 ST 92.1 REQUIREMENTS Excluded Rarity World Tour Silver Stars Overall Max. 89 Position ST Max PS 10 Max PS+ 2 Pace Max. 91 UPGRADES +15 OVR 91 +8 PAS 87 +4 WF 5 +20 Dribbling 91 +15 Strength 88 +25 Positioning 95 +25 Ball Control 92 +15 Sprint Speed 91 +20 Agility 89 +20 Balance 89 +15 Acceleration 90 +25 Finishing 92 +20 Heading Acc. 90 +25 Shot Power 91 +25 Long Shots 89 +15 Jumping 89 +25 Composure 92 +25 Volleys 93 +25 Reactions 91 +25 Penalties 89 +15 Stamina 90 2 8 Show less in 11 hours in 7 days 13% 87%</t>
        </is>
      </c>
    </row>
    <row r="13">
      <c r="A13" t="inlineStr">
        <is>
          <t>Current</t>
        </is>
      </c>
      <c r="B13" t="inlineStr">
        <is>
          <t>Current Evolutions</t>
        </is>
      </c>
      <c r="C13" t="inlineStr">
        <is>
          <t>https://www.fut.gg/evolutions/1280-star-in-motion/</t>
        </is>
      </c>
      <c r="D13" t="inlineStr">
        <is>
          <t>Star in Motion</t>
        </is>
      </c>
      <c r="E13" t="inlineStr">
        <is>
          <t>Star in Motion Celebrate Jamal Musiala’s rise to football’s elite. Step into the spotlight with enhanced creativity, flair, and precision that define the face of the game’s new generation. Dunn 82 CM PAC 85 SHO 76 PAS 80 DRI 82 DEF 75 PHY 79 LB RM CAM R 4 ★ 4 RM 77.1 Dunn 86 CM PAC 85 SHO 82 PAS 82 DRI 88 DEF 75 PHY 79 LB RM CAM R 5 ★ 4 CAM 83.1 REQUIREMENTS Excluded Rarity World Tour Silver Stars Overall Max. 85 Position CAM Max PS 10 Max PS+ 1 Pace Max. 85 UPGRADES +10 OVR 86 +25 PAC 80 +10 SHO 82 +10 DRI 88 +5 DEF 60 +10 PAS 82 +4 SM +15 Jumping 80 +20 Stamina 80 +15 Aggression 65 +15 Strength 70 CAM Shadow Striker ++ CAM Half Winger + 1 6 Show less in 5 months in 5 months 91% 9%</t>
        </is>
      </c>
    </row>
    <row r="14">
      <c r="A14" t="inlineStr">
        <is>
          <t>Current</t>
        </is>
      </c>
      <c r="B14" t="inlineStr">
        <is>
          <t>Current Evolutions</t>
        </is>
      </c>
      <c r="C14" t="inlineStr">
        <is>
          <t>https://www.fut.gg/evolutions/1213-intro-to-training-camp-evos-i/</t>
        </is>
      </c>
      <c r="D14" t="inlineStr">
        <is>
          <t>Intro to Training Camp EVOs I</t>
        </is>
      </c>
      <c r="E14" t="inlineStr">
        <is>
          <t>Intro to Training Camp EVOs I Assign a GK to Training Camp Evolutions through the Companion App. When the training session concludes, collect their earned upgrades. Svilar 82 GK DIV 80 HAN 80 KIC 77 REF 85 SPD 58 POS 82 R 1 ★ 3 GK 76.7 Svilar 82 GK DIV 80 HAN 80 KIC 77 REF 85 SPD 58 POS 82 R 1 ★ 3 GK 77.6 REQUIREMENTS Excluded Rarity World Tour Silver Stars Overall Max. 82 Position GK UPGRADES GK Sweeper Keeper + TRAINING TIME 1 day in 5 months in 5 months 70% 30%</t>
        </is>
      </c>
    </row>
    <row r="15">
      <c r="A15" t="inlineStr">
        <is>
          <t>Current</t>
        </is>
      </c>
      <c r="B15" t="inlineStr">
        <is>
          <t>Current Evolutions</t>
        </is>
      </c>
      <c r="C15" t="inlineStr">
        <is>
          <t>https://www.fut.gg/evolutions/1212-intro-to-training-camp-evos-ii/</t>
        </is>
      </c>
      <c r="D15" t="inlineStr">
        <is>
          <t>Intro to Training Camp EVOs II</t>
        </is>
      </c>
      <c r="E15" t="inlineStr">
        <is>
          <t>Intro to Training Camp EVOs II Assign a Player to Training Camp Evolutions through the Companion App. When the training session concludes, collect their earned upgrades. Sarr 82 CAM PAC 93 SHO 82 PAS 80 DRI 82 DEF 32 PHY 74 CM RW R 3 ★ 2 RW 76.3 Sarr 82 CAM PAC 93 SHO 82 PAS 80 DRI 82 DEF 32 PHY 74 CM RW R 3 ★ 2 RW 77.6 REQUIREMENTS Excluded Rarity World Tour Silver Stars Overall Max. 82 Max PS 3 UPGRADES 4 TRAINING TIME 1 day in 5 months in 5 months 77% 23%</t>
        </is>
      </c>
    </row>
    <row r="16">
      <c r="A16" t="inlineStr">
        <is>
          <t>Current</t>
        </is>
      </c>
      <c r="B16" t="inlineStr">
        <is>
          <t>Current Evolutions</t>
        </is>
      </c>
      <c r="C16" t="inlineStr">
        <is>
          <t>https://www.fut.gg/evolutions/1211-intro-to-evolutions/</t>
        </is>
      </c>
      <c r="D16" t="inlineStr">
        <is>
          <t>Intro to Evolutions 2</t>
        </is>
      </c>
      <c r="E16" t="inlineStr">
        <is>
          <t>Intro to Evolutions 2 Welcome to FC 26! Kick things off by exploring Evolutions, where you can upgrade Players over time until they reach their stated maximum. Chiesa 81 RM PAC 87 SHO 80 PAS 75 DRI 83 DEF 44 PHY 68 LM RW ST R 4 ★ 4 LM 78.5 Chiesa 82 RM PAC 87 SHO 81 PAS 75 DRI 83 DEF 44 PHY 68 LM RW ST R 4 ★ 4 LM 78.8 REQUIREMENTS Excluded Rarity World Tour Silver Stars Overall Max. 81 UPGRADES +1 OVR 82 +1 PAC 83 +1 SHO 83 in 5 months in 5 months 81% 19%</t>
        </is>
      </c>
    </row>
    <row r="17">
      <c r="A17" t="inlineStr">
        <is>
          <t>Reward</t>
        </is>
      </c>
      <c r="B17" t="inlineStr">
        <is>
          <t>Reward</t>
        </is>
      </c>
      <c r="C17" t="inlineStr">
        <is>
          <t>https://www.fut.gg/evolutions/1960-welsh-wonder-strike-store/</t>
        </is>
      </c>
      <c r="D17" t="inlineStr">
        <is>
          <t>Welsh Wonder Strike [Store] NEW</t>
        </is>
      </c>
      <c r="E17" t="inlineStr">
        <is>
          <t>Welsh Wonder Strike [Store] NEW Unlocked by purchasing the Captains' Armband EVO pack. REQUIREMENTS Excluded Rarity World Tour Silver Stars Overall Max. 87 Max PS 10 Max PS+ 2 UPGRADES +15 OVR 89 +25 Acceleration 90 +20 Shot Power 90 +10 Vision 87 +25 Composure 88 +25 Sprint Speed 93 +20 Long Shots 90 +10 Long Pass 87 +25 Dribbling 90 +20 Positioning 89 +20 Volleys 93 +15 Short Pass 88 +25 Ball Control 89 +30 Jumping 92 +20 Finishing 90 +10 Crossing 86 +15 Curve 89 +25 Reactions 90 +20 Heading Acc. 87 +20 Penalties 87 +15 Fk Accuracy 88 +25 Agility 88 +25 Balance 87 2 8 TRAINING TIME 31 minutes in 14 days in 14 days 18% 82%</t>
        </is>
      </c>
    </row>
    <row r="18">
      <c r="A18" t="inlineStr">
        <is>
          <t>Reward</t>
        </is>
      </c>
      <c r="B18" t="inlineStr">
        <is>
          <t>Reward</t>
        </is>
      </c>
      <c r="C18" t="inlineStr">
        <is>
          <t>https://www.fut.gg/evolutions/1961-il-capitano-store/</t>
        </is>
      </c>
      <c r="D18" t="inlineStr">
        <is>
          <t>Il Capitano [Store] NEW</t>
        </is>
      </c>
      <c r="E18" t="inlineStr">
        <is>
          <t>Il Capitano [Store] NEW Unlocked by purchasing the Captains' Armband EVO pack. Kohler 89 CB PAC 71 SHO 51 PAS 63 DRI 62 DEF 91 PHY 90 R 2 ★ 3 CB 76.8 Kohler 91 CB PAC 88 SHO 51 PAS 75 DRI 77 DEF 93 PHY 92 R 2 ★ 3 CB 91.7 REQUIREMENTS Excluded Rarity World Tour Silver Stars Overall Max. 89 Position CB Excluded Position CM Max PS 10 Max PS+ 2 Pace Max. 90 UPGRADES +30 OVR 91 +30 Acceleration 87 +30 Short Pass 90 +30 Heading Acc. 92 +30 Defensive Awareness 95 +30 Sprint Speed 88 +30 Vision 70 +30 Agility 73 +30 Balance 80 +30 Long Pass 85 +30 Ball Control 75 +30 Dribbling 75 +30 Reactions 95 +30 Composure 91 +30 Interceptions 93 +30 Standing Tackle 92 +30 Sliding Tackle 92 +30 Stamina 90 +30 Strength 92 +30 Jumping 90 +30 Aggression 85 CB Defender ++ CB Stopper ++ CB Wideback ++ 2 8 in 14 days in 14 days 20% 80%</t>
        </is>
      </c>
    </row>
    <row r="19">
      <c r="A19" t="inlineStr">
        <is>
          <t>Reward</t>
        </is>
      </c>
      <c r="B19" t="inlineStr">
        <is>
          <t>Objective</t>
        </is>
      </c>
      <c r="C19" t="inlineStr">
        <is>
          <t>https://www.fut.gg/evolutions/1959-gamechanger/</t>
        </is>
      </c>
      <c r="D19" t="inlineStr">
        <is>
          <t>Gamechanger</t>
        </is>
      </c>
      <c r="E19" t="inlineStr">
        <is>
          <t>Gamechanger Unlocked by completing the Score 5 task in the TOTS BWSL Flash Rush objective REQUIREMENTS Excluded Rarity World Tour Silver Stars Overall Max. 89 Max PS 7 UPGRADES 8 in 9 days in 9 days 30% 70%</t>
        </is>
      </c>
    </row>
    <row r="20">
      <c r="A20" t="inlineStr">
        <is>
          <t>Reward</t>
        </is>
      </c>
      <c r="B20" t="inlineStr">
        <is>
          <t>Objective</t>
        </is>
      </c>
      <c r="C20" t="inlineStr">
        <is>
          <t>https://www.fut.gg/evolutions/1958-intercept/</t>
        </is>
      </c>
      <c r="D20" t="inlineStr">
        <is>
          <t>Intercept</t>
        </is>
      </c>
      <c r="E20" t="inlineStr">
        <is>
          <t>Intercept Unlocked by completing the Win 3 task in the TOTS BWSL Flash Rush objective REQUIREMENTS Excluded Rarity World Tour Silver Stars Overall Max. 89 Max PS 7 UPGRADES 8 in 9 days in 9 days 54% 46%</t>
        </is>
      </c>
    </row>
    <row r="21">
      <c r="A21" t="inlineStr">
        <is>
          <t>Reward</t>
        </is>
      </c>
      <c r="B21" t="inlineStr">
        <is>
          <t>Objective</t>
        </is>
      </c>
      <c r="C21" t="inlineStr">
        <is>
          <t>https://www.fut.gg/evolutions/1957-defensive-awareness/</t>
        </is>
      </c>
      <c r="D21" t="inlineStr">
        <is>
          <t>Defensive Awareness</t>
        </is>
      </c>
      <c r="E21" t="inlineStr">
        <is>
          <t>Defensive Awareness Unlocked by completing the Win 4 task in the Ultimate Gauntlet 16 objective REQUIREMENTS Excluded Rarity World Tour Silver Stars Overall Max. 89 Max PS 7 UPGRADES 8 in 9 days in 9 days 25% 75%</t>
        </is>
      </c>
    </row>
    <row r="22">
      <c r="A22" t="inlineStr">
        <is>
          <t>Reward</t>
        </is>
      </c>
      <c r="B22" t="inlineStr">
        <is>
          <t>Objective</t>
        </is>
      </c>
      <c r="C22" t="inlineStr">
        <is>
          <t>https://www.fut.gg/evolutions/1956-in-form/</t>
        </is>
      </c>
      <c r="D22" t="inlineStr">
        <is>
          <t>In Form</t>
        </is>
      </c>
      <c r="E22" t="inlineStr">
        <is>
          <t>In Form Unlocked by completing the Score in 6 task in the Ultimate Gauntlet 16 objective REQUIREMENTS Excluded Rarity World Tour Silver Stars Overall Max. 89 UPGRADES +2 OVR +2 PAC 91 +2 SHO 90 +2 PAS 91 +2 DRI 90 +2 DEF 90 +2 PHY 91 in 9 days in 9 days 23% 77%</t>
        </is>
      </c>
    </row>
    <row r="23">
      <c r="A23" t="inlineStr">
        <is>
          <t>Reward</t>
        </is>
      </c>
      <c r="B23" t="inlineStr">
        <is>
          <t>Objective</t>
        </is>
      </c>
      <c r="C23" t="inlineStr">
        <is>
          <t>https://www.fut.gg/evolutions/1955-gamechanger/</t>
        </is>
      </c>
      <c r="D23" t="inlineStr">
        <is>
          <t>Gamechanger+</t>
        </is>
      </c>
      <c r="E23" t="inlineStr">
        <is>
          <t>Gamechanger+ Unlocked by completing the Score in 3 task in the Ultimate Gauntlet 16 objective REQUIREMENTS Excluded Rarity World Tour Silver Stars Overall Max. 89 Max PS 1 UPGRADES 2 in 9 days in 9 days 7% 93%</t>
        </is>
      </c>
    </row>
    <row r="24">
      <c r="A24" t="inlineStr">
        <is>
          <t>Reward</t>
        </is>
      </c>
      <c r="B24" t="inlineStr">
        <is>
          <t>Objective</t>
        </is>
      </c>
      <c r="C24" t="inlineStr">
        <is>
          <t>https://www.fut.gg/evolutions/1952-intercept-quick-step/</t>
        </is>
      </c>
      <c r="D24" t="inlineStr">
        <is>
          <t>Intercept+ &amp; Quick Step+</t>
        </is>
      </c>
      <c r="E24" t="inlineStr">
        <is>
          <t>Intercept+ &amp; Quick Step+ Unlocked by completing the Score in 30 task in the S7 Spirit of Africa League objective António Silva 87 CB PAC 89 SHO 46 PAS 75 DRI 78 DEF 87 PHY 89 R 3 ★ 3 CB 86.6 António Silva 87 CB PAC 89 SHO 46 PAS 75 DRI 78 DEF 87 PHY 89 R 3 ★ 3 CB 90.0 REQUIREMENTS Excluded Rarity World Tour Silver Stars Overall Max. 89 Max PS+ 1 UPGRADES 2 in 1 month in 1 month 75% 25%</t>
        </is>
      </c>
    </row>
    <row r="25">
      <c r="A25" t="inlineStr">
        <is>
          <t>Reward</t>
        </is>
      </c>
      <c r="B25" t="inlineStr">
        <is>
          <t>Objective</t>
        </is>
      </c>
      <c r="C25" t="inlineStr">
        <is>
          <t>https://www.fut.gg/evolutions/1950-wtss-defender-boost/</t>
        </is>
      </c>
      <c r="D25" t="inlineStr">
        <is>
          <t>WTSS Defender Boost</t>
        </is>
      </c>
      <c r="E25" t="inlineStr">
        <is>
          <t>WTSS Defender Boost Unlocked by completing the S7 Spirit of Africa Tournament objective Moore 74 CB PAC 74 SHO 42 PAS 70 DRI 57 DEF 83 PHY 72 R 2 ★ 3 CB 68.4 Moore 74 CB PAC 74 SHO 42 PAS 70 DRI 57 DEF 85 PHY 74 R 2 ★ 3 CB 76.2 REQUIREMENTS Rarity World Tour Silver Stars Overall Max. 74 Max PS+ 1 UPGRADES +5 OVR 74 +3 Composure +2 Interceptions +2 Sliding Tackle +2 Jumping +2 Balance +2 Heading Acc. +2 Standing Tackle +3 Stamina +2 Reactions +3 Defensive Awareness +2 Strength +2 Aggression 3 in 1 month in 1 month 74% 26%</t>
        </is>
      </c>
    </row>
    <row r="26">
      <c r="A26" t="inlineStr">
        <is>
          <t>Reward</t>
        </is>
      </c>
      <c r="B26" t="inlineStr">
        <is>
          <t>Objective</t>
        </is>
      </c>
      <c r="C26" t="inlineStr">
        <is>
          <t>https://www.fut.gg/evolutions/1949-wtss-attacker-boost/</t>
        </is>
      </c>
      <c r="D26" t="inlineStr">
        <is>
          <t>WTSS Attacker Boost</t>
        </is>
      </c>
      <c r="E26" t="inlineStr">
        <is>
          <t>WTSS Attacker Boost Unlocked by completing the S7 Spirit of Africa League objective Šuker 73 ST PAC 71 SHO 83 PAS 70 DRI 83 DEF 30 PHY 65 L 4 ★ 4 ST 72.7 Šuker 74 ST PAC 73 SHO 86 PAS 70 DRI 83 DEF 30 PHY 65 L 4 ★ 4 ST 79.2 REQUIREMENTS Rarity World Tour Silver Stars Overall Max. 74 Max PS+ 1 UPGRADES +5 OVR 74 +2 Positioning +2 Volleys +2 Penalties +2 Balance +2 Acceleration +3 Finishing +2 Long Shots +3 Composure +2 Sprint Speed +2 Shot Power +3 Stamina 3 in 1 month in 1 month 77% 23%</t>
        </is>
      </c>
    </row>
    <row r="27">
      <c r="A27" t="inlineStr">
        <is>
          <t>Reward</t>
        </is>
      </c>
      <c r="B27" t="inlineStr">
        <is>
          <t>Objective</t>
        </is>
      </c>
      <c r="C27" t="inlineStr">
        <is>
          <t>https://www.fut.gg/evolutions/1948-jockey/</t>
        </is>
      </c>
      <c r="D27" t="inlineStr">
        <is>
          <t>Jockey</t>
        </is>
      </c>
      <c r="E27" t="inlineStr">
        <is>
          <t>Jockey Unlocked by completing the Test Your Mettle objective Lemina 89 CDM PAC 89 SHO 84 PAS 89 DRI 89 DEF 87 PHY 88 CM R 4 ★ 4 CM 87.8 Lemina 89 CDM PAC 89 SHO 84 PAS 89 DRI 89 DEF 87 PHY 88 CM R 4 ★ 4 CM 89.0 REQUIREMENTS Excluded Rarity World Tour Silver Stars Overall Max. 89 Max PS 7 UPGRADES 8 in 6 days in 6 days 33% 67%</t>
        </is>
      </c>
    </row>
    <row r="28">
      <c r="A28" t="inlineStr">
        <is>
          <t>Reward</t>
        </is>
      </c>
      <c r="B28" t="inlineStr">
        <is>
          <t>Objective</t>
        </is>
      </c>
      <c r="C28" t="inlineStr">
        <is>
          <t>https://www.fut.gg/evolutions/1947-pinged-pass/</t>
        </is>
      </c>
      <c r="D28" t="inlineStr">
        <is>
          <t>Pinged Pass</t>
        </is>
      </c>
      <c r="E28" t="inlineStr">
        <is>
          <t>Pinged Pass Unlocked by completing the Domination task in the Test Your Mettle objective Dunn 89 CM PAC 91 SHO 84 PAS 87 DRI 89 DEF 84 PHY 86 LB RM CAM RW ST LW R 4 ★ 4 CM 88.3 Dunn 89 CM PAC 91 SHO 84 PAS 87 DRI 89 DEF 84 PHY 86 LB RM CAM RW ST LW R 4 ★ 4 CM 89.2 REQUIREMENTS Excluded Rarity World Tour Silver Stars Overall Max. 89 Max PS 7 UPGRADES 8 in 6 days in 6 days 53% 47%</t>
        </is>
      </c>
    </row>
    <row r="29">
      <c r="A29" t="inlineStr">
        <is>
          <t>Reward</t>
        </is>
      </c>
      <c r="B29" t="inlineStr">
        <is>
          <t>Objective</t>
        </is>
      </c>
      <c r="C29" t="inlineStr">
        <is>
          <t>https://www.fut.gg/evolutions/1946-quick-step/</t>
        </is>
      </c>
      <c r="D29" t="inlineStr">
        <is>
          <t>Quick Step</t>
        </is>
      </c>
      <c r="E29" t="inlineStr">
        <is>
          <t>Quick Step Unlocked by completing the Assist 7 task in the Test Your Mettle objective Schlotterbeck 89 CB PAC 86 SHO 41 PAS 79 DRI 74 DEF 91 PHY 88 L 3 ★ 5 CB 89.3 Schlotterbeck 89 CB PAC 86 SHO 41 PAS 79 DRI 74 DEF 91 PHY 88 L 3 ★ 5 CB 90.6 REQUIREMENTS Excluded Rarity World Tour Silver Stars Overall Max. 89 Max PS 7 UPGRADES 8 in 6 days in 6 days 57% 43%</t>
        </is>
      </c>
    </row>
    <row r="30">
      <c r="A30" t="inlineStr">
        <is>
          <t>Reward</t>
        </is>
      </c>
      <c r="B30" t="inlineStr">
        <is>
          <t>Objective</t>
        </is>
      </c>
      <c r="C30" t="inlineStr">
        <is>
          <t>https://www.fut.gg/evolutions/1945-technical/</t>
        </is>
      </c>
      <c r="D30" t="inlineStr">
        <is>
          <t>Technical</t>
        </is>
      </c>
      <c r="E30" t="inlineStr">
        <is>
          <t>Technical Unlocked by completing the Score 5 task in the TOTS Premier League Flash Rush objective Hamšík 89 CAM PAC 87 SHO 90 PAS 90 DRI 90 DEF 83 PHY 85 CM R 5 ★ 5 CM 88.7 Hamšík 89 CAM PAC 87 SHO 90 PAS 90 DRI 90 DEF 83 PHY 85 CM R 5 ★ 5 CM 89.2 REQUIREMENTS Excluded Rarity World Tour Silver Stars Overall Max. 89 Max PS 7 UPGRADES 8 in 6 days in 6 days 30% 70%</t>
        </is>
      </c>
    </row>
    <row r="31">
      <c r="A31" t="inlineStr">
        <is>
          <t>Reward</t>
        </is>
      </c>
      <c r="B31" t="inlineStr">
        <is>
          <t>Objective</t>
        </is>
      </c>
      <c r="C31" t="inlineStr">
        <is>
          <t>https://www.fut.gg/evolutions/1944-first-touch/</t>
        </is>
      </c>
      <c r="D31" t="inlineStr">
        <is>
          <t>First Touch</t>
        </is>
      </c>
      <c r="E31" t="inlineStr">
        <is>
          <t>First Touch Unlocked by completing the Win 3 task in the TOTS Premier League Flash Rush objective Hong Hyeon Seok 89 CAM PAC 90 SHO 88 PAS 90 DRI 92 DEF 86 PHY 85 CM L 3 ★ 4 CAM 88.6 Hong Hyeon Seok 89 CAM PAC 90 SHO 88 PAS 90 DRI 92 DEF 86 PHY 85 CM L 3 ★ 4 CAM 89.1 REQUIREMENTS Excluded Rarity World Tour Silver Stars Overall Max. 89 Max PS 7 UPGRADES 8 in 6 days in 6 days 29% 71%</t>
        </is>
      </c>
    </row>
    <row r="32">
      <c r="A32" t="inlineStr">
        <is>
          <t>Reward</t>
        </is>
      </c>
      <c r="B32" t="inlineStr">
        <is>
          <t>Objective</t>
        </is>
      </c>
      <c r="C32" t="inlineStr">
        <is>
          <t>https://www.fut.gg/evolutions/1943-pinged-pass-and-finesse-shot/</t>
        </is>
      </c>
      <c r="D32" t="inlineStr">
        <is>
          <t>Pinged Pass and Finesse Shot</t>
        </is>
      </c>
      <c r="E32" t="inlineStr">
        <is>
          <t>Pinged Pass and Finesse Shot Unlocked by completing the Score in 5 task in the TOTS: Champions Objective objective Hong Hyeon Seok 89 CAM PAC 90 SHO 88 PAS 90 DRI 92 DEF 86 PHY 85 CM L 3 ★ 4 CAM 88.6 Hong Hyeon Seok 89 CAM PAC 90 SHO 88 PAS 90 DRI 92 DEF 86 PHY 85 CM L 3 ★ 4 CAM 89.3 REQUIREMENTS Excluded Rarity World Tour Silver Stars Overall Max. 89 Max PS 7 UPGRADES 8 in 4 days in 4 days 63% 37%</t>
        </is>
      </c>
    </row>
    <row r="33">
      <c r="A33" t="inlineStr">
        <is>
          <t>Reward</t>
        </is>
      </c>
      <c r="B33" t="inlineStr">
        <is>
          <t>Objective</t>
        </is>
      </c>
      <c r="C33" t="inlineStr">
        <is>
          <t>https://www.fut.gg/evolutions/1942-quick-step-and-bruiser/</t>
        </is>
      </c>
      <c r="D33" t="inlineStr">
        <is>
          <t>Quick Step and Bruiser</t>
        </is>
      </c>
      <c r="E33" t="inlineStr">
        <is>
          <t>Quick Step and Bruiser Unlocked by completing the Win 5 task in the TOTS: Champions Objective objective McKenzie 89 CB PAC 90 SHO 50 PAS 80 DRI 83 DEF 88 PHY 90 R 3 ★ 5 CB 88.8 McKenzie 89 CB PAC 90 SHO 50 PAS 80 DRI 83 DEF 88 PHY 90 R 3 ★ 5 CB 90.3 REQUIREMENTS Excluded Rarity World Tour Silver Stars Overall Max. 89 Max PS 7 UPGRADES 8 in 4 days in 4 days 62% 38%</t>
        </is>
      </c>
    </row>
    <row r="34">
      <c r="A34" t="inlineStr">
        <is>
          <t>Reward</t>
        </is>
      </c>
      <c r="B34" t="inlineStr">
        <is>
          <t>Objective</t>
        </is>
      </c>
      <c r="C34" t="inlineStr">
        <is>
          <t>https://www.fut.gg/evolutions/1941-incisive-pass-tiki-taka/</t>
        </is>
      </c>
      <c r="D34" t="inlineStr">
        <is>
          <t>Incisive Pass+ &amp; Tiki Taka</t>
        </is>
      </c>
      <c r="E34" t="inlineStr">
        <is>
          <t>Incisive Pass+ &amp; Tiki Taka Unlocked by completing the Assist in 10 task in the Premier League TOTS Exhibition objective Miley 89 RB PAC 88 SHO 78 PAS 89 DRI 89 DEF 86 PHY 86 CDM CM R 3 ★ 4 CM 89.3 Miley 89 RB PAC 88 SHO 78 PAS 89 DRI 89 DEF 86 PHY 86 CDM CM R 3 ★ 4 CM 90.5 REQUIREMENTS Excluded Rarity World Tour Silver Stars Overall Max. 89 Max PS 10 Max PS+ 2 UPGRADES 2 8 in 6 days in 6 days 74% 26%</t>
        </is>
      </c>
    </row>
    <row r="35">
      <c r="A35" t="inlineStr">
        <is>
          <t>Reward</t>
        </is>
      </c>
      <c r="B35" t="inlineStr">
        <is>
          <t>Objective</t>
        </is>
      </c>
      <c r="C35" t="inlineStr">
        <is>
          <t>https://www.fut.gg/evolutions/1940-tiki-taka-incisive-pass/</t>
        </is>
      </c>
      <c r="D35" t="inlineStr">
        <is>
          <t>Tiki Taka+ &amp; Incisive Pass</t>
        </is>
      </c>
      <c r="E35" t="inlineStr">
        <is>
          <t>Tiki Taka+ &amp; Incisive Pass Unlocked by completing the Score in 10 task in the Premier League TOTS Exhibition objective Davies 89 LB PAC 95 SHO 80 PAS 84 DRI 87 DEF 82 PHY 84 LM L 4 ★ 3 LB 87.9 Davies 89 LB PAC 95 SHO 80 PAS 84 DRI 87 DEF 82 PHY 84 LM L 4 ★ 3 LB 89.7 REQUIREMENTS Excluded Rarity World Tour Silver Stars Overall Max. 89 Max PS 10 Max PS+ 2 UPGRADES 2 8 in 6 days in 6 days 37% 63%</t>
        </is>
      </c>
    </row>
    <row r="36">
      <c r="A36" t="inlineStr">
        <is>
          <t>Reward</t>
        </is>
      </c>
      <c r="B36" t="inlineStr">
        <is>
          <t>Standard Season Pass</t>
        </is>
      </c>
      <c r="C36" t="inlineStr">
        <is>
          <t>https://www.fut.gg/evolutions/1936-wtss-journey-3-midfielder-sp-21/</t>
        </is>
      </c>
      <c r="D36" t="inlineStr">
        <is>
          <t>WTSS Journey 3 - Midfielder [SP 21]</t>
        </is>
      </c>
      <c r="E36" t="inlineStr">
        <is>
          <t>WTSS Journey 3 - Midfielder [SP 21] Unlocked by reaching level 21 in the Standard Season Pass. REQUIREMENTS Rarity World Tour Silver Stars Overall Min. 90 Overall Max. 90 Position CAM, CM, CDM Max PS 10 Max PS+ 2 UPGRADES +2 OVR 92 +2 PAS 93 +4 WF 5 +5 Finishing 90 +10 Reactions 91 +5 Acceleration 90 +5 Shot Power 91 +10 Balance 92 +10 Ball Control 92 +5 Sprint Speed 90 +5 Long Shots 91 +5 Penalties 88 +10 Dribbling 93 +5 Positioning 90 +5 Volleys 88 +10 Agility 92 +10 Composure 90 3 8 Show less in 2 months in 2 months 84% 16%</t>
        </is>
      </c>
    </row>
    <row r="37">
      <c r="A37" t="inlineStr">
        <is>
          <t>Reward</t>
        </is>
      </c>
      <c r="B37" t="inlineStr">
        <is>
          <t>Premium Season Pass</t>
        </is>
      </c>
      <c r="C37" t="inlineStr">
        <is>
          <t>https://www.fut.gg/evolutions/1935-bruiser-sp-28/</t>
        </is>
      </c>
      <c r="D37" t="inlineStr">
        <is>
          <t>Bruiser+ [SP+ 28]</t>
        </is>
      </c>
      <c r="E37" t="inlineStr">
        <is>
          <t>Bruiser+ [SP+ 28] Unlocked by reaching level 28 in the Premium Season Pass. van de Ven 90 CB PAC 94 SHO 52 PAS 71 DRI 81 DEF 88 PHY 88 L 3 ★ 3 CB 90.5 van de Ven 90 CB PAC 94 SHO 52 PAS 71 DRI 81 DEF 88 PHY 88 L 3 ★ 3 CB 93.3 REQUIREMENTS Excluded Rarity World Tour Silver Stars Overall Max. 91 Max PS+ 2 UPGRADES 3 in 2 months in 2 months 91% 9%</t>
        </is>
      </c>
    </row>
    <row r="38">
      <c r="A38" t="inlineStr">
        <is>
          <t>Reward</t>
        </is>
      </c>
      <c r="B38" t="inlineStr">
        <is>
          <t>Standard Season Pass</t>
        </is>
      </c>
      <c r="C38" t="inlineStr">
        <is>
          <t>https://www.fut.gg/evolutions/1934-incisive-pass-sp-27/</t>
        </is>
      </c>
      <c r="D38" t="inlineStr">
        <is>
          <t>Incisive Pass+ [SP 27]</t>
        </is>
      </c>
      <c r="E38" t="inlineStr">
        <is>
          <t>Incisive Pass+ [SP 27] Unlocked by reaching level 27 in the Standard Season Pass. Calafiori 90 LB PAC 87 SHO 80 PAS 85 DRI 89 DEF 90 PHY 91 CB L 3 ★ 4 LB 89.9 Calafiori 90 LB PAC 87 SHO 80 PAS 85 DRI 89 DEF 90 PHY 91 CB L 3 ★ 4 LB 91.2 REQUIREMENTS Excluded Rarity World Tour Silver Stars Overall Max. 90 Max PS+ 2 UPGRADES 3 in 2 months in 2 months 85% 15%</t>
        </is>
      </c>
    </row>
    <row r="39">
      <c r="A39" t="inlineStr">
        <is>
          <t>Reward</t>
        </is>
      </c>
      <c r="B39" t="inlineStr">
        <is>
          <t>Standard Season Pass</t>
        </is>
      </c>
      <c r="C39" t="inlineStr">
        <is>
          <t>https://www.fut.gg/evolutions/1933-defender-round-out-sp-1/</t>
        </is>
      </c>
      <c r="D39" t="inlineStr">
        <is>
          <t>Defender Round Out [SP 1] 10</t>
        </is>
      </c>
      <c r="E39" t="inlineStr">
        <is>
          <t>Defender Round Out [SP 1] 10 Unlocked by reaching level 1 in the Standard Season Pass. Timber 88 RB PAC 87 SHO 54 PAS 83 DRI 86 DEF 88 PHY 88 CB LB RM R 4 ★ 5 LB 88.6 Timber 89 RB PAC 92 SHO 54 PAS 83 DRI 87 DEF 89 PHY 91 CB LB RM R 4 ★ 5 LB 92.3 REQUIREMENTS Excluded Rarity World Tour Silver Stars Overall Max. 89 Max PS 10 UPGRADES +1 OVR +5 Acceleration 91 +5 Sprint Speed 92 +1 Interceptions 93 +1 Heading Acc. 94 +1 Defensive Awareness 93 +5 Reactions 93 +5 Composure 93 +5 Standing Tackle 91 +5 Sliding Tackle 92 +2 Jumping 93 +2 Stamina 92 +2 Strength 93 +5 Aggression 92 8 in 2 months in 2 months 90% 10%</t>
        </is>
      </c>
    </row>
    <row r="40">
      <c r="A40" t="inlineStr">
        <is>
          <t>Reward</t>
        </is>
      </c>
      <c r="B40" t="inlineStr">
        <is>
          <t>Premium Season Pass</t>
        </is>
      </c>
      <c r="C40" t="inlineStr">
        <is>
          <t>https://www.fut.gg/evolutions/1932-attacker-round-out-sp-1/</t>
        </is>
      </c>
      <c r="D40" t="inlineStr">
        <is>
          <t>Attacker Round Out [SP+ 1] 20</t>
        </is>
      </c>
      <c r="E40" t="inlineStr">
        <is>
          <t>Attacker Round Out [SP+ 1] 20 Unlocked by reaching level 1 in the Premium Season Pass. Mead 89 LW PAC 89 SHO 88 PAS 87 DRI 90 DEF 70 PHY 77 RM RW ST R 5 ★ 4 RW 86.9 Mead 91 LW PAC 92 SHO 91 PAS 91 DRI 93 DEF 70 PHY 77 RM RW ST R 5 ★ 4 RW 91.5 REQUIREMENTS Excluded Rarity World Tour Silver Stars Overall Max. 89 Excluded Position CB Max PS 10 UPGRADES +2 OVR 91 +3 Acceleration 93 +5 Agility 94 +5 Balance 93 +3 Sprint Speed 94 +5 Long Pass 94 +2 Curve 92 +2 Composure 95 +5 Positioning 93 +5 Finishing 94 +3 Shot Power 93 +2 Reactions 92 +5 Ball Control 94 +3 Long Shots 92 +3 Volleys 94 +3 Penalties 94 +5 Short Pass 95 +5 Dribbling 95 +5 Vision 93 +2 Crossing 94 +2 Fk Accuracy 92 8 in 2 months in 2 months 92% 8%</t>
        </is>
      </c>
    </row>
    <row r="41">
      <c r="A41" t="inlineStr">
        <is>
          <t>Reward</t>
        </is>
      </c>
      <c r="B41" t="inlineStr">
        <is>
          <t>Standard Season Pass</t>
        </is>
      </c>
      <c r="C41" t="inlineStr">
        <is>
          <t>https://www.fut.gg/evolutions/1931-wtss-journey-2-attacker-sp-8/</t>
        </is>
      </c>
      <c r="D41" t="inlineStr">
        <is>
          <t>WTSS Journey 2 - Attacker [SP 8]</t>
        </is>
      </c>
      <c r="E41" t="inlineStr">
        <is>
          <t>WTSS Journey 2 - Attacker [SP 8] Unlocked by reaching level 8 in the Standard Season Pass. Garrincha 70 RW PAC 82 SHO 64 PAS 67 DRI 78 DEF 34 PHY 48 RM R 5 ★ 4 RM 70.4 Garrincha 90 RW PAC 90 SHO 90 PAS 87 DRI 89 DEF 34 PHY 67 RM R 5 ★ 4 RM 88.6 REQUIREMENTS Rarity World Tour Silver Stars Overall Min. 88 Overall Max. 88 Position ST, RW, LW Max PS 10 Max PS+ 1 UPGRADES +2 OVR 90 +3 WF 4 +10 Acceleration 90 +10 Sprint Speed 90 +10 Finishing 90 +10 Positioning 90 +10 Volleys 89 +10 Penalties 90 +10 Curve 90 +15 Agility 92 +15 Balance 89 +15 Reactions 89 +10 Shot Power 91 +10 Long Shots 90 +15 Ball Control 88 +15 Dribbling 89 +15 Composure 88 2 8 in 2 months in 2 months 67% 33%</t>
        </is>
      </c>
    </row>
    <row r="42">
      <c r="A42" t="inlineStr">
        <is>
          <t>Reward</t>
        </is>
      </c>
      <c r="B42" t="inlineStr">
        <is>
          <t>Standard Season Pass</t>
        </is>
      </c>
      <c r="C42" t="inlineStr">
        <is>
          <t>https://www.fut.gg/evolutions/1930-wtss-journey-2-defender-sp-8/</t>
        </is>
      </c>
      <c r="D42" t="inlineStr">
        <is>
          <t>WTSS Journey 2 - Defender [SP 8]</t>
        </is>
      </c>
      <c r="E42" t="inlineStr">
        <is>
          <t>WTSS Journey 2 - Defender [SP 8] Unlocked by reaching level 8 in the Standard Season Pass. Koeman 71 CB PAC 70 SHO 72 PAS 71 DRI 68 DEF 82 PHY 73 CDM R 3 ★ 3 CB 64.0 Koeman 90 CB PAC 87 SHO 72 PAS 80 DRI 83 DEF 92 PHY 87 CDM R 4 ★ 4 CB 86.0 REQUIREMENTS Rarity World Tour Silver Stars Overall Min. 88 Overall Max. 88 Position CB, LB, RB Max PS 10 Max PS+ 1 UPGRADES +2 OVR 90 +2 PAC 87 +5 Agility 88 +5 Balance 88 +5 Reactions 90 +5 Composure 90 +10 Standing Tackle 92 +10 Sliding Tackle 92 +10 Interceptions 93 +10 Heading Acc. 94 +10 Defensive Awareness 90 2 8 in 2 months in 2 months 73% 27%</t>
        </is>
      </c>
    </row>
    <row r="43">
      <c r="A43" t="inlineStr">
        <is>
          <t>Reward</t>
        </is>
      </c>
      <c r="B43" t="inlineStr">
        <is>
          <t>Standard Season Pass</t>
        </is>
      </c>
      <c r="C43" t="inlineStr">
        <is>
          <t>https://www.fut.gg/evolutions/1929-wtss-journey-3-attacker-sp-21/</t>
        </is>
      </c>
      <c r="D43" t="inlineStr">
        <is>
          <t>WTSS Journey 3 - Attacker [SP 21]</t>
        </is>
      </c>
      <c r="E43" t="inlineStr">
        <is>
          <t>WTSS Journey 3 - Attacker [SP 21] Unlocked by reaching level 21 in the Standard Season Pass. Smolarek 73 ST PAC 80 SHO 84 PAS 67 DRI 77 DEF 28 PHY 68 LW L 3 ★ 3 LW 70.8 Smolarek 92 ST PAC 92 SHO 92 PAS 86 DRI 93 DEF 28 PHY 76 LW L 5 ★ 4 LW 92.4 REQUIREMENTS Rarity World Tour Silver Stars Overall Min. 90 Overall Max. 90 Position ST, RW, LW Max PS 10 Max PS+ 2 UPGRADES +2 OVR 92 +4 SM +5 Acceleration 92 +5 Sprint Speed 92 +5 Positioning 93 +5 Finishing 94 +5 Curve 93 +5 Balance 94 +5 Reactions 93 +5 Ball Control 94 +5 Dribbling 94 +5 Composure 93 3 8 in 2 months in 2 months 71% 29%</t>
        </is>
      </c>
    </row>
    <row r="44">
      <c r="A44" t="inlineStr">
        <is>
          <t>Reward</t>
        </is>
      </c>
      <c r="B44" t="inlineStr">
        <is>
          <t>Standard Season Pass</t>
        </is>
      </c>
      <c r="C44" t="inlineStr">
        <is>
          <t>https://www.fut.gg/evolutions/1928-wtss-journey-3-defender-sp-21/</t>
        </is>
      </c>
      <c r="D44" t="inlineStr">
        <is>
          <t>WTSS Journey 3 - Defender [SP 21]</t>
        </is>
      </c>
      <c r="E44" t="inlineStr">
        <is>
          <t>WTSS Journey 3 - Defender [SP 21] Unlocked by reaching level 21 in the Standard Season Pass. Thuram 74 RB PAC 75 SHO 52 PAS 67 DRI 65 DEF 84 PHY 74 CB R 3 ★ 3 RB 69.3 Thuram 92 RB PAC 90 SHO 70 PAS 82 DRI 85 DEF 92 PHY 93 CB R 4 ★ 5 RB 92.5 REQUIREMENTS Rarity World Tour Silver Stars Overall Min. 90 Overall Max. 90 Position CB, LB, RB Max PS 10 Max PS+ 2 UPGRADES +2 OVR 92 +3 PAC 90 +3 SM 4 +4 WF +5 Reactions 93 +5 Ball Control 88 +5 Dribbling 88 +5 Composure 93 +5 Vision 88 +5 Short Pass 88 +5 Long Pass 88 +10 Aggression 88 +10 Jumping 90 +10 Stamina 95 +10 Strength 93 3 8 Show less in 2 months in 2 months 76% 24%</t>
        </is>
      </c>
    </row>
    <row r="45">
      <c r="A45" t="inlineStr">
        <is>
          <t>Reward</t>
        </is>
      </c>
      <c r="B45" t="inlineStr">
        <is>
          <t>Standard Season Pass</t>
        </is>
      </c>
      <c r="C45" t="inlineStr">
        <is>
          <t>https://www.fut.gg/evolutions/1927-wtss-journey-2-midfielder-sp-8/</t>
        </is>
      </c>
      <c r="D45" t="inlineStr">
        <is>
          <t>WTSS Journey 2 - Midfielder [SP 8]</t>
        </is>
      </c>
      <c r="E45" t="inlineStr">
        <is>
          <t>WTSS Journey 2 - Midfielder [SP 8] Unlocked by reaching level 8 in the Standard Season Pass. Beckenbauer 71 CDM PAC 70 SHO 52 PAS 76 DRI 64 DEF 80 PHY 70 CB CM R 3 ★ 4 CDM 69.4 Beckenbauer 90 CDM PAC 88 SHO 76 PAS 91 DRI 87 DEF 89 PHY 90 CB CM R 4 ★ 4 CM 89.6 REQUIREMENTS Rarity World Tour Silver Stars Overall Min. 88 Overall Max. 88 Position CAM, CDM, CM Max PS 10 Max PS+ 1 UPGRADES +2 OVR 90 +4 SHO 88 +1 SM 4 +5 Sprint Speed 88 +15 Short Pass 93 +15 Interceptions 90 +15 Stamina 90 +5 Acceleration 88 +15 Fk Accuracy 89 +15 Defensive Awareness 89 +15 Strength 89 +15 Vision 91 +15 Long Pass 92 +15 Heading Acc. 89 +15 Sliding Tackle 88 +15 Aggression 89 +15 Crossing 89 +15 Curve 90 +15 Standing Tackle 90 +15 Jumping 89 2 8 Show less in 2 months in 2 months 77% 23%</t>
        </is>
      </c>
    </row>
    <row r="46">
      <c r="A46" t="inlineStr">
        <is>
          <t>Reward</t>
        </is>
      </c>
      <c r="B46" t="inlineStr">
        <is>
          <t>Standard Season Pass</t>
        </is>
      </c>
      <c r="C46" t="inlineStr">
        <is>
          <t>https://www.fut.gg/evolutions/1926-wtss-journey-1-attacker-sp-3/</t>
        </is>
      </c>
      <c r="D46" t="inlineStr">
        <is>
          <t>WTSS Journey 1 - Attacker [SP 3]</t>
        </is>
      </c>
      <c r="E46" t="inlineStr">
        <is>
          <t>WTSS Journey 1 - Attacker [SP 3] Unlocked by reaching level 3 in the Standard Season Pass. Garrincha 70 RW PAC 82 SHO 64 PAS 67 DRI 78 DEF 34 PHY 48 RM R 5 ★ 4 RM 70.4 Garrincha 88 RW PAC 88 SHO 86 PAS 87 DRI 87 DEF 34 PHY 67 RM R 5 ★ 4 RM 83.9 REQUIREMENTS Rarity World Tour Silver Stars Position ST, RW, LW Max PS 10 Max PS+ 1 UPGRADES +30 OVR 88 +1 SM 4 +1 WF 4 +30 Acceleration 88 +30 Sprint Speed 88 +30 Finishing 87 +30 Shot Power 83 +30 Long Shots 88 +30 Positioning 84 +20 Vision 88 +20 Crossing 87 +20 Fk Accuracy 88 +20 Short Pass 90 +20 Long Pass 88 +30 Volleys 87 +30 Penalties 80 +25 Agility 87 +25 Balance 88 +20 Curve 88 +25 Reactions 86 +25 Ball Control 88 +20 Aggression 70 +25 Dribbling 87 +25 Composure 88 +20 Stamina 90 +20 Strength 75 8 in 2 months in 2 months 78% 22%</t>
        </is>
      </c>
    </row>
    <row r="47">
      <c r="A47" t="inlineStr">
        <is>
          <t>Reward</t>
        </is>
      </c>
      <c r="B47" t="inlineStr">
        <is>
          <t>Standard Season Pass</t>
        </is>
      </c>
      <c r="C47" t="inlineStr">
        <is>
          <t>https://www.fut.gg/evolutions/1925-wtss-journey-1-midfielder-sp-3/</t>
        </is>
      </c>
      <c r="D47" t="inlineStr">
        <is>
          <t>WTSS Journey 1 - Midfielder [SP 3]</t>
        </is>
      </c>
      <c r="E47" t="inlineStr">
        <is>
          <t>WTSS Journey 1 - Midfielder [SP 3] Unlocked by reaching level 3 in the Standard Season Pass. Beckenbauer 71 CDM PAC 70 SHO 52 PAS 76 DRI 64 DEF 80 PHY 70 CB CM R 3 ★ 4 CDM 69.4 Beckenbauer 88 CDM PAC 85 SHO 72 PAS 87 DRI 87 DEF 86 PHY 84 CB CM R 4 ★ 4 CM 84.3 REQUIREMENTS Rarity World Tour Silver Stars Position CAM, CM, CDM Max PS 10 Max PS+ 1 UPGRADES +30 OVR 88 +20 PHY 84 +1 SM 4 +1 WF 4 +30 Acceleration 85 +30 Sprint Speed 85 +30 Curve 86 +30 Agility 86 +30 Balance 84 +20 Positioning 85 +20 Finishing 87 +20 Shot Power 87 +20 Long Shots 90 +20 Volleys 88 +20 Penalties 85 +30 Reactions 87 +30 Ball Control 85 +30 Vision 86 +30 Crossing 85 +30 Fk Accuracy 88 +30 Short Pass 87 +30 Long Pass 88 +30 Heading Acc. 88 +30 Dribbling 88 +30 Composure 88 +30 Interceptions 85 +30 Defensive Awareness 85 +30 Standing Tackle 86 +30 Sliding Tackle 88 8 Show less in 2 months in 2 months 80% 20%</t>
        </is>
      </c>
    </row>
    <row r="48">
      <c r="A48" t="inlineStr">
        <is>
          <t>Reward</t>
        </is>
      </c>
      <c r="B48" t="inlineStr">
        <is>
          <t>Standard Season Pass</t>
        </is>
      </c>
      <c r="C48" t="inlineStr">
        <is>
          <t>https://www.fut.gg/evolutions/1924-wtss-journey-1-defender-sp-3/</t>
        </is>
      </c>
      <c r="D48" t="inlineStr">
        <is>
          <t>WTSS Journey 1 - Defender [SP 3]</t>
        </is>
      </c>
      <c r="E48" t="inlineStr">
        <is>
          <t>WTSS Journey 1 - Defender [SP 3] Unlocked by reaching level 3 in the Standard Season Pass. Koeman 71 CB PAC 70 SHO 72 PAS 71 DRI 68 DEF 82 PHY 73 CDM R 3 ★ 3 CB 64.0 Koeman 88 CB PAC 85 SHO 72 PAS 80 DRI 82 DEF 87 PHY 87 CDM R 4 ★ 4 CB 80.4 REQUIREMENTS Rarity World Tour Silver Stars Position CB, LB, RB Max PS 10 Max PS+ 1 UPGRADES +30 OVR 88 +20 SHO 70 +1 SM 4 +1 WF 4 +30 Curve 80 +15 Agility 80 +30 Defensive Awareness 87 +30 Standing Tackle 88 +30 Sliding Tackle 86 +30 Acceleration 85 +30 Sprint Speed 85 +30 Vision 75 +30 Crossing 75 +30 Fk Accuracy 65 +30 Short Pass 85 +30 Long Pass 80 +15 Balance 80 +30 Reactions 88 +15 Ball Control 85 +30 Jumping 80 +30 Stamina 85 +30 Strength 87 +15 Dribbling 85 +30 Composure 88 +30 Interceptions 88 +30 Heading Acc. 87 +30 Aggression 90 8 Show less in 2 months in 2 months 82% 18%</t>
        </is>
      </c>
    </row>
    <row r="49">
      <c r="A49" t="inlineStr">
        <is>
          <t>Reward</t>
        </is>
      </c>
      <c r="B49" t="inlineStr">
        <is>
          <t>Standard Season Pass</t>
        </is>
      </c>
      <c r="C49" t="inlineStr">
        <is>
          <t>https://www.fut.gg/evolutions/1923-season-ladder-excellence-sp-27/</t>
        </is>
      </c>
      <c r="D49" t="inlineStr">
        <is>
          <t>Season Ladder Excellence [SP 27]</t>
        </is>
      </c>
      <c r="E49" t="inlineStr">
        <is>
          <t>Season Ladder Excellence [SP 27] Unlocked by reaching level 27 in the Standard Season Pass. Jacobo Ramón 94 CB PAC 88 SHO 46 PAS 84 DRI 81 DEF 94 PHY 91 R 3 ★ 4 CB 93.8 Jacobo Ramón 94 CB PAC 88 SHO 46 PAS 84 DRI 81 DEF 94 PHY 91 R 3 ★ 4 CB 93.8 REQUIREMENTS Excluded Rarity World Tour Silver Stars UPGRADES No upgrades in 2 months in 2 months 30% 70%</t>
        </is>
      </c>
    </row>
    <row r="50">
      <c r="A50" t="inlineStr">
        <is>
          <t>Reward</t>
        </is>
      </c>
      <c r="B50" t="inlineStr">
        <is>
          <t>Objective</t>
        </is>
      </c>
      <c r="C50" t="inlineStr">
        <is>
          <t>https://www.fut.gg/evolutions/1912-rapid/</t>
        </is>
      </c>
      <c r="D50" t="inlineStr">
        <is>
          <t>Rapid+</t>
        </is>
      </c>
      <c r="E50" t="inlineStr">
        <is>
          <t>Rapid+ Unlocked by completing the Full Throttle objective Suárez 89 ST PAC 86 SHO 92 PAS 84 DRI 89 DEF 50 PHY 85 CAM R 4 ★ 4 ST 86.4 Suárez 89 ST PAC 86 SHO 92 PAS 84 DRI 89 DEF 50 PHY 85 CAM R 4 ★ 4 ST 88.1 REQUIREMENTS Excluded Rarity World Tour Silver Stars Overall Max. 89 Max PS+ 1 UPGRADES 2 in 8 days in 8 days 41% 59%</t>
        </is>
      </c>
    </row>
    <row r="51">
      <c r="A51" t="inlineStr">
        <is>
          <t>Reward</t>
        </is>
      </c>
      <c r="B51" t="inlineStr">
        <is>
          <t>Objective</t>
        </is>
      </c>
      <c r="C51" t="inlineStr">
        <is>
          <t>https://www.fut.gg/evolutions/1903-crunch-time/</t>
        </is>
      </c>
      <c r="D51" t="inlineStr">
        <is>
          <t>Crunch Time</t>
        </is>
      </c>
      <c r="E51" t="inlineStr">
        <is>
          <t>Crunch Time Unlocked by completing the Unbreakable objective van de Ven 90 CB PAC 94 SHO 52 PAS 71 DRI 81 DEF 88 PHY 88 L 3 ★ 3 CB 90.5 van de Ven 90 CB PAC 94 SHO 52 PAS 71 DRI 81 DEF 90 PHY 88 L 3 ★ 3 CB 93.0 REQUIREMENTS Excluded Rarity World Tour Silver Stars Overall Max. 91 Max PS 10 Max PS+ 2 UPGRADES +2 DEF 92 2 8 in 8 months in 8 months 92% 8%</t>
        </is>
      </c>
    </row>
    <row r="52">
      <c r="A52" t="inlineStr">
        <is>
          <t>Reward</t>
        </is>
      </c>
      <c r="B52" t="inlineStr">
        <is>
          <t>Objective</t>
        </is>
      </c>
      <c r="C52" t="inlineStr">
        <is>
          <t>https://www.fut.gg/evolutions/1897-passing-technician/</t>
        </is>
      </c>
      <c r="D52" t="inlineStr">
        <is>
          <t>Passing Technician</t>
        </is>
      </c>
      <c r="E52" t="inlineStr">
        <is>
          <t>Passing Technician Unlocked by completing the Passing Mastermind objective Martínez 88 GK DIV 87 HAN 86 KIC 86 REF 88 SPD 60 POS 90 R 1 ★ 4 GK 89.1 Martínez 88 GK DIV 87 HAN 86 KIC 86 REF 88 SPD 60 POS 90 R 1 ★ 4 GK 91.5 REQUIREMENTS Excluded Rarity World Tour Silver Stars Overall Max. 91 Max PS 10 Max PS+ 2 UPGRADES 2 8 in 8 months in 8 months 86% 14%</t>
        </is>
      </c>
    </row>
    <row r="53">
      <c r="A53" t="inlineStr">
        <is>
          <t>Reward</t>
        </is>
      </c>
      <c r="B53" t="inlineStr">
        <is>
          <t>Objective</t>
        </is>
      </c>
      <c r="C53" t="inlineStr">
        <is>
          <t>https://www.fut.gg/evolutions/1875-all-around-impact/</t>
        </is>
      </c>
      <c r="D53" t="inlineStr">
        <is>
          <t>All-Around Impact</t>
        </is>
      </c>
      <c r="E53" t="inlineStr">
        <is>
          <t>All-Around Impact Unlocked by completing the Formation Excellence objective Nesta 88 CB PAC 87 SHO 43 PAS 65 DRI 80 DEF 88 PHY 86 R 3 ★ 4 CB 90.9 Nesta 89 CB PAC 89 SHO 45 PAS 67 DRI 83 DEF 90 PHY 87 R 3 ★ 4 CB 92.5 REQUIREMENTS Excluded Rarity World Tour Silver Stars Overall Max. 91 UPGRADES +1 OVR +2 PAC 92 +2 SHO 91 +2 PAS 92 +3 DRI 93 +2 DEF 90 +1 PHY 89 in 8 months in 8 months 98% 2%</t>
        </is>
      </c>
    </row>
    <row r="54">
      <c r="A54" t="inlineStr">
        <is>
          <t>Reward</t>
        </is>
      </c>
      <c r="B54" t="inlineStr">
        <is>
          <t>Objective</t>
        </is>
      </c>
      <c r="C54" t="inlineStr">
        <is>
          <t>https://www.fut.gg/evolutions/1874-quick-step/</t>
        </is>
      </c>
      <c r="D54" t="inlineStr">
        <is>
          <t>Quick Step+</t>
        </is>
      </c>
      <c r="E54" t="inlineStr">
        <is>
          <t>Quick Step+ Unlocked by completing the Ancient Triangle task in the Formation Excellence objective Henrichs 88 RB PAC 90 SHO 75 PAS 85 DRI 86 DEF 88 PHY 84 LB RM R 3 ★ 5 LB 87.0 Henrichs 88 RB PAC 90 SHO 75 PAS 85 DRI 86 DEF 88 PHY 84 LB RM R 3 ★ 5 LB 89.0 REQUIREMENTS Excluded Rarity World Tour Silver Stars Overall Max. 91 Max PS+ 1 UPGRADES 2 in 8 months in 8 months 94% 6%</t>
        </is>
      </c>
    </row>
    <row r="55">
      <c r="A55" t="inlineStr">
        <is>
          <t>Reward</t>
        </is>
      </c>
      <c r="B55" t="inlineStr">
        <is>
          <t>Objective</t>
        </is>
      </c>
      <c r="C55" t="inlineStr">
        <is>
          <t>https://www.fut.gg/evolutions/1873-finesse-shot/</t>
        </is>
      </c>
      <c r="D55" t="inlineStr">
        <is>
          <t>Finesse Shot+</t>
        </is>
      </c>
      <c r="E55" t="inlineStr">
        <is>
          <t>Finesse Shot+ Unlocked by completing the Magic Rectangle task in the Formation Excellence objective Kögel 89 LM PAC 93 SHO 88 PAS 86 DRI 89 DEF 61 PHY 76 LW L 5 ★ 4 LM 87.3 Kögel 89 LM PAC 93 SHO 88 PAS 86 DRI 89 DEF 61 PHY 76 LW L 5 ★ 4 LM 89.2 REQUIREMENTS Excluded Rarity World Tour Silver Stars Overall Max. 91 Max PS+ 1 UPGRADES 2 in 8 months in 8 months 95% 5%</t>
        </is>
      </c>
    </row>
    <row r="56">
      <c r="A56" t="inlineStr">
        <is>
          <t>Reward</t>
        </is>
      </c>
      <c r="B56" t="inlineStr">
        <is>
          <t>Objective</t>
        </is>
      </c>
      <c r="C56" t="inlineStr">
        <is>
          <t>https://www.fut.gg/evolutions/1872-technical/</t>
        </is>
      </c>
      <c r="D56" t="inlineStr">
        <is>
          <t>Technical+</t>
        </is>
      </c>
      <c r="E56" t="inlineStr">
        <is>
          <t>Technical+ Unlocked by completing the The Trident task in the Formation Excellence objective Vini Jr. 90 ST PAC 95 SHO 88 PAS 81 DRI 92 DEF 30 PHY 75 LM LW R 5 ★ 4 LM 87.4 Vini Jr. 90 ST PAC 95 SHO 88 PAS 81 DRI 92 DEF 30 PHY 75 LM LW R 5 ★ 4 LM 88.6 REQUIREMENTS Excluded Rarity World Tour Silver Stars Overall Max. 91 Max PS+ 1 UPGRADES 2 in 8 months in 8 months 82% 18%</t>
        </is>
      </c>
    </row>
    <row r="57">
      <c r="A57" t="inlineStr">
        <is>
          <t>Reward</t>
        </is>
      </c>
      <c r="B57" t="inlineStr">
        <is>
          <t>Objective</t>
        </is>
      </c>
      <c r="C57" t="inlineStr">
        <is>
          <t>https://www.fut.gg/evolutions/1871-anticipate/</t>
        </is>
      </c>
      <c r="D57" t="inlineStr">
        <is>
          <t>Anticipate+</t>
        </is>
      </c>
      <c r="E57" t="inlineStr">
        <is>
          <t>Anticipate+ Unlocked by completing the Three at the Back task in the Formation Excellence objective Mendy 87 LB PAC 91 SHO 70 PAS 80 DRI 81 DEF 84 PHY 90 LM L 4 ★ 5 LB 87.0 Mendy 87 LB PAC 91 SHO 70 PAS 80 DRI 81 DEF 84 PHY 90 LM L 4 ★ 5 LB 88.8 REQUIREMENTS Excluded Rarity World Tour Silver Stars Overall Max. 91 Max PS+ 1 UPGRADES 2 in 8 months in 8 months 90% 10%</t>
        </is>
      </c>
    </row>
    <row r="58">
      <c r="A58" t="inlineStr">
        <is>
          <t>Reward</t>
        </is>
      </c>
      <c r="B58" t="inlineStr">
        <is>
          <t>Objective</t>
        </is>
      </c>
      <c r="C58" t="inlineStr">
        <is>
          <t>https://www.fut.gg/evolutions/1854-finesse-shot/</t>
        </is>
      </c>
      <c r="D58" t="inlineStr">
        <is>
          <t>Finesse Shot</t>
        </is>
      </c>
      <c r="E58" t="inlineStr">
        <is>
          <t>Finesse Shot Unlocked by completing the 10 Finesse Shots task in the Lowe's Scoring Marathon objective Bobb 88 RW PAC 93 SHO 87 PAS 88 DRI 93 DEF 48 PHY 69 RM LW L 5 ★ 4 RM 88.2 Bobb 88 RW PAC 93 SHO 87 PAS 88 DRI 93 DEF 48 PHY 69 RM LW L 5 ★ 4 RM 89.2 REQUIREMENTS Excluded Rarity World Tour Silver Stars Overall Max. 88 Max PS 7 UPGRADES 8 in 17 days in 17 days 28% 72%</t>
        </is>
      </c>
    </row>
    <row r="59">
      <c r="A59" t="inlineStr">
        <is>
          <t>Reward</t>
        </is>
      </c>
      <c r="B59" t="inlineStr">
        <is>
          <t>Objective</t>
        </is>
      </c>
      <c r="C59" t="inlineStr">
        <is>
          <t>https://www.fut.gg/evolutions/1818-low-driven-shot/</t>
        </is>
      </c>
      <c r="D59" t="inlineStr">
        <is>
          <t>Low Driven Shot+</t>
        </is>
      </c>
      <c r="E59" t="inlineStr">
        <is>
          <t>Low Driven Shot+ Unlocked by completing the Low Driven Shot+ Milestone objective Ginola 90 LM PAC 91 SHO 90 PAS 88 DRI 92 DEF 56 PHY 86 CAM ST R 5 ★ 5 ST 87.6 Ginola 90 LM PAC 91 SHO 90 PAS 88 DRI 92 DEF 56 PHY 86 CAM ST R 5 ★ 5 ST 89.6 REQUIREMENTS Excluded Rarity World Tour Silver Stars Overall Max. 90 Max PS+ 1 UPGRADES 2 in 7 months in 7 months 88% 12%</t>
        </is>
      </c>
    </row>
    <row r="60">
      <c r="A60" t="inlineStr">
        <is>
          <t>Reward</t>
        </is>
      </c>
      <c r="B60" t="inlineStr">
        <is>
          <t>Objective</t>
        </is>
      </c>
      <c r="C60" t="inlineStr">
        <is>
          <t>https://www.fut.gg/evolutions/1812-intercept/</t>
        </is>
      </c>
      <c r="D60" t="inlineStr">
        <is>
          <t>Intercept+</t>
        </is>
      </c>
      <c r="E60" t="inlineStr">
        <is>
          <t>Intercept+ Unlocked by completing the Intercept+ Milestone objective António Silva 87 CB PAC 89 SHO 46 PAS 75 DRI 78 DEF 87 PHY 89 R 3 ★ 3 CB 86.6 António Silva 87 CB PAC 89 SHO 46 PAS 75 DRI 78 DEF 87 PHY 89 R 3 ★ 3 CB 90.0 REQUIREMENTS Excluded Rarity World Tour Silver Stars Overall Max. 90 Max PS+ 1 UPGRADES 2 in 7 months in 7 months 96% 4%</t>
        </is>
      </c>
    </row>
    <row r="61">
      <c r="A61" t="inlineStr">
        <is>
          <t>Reward</t>
        </is>
      </c>
      <c r="B61" t="inlineStr">
        <is>
          <t>Objective</t>
        </is>
      </c>
      <c r="C61" t="inlineStr">
        <is>
          <t>https://www.fut.gg/evolutions/1807-5-star-skill-moves-weak-foot-upgrade/</t>
        </is>
      </c>
      <c r="D61" t="inlineStr">
        <is>
          <t>5 Star Skill Moves &amp; Weak Foot Upgrade</t>
        </is>
      </c>
      <c r="E61" t="inlineStr">
        <is>
          <t>5 Star Skill Moves &amp; Weak Foot Upgrade Unlocked by completing the Week 2 task in the Triple Threat League Weekly Completionist Objective objective Millot 89 CAM PAC 89 SHO 89 PAS 89 DRI 94 DEF 73 PHY 68 CM L 4 ★ 3 CAM 88.7 Millot 89 CAM PAC 89 SHO 89 PAS 89 DRI 94 DEF 73 PHY 68 CM L 5 ★ 5 CAM 91.0 REQUIREMENTS Excluded Rarity World Tour Silver Stars Overall Max. 89 Max PS+ 2 UPGRADES +4 SM 5 +4 WF 5 in 8 days in 8 days 94% 6%</t>
        </is>
      </c>
    </row>
    <row r="62">
      <c r="A62" t="inlineStr">
        <is>
          <t>Reward</t>
        </is>
      </c>
      <c r="B62" t="inlineStr">
        <is>
          <t>Objective</t>
        </is>
      </c>
      <c r="C62" t="inlineStr">
        <is>
          <t>https://www.fut.gg/evolutions/1806-bruiser/</t>
        </is>
      </c>
      <c r="D62" t="inlineStr">
        <is>
          <t>Bruiser+</t>
        </is>
      </c>
      <c r="E62" t="inlineStr">
        <is>
          <t>Bruiser+ Unlocked by completing the Week 1 task in the Triple Threat League Weekly Completionist Objective objective Córdoba 88 RB PAC 90 SHO 64 PAS 84 DRI 84 DEF 91 PHY 88 CB R 4 ★ 3 RB 86.1 Córdoba 88 RB PAC 90 SHO 64 PAS 84 DRI 84 DEF 91 PHY 88 CB R 4 ★ 3 RB 88.7 REQUIREMENTS Excluded Rarity World Tour Silver Stars Overall Max. 89 Max PS+ 1 UPGRADES 2 in 8 days in 8 days 96% 4%</t>
        </is>
      </c>
    </row>
    <row r="63">
      <c r="A63" t="inlineStr">
        <is>
          <t>Reward</t>
        </is>
      </c>
      <c r="B63" t="inlineStr">
        <is>
          <t>Objective</t>
        </is>
      </c>
      <c r="C63" t="inlineStr">
        <is>
          <t>https://www.fut.gg/evolutions/1805-finesse-shot/</t>
        </is>
      </c>
      <c r="D63" t="inlineStr">
        <is>
          <t>Finesse Shot+</t>
        </is>
      </c>
      <c r="E63" t="inlineStr">
        <is>
          <t>Finesse Shot+ Unlocked by completing the Score in 30 task in the Triple Threat League objective Debinha 89 RW PAC 87 SHO 82 PAS 87 DRI 92 DEF 48 PHY 78 RM CM CAM R 5 ★ 5 RM 86.5 Debinha 89 RW PAC 87 SHO 82 PAS 87 DRI 92 DEF 48 PHY 78 RM CM CAM R 5 ★ 5 RM 88.5 REQUIREMENTS Excluded Rarity World Tour Silver Stars Overall Max. 89 Max PS+ 1 UPGRADES 2 in 8 days in 8 days 94% 6%</t>
        </is>
      </c>
    </row>
    <row r="64">
      <c r="A64" t="inlineStr">
        <is>
          <t>Reward</t>
        </is>
      </c>
      <c r="B64" t="inlineStr">
        <is>
          <t>Objective</t>
        </is>
      </c>
      <c r="C64" t="inlineStr">
        <is>
          <t>https://www.fut.gg/evolutions/1804-technical/</t>
        </is>
      </c>
      <c r="D64" t="inlineStr">
        <is>
          <t>Technical+</t>
        </is>
      </c>
      <c r="E64" t="inlineStr">
        <is>
          <t>Technical+ Unlocked by completing the Score in 25 task in the Triple Threat League objective Schade 88 LM PAC 94 SHO 85 PAS 81 DRI 88 DEF 40 PHY 80 CAM ST LW R 5 ★ 4 LM 87.3 Schade 88 LM PAC 94 SHO 85 PAS 81 DRI 88 DEF 40 PHY 80 CAM ST LW R 5 ★ 4 LM 88.5 REQUIREMENTS Excluded Rarity World Tour Silver Stars Overall Max. 89 Max PS+ 1 UPGRADES 2 in 8 days in 8 days 82% 18%</t>
        </is>
      </c>
    </row>
    <row r="65">
      <c r="A65" t="inlineStr">
        <is>
          <t>Reward</t>
        </is>
      </c>
      <c r="B65" t="inlineStr">
        <is>
          <t>Objective</t>
        </is>
      </c>
      <c r="C65" t="inlineStr">
        <is>
          <t>https://www.fut.gg/evolutions/1803-5-star-weak-foot-upgrade/</t>
        </is>
      </c>
      <c r="D65" t="inlineStr">
        <is>
          <t>5 Star Weak Foot Upgrade</t>
        </is>
      </c>
      <c r="E65" t="inlineStr">
        <is>
          <t>5 Star Weak Foot Upgrade Unlocked by completing the Score in 20 task in the Triple Threat League objective Félix Correia 89 RM PAC 94 SHO 88 PAS 87 DRI 89 DEF 56 PHY 81 LM RW LW R 4 ★ 3 RM 86.3 Félix Correia 89 RM PAC 94 SHO 88 PAS 87 DRI 89 DEF 56 PHY 81 LM RW LW R 4 ★ 5 RM 88.0 REQUIREMENTS Excluded Rarity World Tour Silver Stars Overall Max. 89 Max PS+ 1 UPGRADES +4 WF 5 in 8 days in 8 days 89% 11%</t>
        </is>
      </c>
    </row>
    <row r="66">
      <c r="A66" t="inlineStr">
        <is>
          <t>Reward</t>
        </is>
      </c>
      <c r="B66" t="inlineStr">
        <is>
          <t>Objective</t>
        </is>
      </c>
      <c r="C66" t="inlineStr">
        <is>
          <t>https://www.fut.gg/evolutions/1802-5-star-skill-moves-upgrade/</t>
        </is>
      </c>
      <c r="D66" t="inlineStr">
        <is>
          <t>5 Star Skill Moves Upgrade</t>
        </is>
      </c>
      <c r="E66" t="inlineStr">
        <is>
          <t>5 Star Skill Moves Upgrade Unlocked by completing the Assist in 20 task in the Triple Threat League objective Yeremy Pino 88 RM PAC 95 SHO 88 PAS 89 DRI 89 DEF 49 PHY 66 LM RW LW R 3 ★ 4 RM 87.8 Yeremy Pino 88 RM PAC 95 SHO 88 PAS 89 DRI 89 DEF 49 PHY 66 LM RW LW R 5 ★ 4 RM 89.1 REQUIREMENTS Excluded Rarity World Tour Silver Stars Overall Max. 89 Max PS+ 1 UPGRADES +4 SM 5 in 8 days in 8 days 91% 9%</t>
        </is>
      </c>
    </row>
    <row r="67">
      <c r="A67" t="inlineStr">
        <is>
          <t>Reward</t>
        </is>
      </c>
      <c r="B67" t="inlineStr">
        <is>
          <t>Premium Season Pass</t>
        </is>
      </c>
      <c r="C67" t="inlineStr">
        <is>
          <t>https://www.fut.gg/evolutions/1789-architect-of-play-sp-4/</t>
        </is>
      </c>
      <c r="D67" t="inlineStr">
        <is>
          <t>Architect of Play [SP+ 4] 2</t>
        </is>
      </c>
      <c r="E67" t="inlineStr">
        <is>
          <t>Architect of Play [SP+ 4] 2 Unlocked by reaching level 4 in the Premium Season Pass. Sergi Cardona 88 LB PAC 90 SHO 75 PAS 84 DRI 86 DEF 88 PHY 88 LM L 4 ★ 4 LB 89.2 Sergi Cardona 88 LB PAC 90 SHO 75 PAS 84 DRI 86 DEF 88 PHY 88 LM L 4 ★ 4 LB 91.6 REQUIREMENTS Excluded Rarity World Tour Silver Stars Overall Max. 89 Max PS 8 UPGRADES 9 in 5 months in 8 days 91% 9%</t>
        </is>
      </c>
    </row>
    <row r="68">
      <c r="A68" t="inlineStr">
        <is>
          <t>Reward</t>
        </is>
      </c>
      <c r="B68" t="inlineStr">
        <is>
          <t>Standard Season Pass</t>
        </is>
      </c>
      <c r="C68" t="inlineStr">
        <is>
          <t>https://www.fut.gg/evolutions/1790-make-your-idol-tiki-taka-sp-3/</t>
        </is>
      </c>
      <c r="D68" t="inlineStr">
        <is>
          <t>Make Your Idol - Tiki Taka+ [SP 3]</t>
        </is>
      </c>
      <c r="E68" t="inlineStr">
        <is>
          <t>Make Your Idol - Tiki Taka+ [SP 3] Unlocked by reaching level 3 in the Standard Season Pass. Ki Sung Yueng 70 CM PAC 52 SHO 61 PAS 73 DRI 64 DEF 62 PHY 74 CDM R 3 ★ 5 CM 59.6 Ki Sung Yueng 87 CM PAC 84 SHO 78 PAS 84 DRI 82 DEF 86 PHY 86 CDM R 4 ★ 5 CM 85.6 REQUIREMENTS Rarity Choose Your Idol Overall Min. 87 Overall Max. 87 Max PS+ 0 UPGRADES 1 in 5 months in 8 days 69% 31%</t>
        </is>
      </c>
    </row>
    <row r="69">
      <c r="A69" t="inlineStr">
        <is>
          <t>Reward</t>
        </is>
      </c>
      <c r="B69" t="inlineStr">
        <is>
          <t>Standard Season Pass</t>
        </is>
      </c>
      <c r="C69" t="inlineStr">
        <is>
          <t>https://www.fut.gg/evolutions/1791-make-your-idol-incisive-pass-sp-3/</t>
        </is>
      </c>
      <c r="D69" t="inlineStr">
        <is>
          <t>Make Your Idol - Incisive Pass+ [SP 3]</t>
        </is>
      </c>
      <c r="E69" t="inlineStr">
        <is>
          <t>Make Your Idol - Incisive Pass+ [SP 3] Unlocked by reaching level 3 in the Standard Season Pass. Ki Sung Yueng 70 CM PAC 52 SHO 61 PAS 73 DRI 64 DEF 62 PHY 74 CDM R 3 ★ 5 CM 59.6 Ki Sung Yueng 87 CM PAC 84 SHO 78 PAS 84 DRI 82 DEF 86 PHY 86 CDM R 4 ★ 5 CM 84.5 REQUIREMENTS Rarity Choose Your Idol Overall Min. 87 Overall Max. 87 Max PS+ 0 UPGRADES 1 in 5 months in 8 days 68% 32%</t>
        </is>
      </c>
    </row>
    <row r="70">
      <c r="A70" t="inlineStr">
        <is>
          <t>Reward</t>
        </is>
      </c>
      <c r="B70" t="inlineStr">
        <is>
          <t>Standard Season Pass</t>
        </is>
      </c>
      <c r="C70" t="inlineStr">
        <is>
          <t>https://www.fut.gg/evolutions/1792-make-your-idol-low-driven-sp-3/</t>
        </is>
      </c>
      <c r="D70" t="inlineStr">
        <is>
          <t>Make Your Idol - Low Driven+ [SP 3]</t>
        </is>
      </c>
      <c r="E70" t="inlineStr">
        <is>
          <t>Make Your Idol - Low Driven+ [SP 3] Unlocked by reaching level 3 in the Standard Season Pass. Lee Ho Jae 71 ST PAC 53 SHO 74 PAS 46 DRI 61 DEF 26 PHY 80 R 2 ★ 3 ST 56.4 Lee Ho Jae 87 ST PAC 89 SHO 87 PAS 86 DRI 87 DEF 54 PHY 80 R 4 ★ 4 ST 83.7 REQUIREMENTS Rarity Choose Your Idol Overall Min. 87 Overall Max. 87 Max PS+ 0 UPGRADES 1 in 5 months in 8 days 27% 73%</t>
        </is>
      </c>
    </row>
    <row r="71">
      <c r="A71" t="inlineStr">
        <is>
          <t>Reward</t>
        </is>
      </c>
      <c r="B71" t="inlineStr">
        <is>
          <t>Standard Season Pass</t>
        </is>
      </c>
      <c r="C71" t="inlineStr">
        <is>
          <t>https://www.fut.gg/evolutions/1793-make-your-idol-technical-sp-3/</t>
        </is>
      </c>
      <c r="D71" t="inlineStr">
        <is>
          <t>Make Your Idol - Technical+ [SP 3]</t>
        </is>
      </c>
      <c r="E71" t="inlineStr">
        <is>
          <t>Make Your Idol - Technical+ [SP 3] Unlocked by reaching level 3 in the Standard Season Pass. Ki Sung Yueng 70 CM PAC 52 SHO 61 PAS 73 DRI 64 DEF 62 PHY 74 CDM R 3 ★ 5 CM 59.6 Ki Sung Yueng 87 CM PAC 84 SHO 78 PAS 84 DRI 82 DEF 86 PHY 86 CDM R 4 ★ 5 CM 84.5 REQUIREMENTS Rarity Choose Your Idol Overall Min. 87 Overall Max. 87 Max PS+ 0 UPGRADES 1 in 5 months in 8 days 29% 71%</t>
        </is>
      </c>
    </row>
    <row r="72">
      <c r="A72" t="inlineStr">
        <is>
          <t>Reward</t>
        </is>
      </c>
      <c r="B72" t="inlineStr">
        <is>
          <t>Standard Season Pass</t>
        </is>
      </c>
      <c r="C72" t="inlineStr">
        <is>
          <t>https://www.fut.gg/evolutions/1794-make-your-idol-jockey-sp-3/</t>
        </is>
      </c>
      <c r="D72" t="inlineStr">
        <is>
          <t>Make Your Idol - Jockey+ [SP 3]</t>
        </is>
      </c>
      <c r="E72" t="inlineStr">
        <is>
          <t>Make Your Idol - Jockey+ [SP 3] Unlocked by reaching level 3 in the Standard Season Pass. Ha Chang Rae 68 CB PAC 48 SHO 33 PAS 46 DRI 49 DEF 67 PHY 76 R 2 ★ 3 CB 52.1 Ha Chang Rae 87 CB PAC 84 SHO 63 PAS 81 DRI 82 DEF 86 PHY 86 R 4 ★ 4 CB 84.6 REQUIREMENTS Rarity Choose Your Idol Overall Min. 87 Overall Max. 87 Max PS+ 0 UPGRADES 1 in 5 months in 8 days 25% 75%</t>
        </is>
      </c>
    </row>
    <row r="73">
      <c r="A73" t="inlineStr">
        <is>
          <t>Reward</t>
        </is>
      </c>
      <c r="B73" t="inlineStr">
        <is>
          <t>Standard Season Pass</t>
        </is>
      </c>
      <c r="C73" t="inlineStr">
        <is>
          <t>https://www.fut.gg/evolutions/1795-make-your-idol-intercept-sp-3/</t>
        </is>
      </c>
      <c r="D73" t="inlineStr">
        <is>
          <t>Make Your Idol - Intercept+ [SP 3]</t>
        </is>
      </c>
      <c r="E73" t="inlineStr">
        <is>
          <t>Make Your Idol - Intercept+ [SP 3] Unlocked by reaching level 3 in the Standard Season Pass. Jeong Tae Wook 63 CB PAC 47 SHO 31 PAS 47 DRI 46 DEF 61 PHY 78 R 2 ★ 3 CB 50.4 Jeong Tae Wook 87 CB PAC 84 SHO 61 PAS 83 DRI 82 DEF 86 PHY 88 R 4 ★ 4 CB 84.1 REQUIREMENTS Rarity Choose Your Idol Overall Min. 87 Overall Max. 87 Max PS+ 0 UPGRADES 1 in 5 months in 8 days 38% 62%</t>
        </is>
      </c>
    </row>
    <row r="74">
      <c r="A74" t="inlineStr">
        <is>
          <t>Reward</t>
        </is>
      </c>
      <c r="B74" t="inlineStr">
        <is>
          <t>Standard Season Pass</t>
        </is>
      </c>
      <c r="C74" t="inlineStr">
        <is>
          <t>https://www.fut.gg/evolutions/1796-make-your-idol-finesse-shot-sp-7/</t>
        </is>
      </c>
      <c r="D74" t="inlineStr">
        <is>
          <t>Make Your Idol - Finesse Shot+ [SP 7]</t>
        </is>
      </c>
      <c r="E74" t="inlineStr">
        <is>
          <t>Make Your Idol - Finesse Shot+ [SP 7] Unlocked by reaching level 7 in the Standard Season Pass. Hasegawa 85 CDM PAC 77 SHO 71 PAS 85 DRI 86 DEF 81 PHY 63 CM CAM R 4 ★ 4 CDM 75.6 Hasegawa 89 CDM PAC 89 SHO 87 PAS 88 DRI 88 DEF 89 PHY 86 CM CAM R 4 ★ 4 CDM 87.7 REQUIREMENTS Rarity Choose Your Idol Overall Min. 89 Overall Max. 89 Min PS+ 1 Max PS+ 2 UPGRADES 2 in 5 months in 8 days 44% 56%</t>
        </is>
      </c>
    </row>
    <row r="75">
      <c r="A75" t="inlineStr">
        <is>
          <t>Reward</t>
        </is>
      </c>
      <c r="B75" t="inlineStr">
        <is>
          <t>Standard Season Pass</t>
        </is>
      </c>
      <c r="C75" t="inlineStr">
        <is>
          <t>https://www.fut.gg/evolutions/1797-make-your-idol-first-touch-sp-7/</t>
        </is>
      </c>
      <c r="D75" t="inlineStr">
        <is>
          <t>Make Your Idol - First Touch+ [SP 7]</t>
        </is>
      </c>
      <c r="E75" t="inlineStr">
        <is>
          <t>Make Your Idol - First Touch+ [SP 7] Unlocked by reaching level 7 in the Standard Season Pass. Hasegawa 85 CDM PAC 77 SHO 71 PAS 85 DRI 86 DEF 81 PHY 63 CM CAM R 4 ★ 4 CDM 75.6 Hasegawa 89 CDM PAC 89 SHO 87 PAS 88 DRI 88 DEF 89 PHY 86 CM CAM R 4 ★ 4 CDM 88.2 REQUIREMENTS Rarity Choose Your Idol Overall Min. 89 Overall Max. 89 Min PS+ 1 Max PS+ 2 UPGRADES 2 in 5 months in 8 days 26% 74%</t>
        </is>
      </c>
    </row>
    <row r="76">
      <c r="A76" t="inlineStr">
        <is>
          <t>Reward</t>
        </is>
      </c>
      <c r="B76" t="inlineStr">
        <is>
          <t>Standard Season Pass</t>
        </is>
      </c>
      <c r="C76" t="inlineStr">
        <is>
          <t>https://www.fut.gg/evolutions/1798-make-your-idol-pinged-pass-sp-7/</t>
        </is>
      </c>
      <c r="D76" t="inlineStr">
        <is>
          <t>Make Your Idol - Pinged Pass+ [SP 7]</t>
        </is>
      </c>
      <c r="E76" t="inlineStr">
        <is>
          <t>Make Your Idol - Pinged Pass+ [SP 7] Unlocked by reaching level 7 in the Standard Season Pass. Hasegawa 85 CDM PAC 77 SHO 71 PAS 85 DRI 86 DEF 81 PHY 63 CM CAM R 4 ★ 4 CDM 75.6 Hasegawa 89 CDM PAC 89 SHO 87 PAS 88 DRI 88 DEF 89 PHY 86 CM CAM R 4 ★ 4 CDM 89.3 REQUIREMENTS Rarity Choose Your Idol Overall Min. 89 Overall Max. 89 Min PS+ 1 Max PS+ 2 UPGRADES 2 in 5 months in 8 days 33% 67%</t>
        </is>
      </c>
    </row>
    <row r="77">
      <c r="A77" t="inlineStr">
        <is>
          <t>Reward</t>
        </is>
      </c>
      <c r="B77" t="inlineStr">
        <is>
          <t>Standard Season Pass</t>
        </is>
      </c>
      <c r="C77" t="inlineStr">
        <is>
          <t>https://www.fut.gg/evolutions/1799-make-your-idol-rapid-sp-7/</t>
        </is>
      </c>
      <c r="D77" t="inlineStr">
        <is>
          <t>Make Your Idol - Rapid+ [SP 7]</t>
        </is>
      </c>
      <c r="E77" t="inlineStr">
        <is>
          <t>Make Your Idol - Rapid+ [SP 7] Unlocked by reaching level 7 in the Standard Season Pass. Hasegawa 85 CDM PAC 77 SHO 71 PAS 85 DRI 86 DEF 81 PHY 63 CM CAM R 4 ★ 4 CDM 75.6 Hasegawa 89 CDM PAC 89 SHO 87 PAS 88 DRI 88 DEF 89 PHY 86 CM CAM R 4 ★ 4 CDM 88.0 REQUIREMENTS Rarity Choose Your Idol Overall Min. 89 Overall Max. 89 Min PS+ 1 Max PS+ 2 UPGRADES 2 in 5 months in 8 days 37% 63%</t>
        </is>
      </c>
    </row>
    <row r="78">
      <c r="A78" t="inlineStr">
        <is>
          <t>Reward</t>
        </is>
      </c>
      <c r="B78" t="inlineStr">
        <is>
          <t>Standard Season Pass</t>
        </is>
      </c>
      <c r="C78" t="inlineStr">
        <is>
          <t>https://www.fut.gg/evolutions/1800-make-your-idol-quick-step-sp-7/</t>
        </is>
      </c>
      <c r="D78" t="inlineStr">
        <is>
          <t>Make Your Idol - Quick Step+ [SP 7]</t>
        </is>
      </c>
      <c r="E78" t="inlineStr">
        <is>
          <t>Make Your Idol - Quick Step+ [SP 7] Unlocked by reaching level 7 in the Standard Season Pass. Hasegawa 85 CDM PAC 77 SHO 71 PAS 85 DRI 86 DEF 81 PHY 63 CM CAM R 4 ★ 4 CDM 75.6 Hasegawa 89 CDM PAC 87 SHO 78 PAS 89 DRI 88 DEF 89 PHY 89 CM CAM R 4 ★ 4 CDM 88.5 REQUIREMENTS Rarity Choose Your Idol Overall Min. 89 Overall Max. 89 Min PS+ 1 Max PS+ 2 UPGRADES 2 in 5 months in 8 days 37% 63%</t>
        </is>
      </c>
    </row>
    <row r="79">
      <c r="A79" t="inlineStr">
        <is>
          <t>Reward</t>
        </is>
      </c>
      <c r="B79" t="inlineStr">
        <is>
          <t>Standard Season Pass</t>
        </is>
      </c>
      <c r="C79" t="inlineStr">
        <is>
          <t>https://www.fut.gg/evolutions/1801-make-your-idol-anticipate-sp-7/</t>
        </is>
      </c>
      <c r="D79" t="inlineStr">
        <is>
          <t>Make Your Idol - Anticipate+ [SP 7]</t>
        </is>
      </c>
      <c r="E79" t="inlineStr">
        <is>
          <t>Make Your Idol - Anticipate+ [SP 7] Unlocked by reaching level 7 in the Standard Season Pass. Hasegawa 85 CDM PAC 77 SHO 71 PAS 85 DRI 86 DEF 81 PHY 63 CM CAM R 4 ★ 4 CDM 75.6 Hasegawa 89 CDM PAC 89 SHO 87 PAS 88 DRI 88 DEF 89 PHY 86 CM CAM R 4 ★ 4 CDM 87.7 REQUIREMENTS Rarity Choose Your Idol Overall Min. 89 Overall Max. 89 Min PS+ 1 Max PS+ 2 UPGRADES 2 in 5 months in 8 days 35% 65%</t>
        </is>
      </c>
    </row>
    <row r="80">
      <c r="A80" t="inlineStr">
        <is>
          <t>Reward</t>
        </is>
      </c>
      <c r="B80" t="inlineStr">
        <is>
          <t>Standard Season Pass</t>
        </is>
      </c>
      <c r="C80" t="inlineStr">
        <is>
          <t>https://www.fut.gg/evolutions/1788-make-your-idol-attacker-1-sp-3/</t>
        </is>
      </c>
      <c r="D80" t="inlineStr">
        <is>
          <t>Make Your Idol - Attacker 1 [SP 3]</t>
        </is>
      </c>
      <c r="E80" t="inlineStr">
        <is>
          <t>Make Your Idol - Attacker 1 [SP 3] Unlocked by reaching level 3 in the Standard Season Pass. Kim Bong Soo 72 CDM PAC 67 SHO 58 PAS 63 DRI 65 DEF 68 PHY 79 CB CM R 2 ★ 2 CDM 60.7 Kim Bong Soo 87 CDM PAC 89 SHO 87 PAS 86 DRI 87 DEF 78 PHY 79 CB CM R 4 ★ 4 CM 82.8 REQUIREMENTS Rarity Choose Your Idol Overall Min. 85 Overall Max. 85 Max PS 10 UPGRADES +2 OVR 87 +3 SM 4 +3 WF 4 +30 Acceleration 88 +30 Shot Power 87 +30 Long Shots 86 +30 Volleys 85 +30 Balance 88 +30 Sprint Speed 89 +30 Positioning 87 +30 Finishing 87 +30 Penalties 85 +30 Vision 87 +30 Dribbling 87 +30 Composure 87 +30 Ball Control 87 +30 Reactions 87 +30 Crossing 82 +30 Fk Accuracy 85 +30 Short Pass 87 +30 Long Pass 87 +30 Curve 86 +30 Agility 87 8 in 1 day in 8 days 31% 69%</t>
        </is>
      </c>
    </row>
    <row r="81">
      <c r="A81" t="inlineStr">
        <is>
          <t>Reward</t>
        </is>
      </c>
      <c r="B81" t="inlineStr">
        <is>
          <t>Standard Season Pass</t>
        </is>
      </c>
      <c r="C81" t="inlineStr">
        <is>
          <t>https://www.fut.gg/evolutions/1787-make-your-idol-midfielder-1-sp-3/</t>
        </is>
      </c>
      <c r="D81" t="inlineStr">
        <is>
          <t>Make Your Idol - Midfielder 1 [SP 3]</t>
        </is>
      </c>
      <c r="E81" t="inlineStr">
        <is>
          <t>Make Your Idol - Midfielder 1 [SP 3] Unlocked by reaching level 3 in the Standard Season Pass. Kim Jin Ya 61 RB PAC 80 SHO 49 PAS 55 DRI 59 DEF 54 PHY 61 LB RM R 3 ★ 4 RB 58.4 Kim Jin Ya 87 RB PAC 85 SHO 76 PAS 88 DRI 87 DEF 83 PHY 87 LB RM R 4 ★ 4 RB 82.0 REQUIREMENTS Rarity Choose Your Idol Overall Min. 85 Overall Max. 85 Max PS 10 UPGRADES +2 OVR 87 +3 SM 4 +3 WF 4 +30 Vision 89 +30 Crossing 86 +30 Fk Accuracy 89 +30 Short Pass 87 +30 Long Pass 89 +30 Acceleration 85 +30 Sprint Speed 85 +30 Curve 88 +30 Agility 89 +30 Reactions 85 +30 Dribbling 87 +30 Standing Tackle 82 +30 Stamina 85 +30 Strength 83 +30 Aggression 85 +30 Ball Control 87 +30 Defensive Awareness 85 +30 Sliding Tackle 82 +30 Jumping 80 +30 Composure 86 +30 Interceptions 82 +30 Heading Acc. 85 +30 Balance 89 8 in 1 day in 8 days 33% 67%</t>
        </is>
      </c>
    </row>
    <row r="82">
      <c r="A82" t="inlineStr">
        <is>
          <t>Reward</t>
        </is>
      </c>
      <c r="B82" t="inlineStr">
        <is>
          <t>Standard Season Pass</t>
        </is>
      </c>
      <c r="C82" t="inlineStr">
        <is>
          <t>https://www.fut.gg/evolutions/1786-make-your-idol-defender-1-sp-3/</t>
        </is>
      </c>
      <c r="D82" t="inlineStr">
        <is>
          <t>Make Your Idol - Defender 1 [SP 3]</t>
        </is>
      </c>
      <c r="E82" t="inlineStr">
        <is>
          <t>Make Your Idol - Defender 1 [SP 3] Unlocked by reaching level 3 in the Standard Season Pass. Jeong Tae Wook 63 CB PAC 47 SHO 31 PAS 47 DRI 46 DEF 61 PHY 78 R 2 ★ 3 CB 50.4 Jeong Tae Wook 87 CB PAC 84 SHO 61 PAS 83 DRI 82 DEF 86 PHY 88 R 4 ★ 4 CB 82.8 REQUIREMENTS Rarity Choose Your Idol Overall Min. 85 Overall Max. 85 Max PS 10 UPGRADES +2 OVR 87 +3 SM 4 +3 WF 4 +30 Acceleration 83 +30 Sprint Speed 85 +30 Short Pass 87 +30 Long Pass 88 +30 Reactions 87 +30 Agility 76 +30 Vision 86 +30 Interceptions 87 +30 Defensive Awareness 85 +30 Standing Tackle 87 +30 Sliding Tackle 86 +30 Jumping 85 +30 Composure 87 +30 Heading Acc. 88 +30 Stamina 87 +30 Strength 85 +30 Balance 78 +30 Ball Control 82 +30 Dribbling 82 +30 Aggression 85 8 in 1 day in 8 days 33% 67%</t>
        </is>
      </c>
    </row>
    <row r="83">
      <c r="A83" t="inlineStr">
        <is>
          <t>Reward</t>
        </is>
      </c>
      <c r="B83" t="inlineStr">
        <is>
          <t>Standard Season Pass</t>
        </is>
      </c>
      <c r="C83" t="inlineStr">
        <is>
          <t>https://www.fut.gg/evolutions/1785-make-your-idol-starter-sp-1/</t>
        </is>
      </c>
      <c r="D83" t="inlineStr">
        <is>
          <t>Make Your Idol - Starter [SP 1]</t>
        </is>
      </c>
      <c r="E83" t="inlineStr">
        <is>
          <t>Make Your Idol - Starter [SP 1] Unlocked by reaching level 1 in the Standard Season Pass. Kim In Kyun 65 ST PAC 92 SHO 62 PAS 52 DRI 68 DEF 47 PHY 63 LB LM CAM L 3 ★ 4 LM 69.6 Kim In Kyun 85 ST PAC 92 SHO 78 PAS 81 DRI 82 DEF 76 PHY 75 LB LM CAM L 3 ★ 4 LM 79.4 REQUIREMENTS Excluded Rarity World Tour Silver Stars Nation Korea Republic, Japan Overall Max. 85 UPGRADES +40 OVR 85 +40 PHY 75 +40 Acceleration 83 +30 Positioning 78 +30 Finishing 75 +30 Shot Power 83 +40 Sprint Speed 85 +30 Long Shots 83 +30 Volleys 75 +40 Fk Accuracy 75 +40 Short Pass 85 +40 Long Pass 85 +30 Penalties 75 +40 Vision 80 +30 Ball Control 80 +30 Dribbling 80 +30 Composure 85 +30 Defensive Awareness 75 +40 Curve 80 +30 Agility 76 +30 Balance 76 +30 Reactions 85 +30 Standing Tackle 75 +30 Sliding Tackle 80 +40 Crossing 75 +30 Interceptions 80 +30 Heading Acc. 85 in 1 day in 8 days 41% 59%</t>
        </is>
      </c>
    </row>
    <row r="84">
      <c r="A84" t="inlineStr">
        <is>
          <t>Reward</t>
        </is>
      </c>
      <c r="B84" t="inlineStr">
        <is>
          <t>Premium Season Pass</t>
        </is>
      </c>
      <c r="C84" t="inlineStr">
        <is>
          <t>https://www.fut.gg/evolutions/1784-guardian-of-the-line-sp-10/</t>
        </is>
      </c>
      <c r="D84" t="inlineStr">
        <is>
          <t>Guardian of the Line [SP+ 10] 2</t>
        </is>
      </c>
      <c r="E84" t="inlineStr">
        <is>
          <t>Guardian of the Line [SP+ 10] 2 Unlocked by reaching level 10 in the Premium Season Pass. Dorgu 89 LM PAC 94 SHO 82 PAS 86 DRI 89 DEF 86 PHY 88 LB LW L 3 ★ 4 LB 88.8 Dorgu 89 LM PAC 94 SHO 82 PAS 86 DRI 89 DEF 86 PHY 88 LB LW L 3 ★ 4 LB 90.7 REQUIREMENTS Excluded Rarity World Tour Silver Stars Overall Max. 89 Max PS 8 UPGRADES 9 in 5 months in 8 days 89% 11%</t>
        </is>
      </c>
    </row>
    <row r="85">
      <c r="A85" t="inlineStr">
        <is>
          <t>Reward</t>
        </is>
      </c>
      <c r="B85" t="inlineStr">
        <is>
          <t>Premium Season Pass</t>
        </is>
      </c>
      <c r="C85" t="inlineStr">
        <is>
          <t>https://www.fut.gg/evolutions/1783-up-to-speed-sp-26/</t>
        </is>
      </c>
      <c r="D85" t="inlineStr">
        <is>
          <t>Up to Speed [SP+ 26]</t>
        </is>
      </c>
      <c r="E85" t="inlineStr">
        <is>
          <t>Up to Speed [SP+ 26] Unlocked by reaching level 26 in the Premium Season Pass. Hall 89 LB PAC 88 SHO 82 PAS 88 DRI 89 DEF 89 PHY 86 L 4 ★ 4 LB 88.5 Hall 91 LB PAC 91 SHO 87 PAS 91 DRI 91 DEF 89 PHY 86 L 4 ★ 4 LB 91.4 REQUIREMENTS Excluded Rarity World Tour Silver Stars Overall Max. 89 Max PS 10 Max PS+ 2 UPGRADES +2 OVR +4 PAC 91 +4 DRI 91 +8 Positioning 92 +8 Volleys 91 +4 Curve 92 +8 Shot Power 92 +4 Vision 91 +8 Finishing 92 +4 Short Pass 92 2 9 in 5 months in 8 days 85% 15%</t>
        </is>
      </c>
    </row>
    <row r="86">
      <c r="A86" t="inlineStr">
        <is>
          <t>Reward</t>
        </is>
      </c>
      <c r="B86" t="inlineStr">
        <is>
          <t>Standard Season Pass</t>
        </is>
      </c>
      <c r="C86" t="inlineStr">
        <is>
          <t>https://www.fut.gg/evolutions/1782-fantasy-captain-icon-sp-27/</t>
        </is>
      </c>
      <c r="D86" t="inlineStr">
        <is>
          <t>Fantasy Captain ICON [SP 27]</t>
        </is>
      </c>
      <c r="E86" t="inlineStr">
        <is>
          <t>Fantasy Captain ICON [SP 27] Unlocked by reaching level 27 in the Standard Season Pass. Jacobo Ramón 94 CB PAC 88 SHO 46 PAS 84 DRI 81 DEF 94 PHY 91 R 3 ★ 4 CB 93.8 Jacobo Ramón 94 CB PAC 88 SHO 46 PAS 84 DRI 81 DEF 94 PHY 91 R 3 ★ 4 CB 93.8 REQUIREMENTS Excluded Rarity World Tour Silver Stars UPGRADES No upgrades in 5 months in 8 days 96% 4%</t>
        </is>
      </c>
    </row>
    <row r="87">
      <c r="A87" t="inlineStr">
        <is>
          <t>Reward</t>
        </is>
      </c>
      <c r="B87" t="inlineStr">
        <is>
          <t>Standard Season Pass</t>
        </is>
      </c>
      <c r="C87" t="inlineStr">
        <is>
          <t>https://www.fut.gg/evolutions/1781-season-ladder-excellence-sp-15/</t>
        </is>
      </c>
      <c r="D87" t="inlineStr">
        <is>
          <t>Season Ladder Excellence [SP 15]</t>
        </is>
      </c>
      <c r="E87" t="inlineStr">
        <is>
          <t>Season Ladder Excellence [SP 15] Unlocked by reaching level 15 in the Standard Season Pass. Jacobo Ramón 94 CB PAC 88 SHO 46 PAS 84 DRI 81 DEF 94 PHY 91 R 3 ★ 4 CB 93.8 Jacobo Ramón 94 CB PAC 88 SHO 46 PAS 84 DRI 81 DEF 94 PHY 91 R 3 ★ 4 CB 93.8 REQUIREMENTS Excluded Rarity World Tour Silver Stars UPGRADES No upgrades in 5 months in 8 days 39% 61%</t>
        </is>
      </c>
    </row>
    <row r="88">
      <c r="A88" t="inlineStr">
        <is>
          <t>Reward</t>
        </is>
      </c>
      <c r="B88" t="inlineStr">
        <is>
          <t>Standard Season Pass</t>
        </is>
      </c>
      <c r="C88" t="inlineStr">
        <is>
          <t>https://www.fut.gg/evolutions/1780-make-your-idol-defender-2-sp-7/</t>
        </is>
      </c>
      <c r="D88" t="inlineStr">
        <is>
          <t>Make Your Idol - Defender 2 [SP 7]</t>
        </is>
      </c>
      <c r="E88" t="inlineStr">
        <is>
          <t>Make Your Idol - Defender 2 [SP 7] Unlocked by reaching level 7 in the Standard Season Pass. Jung Seung Bin 50 CB PAC 43 SHO 24 PAS 27 DRI 32 DEF 49 PHY 62 R 2 ★ 3 CB 20.0 Jung Seung Bin 89 CB PAC 87 SHO 54 PAS 82 DRI 83 DEF 89 PHY 93 R 4 ★ 4 CB 86.7 REQUIREMENTS Rarity Choose Your Idol Overall Min. 87 Overall Max. 87 Max PS 10 UPGRADES +2 OVR 89 +3 PAC 87 +10 Short Pass 90 +10 Long Pass 90 +10 Agility 80 +10 Balance 80 +10 Reactions 90 +10 Composure 90 +10 Interceptions 90 +10 Heading Acc. 90 +10 Defensive Awareness 88 +10 Standing Tackle 89 +10 Sliding Tackle 89 +20 Jumping 90 +15 Stamina 88 +20 Strength 88 +20 Aggression 87 8 in 1 day in 8 days 37% 63%</t>
        </is>
      </c>
    </row>
    <row r="89">
      <c r="A89" t="inlineStr">
        <is>
          <t>Reward</t>
        </is>
      </c>
      <c r="B89" t="inlineStr">
        <is>
          <t>Standard Season Pass</t>
        </is>
      </c>
      <c r="C89" t="inlineStr">
        <is>
          <t>https://www.fut.gg/evolutions/1779-make-your-idol-attacker-3-sp-21/</t>
        </is>
      </c>
      <c r="D89" t="inlineStr">
        <is>
          <t>Make Your Idol - Attacker 3 [SP 21]</t>
        </is>
      </c>
      <c r="E89" t="inlineStr">
        <is>
          <t>Make Your Idol - Attacker 3 [SP 21] Unlocked by reaching level 21 in the Standard Season Pass. Yoon Do Young 63 RM PAC 78 SHO 57 PAS 55 DRI 67 DEF 34 PHY 48 CAM RW L 3 ★ 3 RM 57.3 Yoon Do Young 91 RM PAC 92 SHO 91 PAS 88 DRI 90 DEF 64 PHY 79 CAM RW L 5 ★ 5 RM 89.7 REQUIREMENTS Rarity Choose Your Idol Overall Min. 89 Overall Max. 89 Max PS 10 Max PS+ 2 UPGRADES +2 OVR 91 +4 SHO 91 +4 DRI 90 +4 SM +4 WF +20 Stamina 90 9 Show less in 1 day in 8 days 36% 64%</t>
        </is>
      </c>
    </row>
    <row r="90">
      <c r="A90" t="inlineStr">
        <is>
          <t>Reward</t>
        </is>
      </c>
      <c r="B90" t="inlineStr">
        <is>
          <t>Standard Season Pass</t>
        </is>
      </c>
      <c r="C90" t="inlineStr">
        <is>
          <t>https://www.fut.gg/evolutions/1778-make-your-idol-midfielder-3-sp-21/</t>
        </is>
      </c>
      <c r="D90" t="inlineStr">
        <is>
          <t>Make Your Idol - Midfielder 3 [SP 21]</t>
        </is>
      </c>
      <c r="E90" t="inlineStr">
        <is>
          <t>Make Your Idol - Midfielder 3 [SP 21] Unlocked by reaching level 21 in the Standard Season Pass. Jung Woo Young 65 CDM PAC 34 SHO 57 PAS 64 DRI 57 DEF 61 PHY 72 CB CM R 2 ★ 3 CM 47.5 Jung Woo Young 91 CDM PAC 88 SHO 87 PAS 91 DRI 91 DEF 90 PHY 87 CB CM R 5 ★ 5 CDM 90.4 REQUIREMENTS Rarity Choose Your Idol Overall Min. 89 Overall Max. 89 Max PS 10 Max PS+ 2 UPGRADES +2 OVR 91 +4 PAS 91 +4 DRI 91 +7 DEF 90 +4 SM +4 WF +20 Stamina 92 9 Show less in 1 day in 8 days 36% 64%</t>
        </is>
      </c>
    </row>
    <row r="91">
      <c r="A91" t="inlineStr">
        <is>
          <t>Reward</t>
        </is>
      </c>
      <c r="B91" t="inlineStr">
        <is>
          <t>Standard Season Pass</t>
        </is>
      </c>
      <c r="C91" t="inlineStr">
        <is>
          <t>https://www.fut.gg/evolutions/1777-make-your-idol-defender-3-sp-21/</t>
        </is>
      </c>
      <c r="D91" t="inlineStr">
        <is>
          <t>Make Your Idol - Defender 3 [SP 21]</t>
        </is>
      </c>
      <c r="E91" t="inlineStr">
        <is>
          <t>Make Your Idol - Defender 3 [SP 21] Unlocked by reaching level 21 in the Standard Season Pass. Jung Seung Bin 50 CB PAC 43 SHO 24 PAS 27 DRI 32 DEF 49 PHY 62 R 2 ★ 3 CB 20.0 Jung Seung Bin 91 CB PAC 87 SHO 54 PAS 82 DRI 83 DEF 92 PHY 93 R 5 ★ 5 CB 89.6 REQUIREMENTS Rarity Choose Your Idol Overall Min. 89 Overall Max. 89 Max PS 10 Max PS+ 2 UPGRADES +2 OVR 91 +4 DEF 92 +4 PHY 92 +4 SM +4 WF +10 Reactions 93 +10 Composure 93 9 Show less in 1 day in 8 days 35% 65%</t>
        </is>
      </c>
    </row>
    <row r="92">
      <c r="A92" t="inlineStr">
        <is>
          <t>Reward</t>
        </is>
      </c>
      <c r="B92" t="inlineStr">
        <is>
          <t>Standard Season Pass</t>
        </is>
      </c>
      <c r="C92" t="inlineStr">
        <is>
          <t>https://www.fut.gg/evolutions/1776-make-your-idol-attacker-2-sp-7/</t>
        </is>
      </c>
      <c r="D92" t="inlineStr">
        <is>
          <t>Make Your Idol - Attacker 2 [SP 7]</t>
        </is>
      </c>
      <c r="E92" t="inlineStr">
        <is>
          <t>Make Your Idol - Attacker 2 [SP 7] Unlocked by reaching level 7 in the Standard Season Pass. Jeong Tae Wook 63 CB PAC 47 SHO 31 PAS 47 DRI 46 DEF 61 PHY 78 R 2 ★ 3 CB 50.4 Jeong Tae Wook 89 CB PAC 92 SHO 63 PAS 87 DRI 82 DEF 86 PHY 88 R 4 ★ 4 CB 86.3 REQUIREMENTS Rarity Choose Your Idol Overall Min. 87 Overall Max. 87 Max PS 10 UPGRADES +2 OVR 89 +2 SHO 88 +10 Curve 90 +10 Crossing 85 +10 Short Pass 89 +10 Sprint Speed 92 +20 Jumping 85 +10 Long Pass 89 +10 Vision 89 +20 Aggression 78 +20 Stamina 85 +10 Acceleration 92 +10 Fk Accuracy 87 8 in 1 day in 8 days 35% 65%</t>
        </is>
      </c>
    </row>
    <row r="93">
      <c r="A93" t="inlineStr">
        <is>
          <t>Reward</t>
        </is>
      </c>
      <c r="B93" t="inlineStr">
        <is>
          <t>Standard Season Pass</t>
        </is>
      </c>
      <c r="C93" t="inlineStr">
        <is>
          <t>https://www.fut.gg/evolutions/1775-make-your-idol-midfielder-2-sp-7/</t>
        </is>
      </c>
      <c r="D93" t="inlineStr">
        <is>
          <t>Make Your Idol - Midfielder 2 [SP 7]</t>
        </is>
      </c>
      <c r="E93" t="inlineStr">
        <is>
          <t>Make Your Idol - Midfielder 2 [SP 7] Unlocked by reaching level 7 in the Standard Season Pass. Lim Dug Keun 66 CM PAC 65 SHO 58 PAS 58 DRI 64 DEF 64 PHY 75 CB CDM R 2 ★ 3 CM 56.1 Lim Dug Keun 89 CM PAC 88 SHO 87 PAS 90 DRI 89 DEF 85 PHY 86 CB CDM R 4 ★ 4 CM 87.0 REQUIREMENTS Rarity Choose Your Idol Overall Min. 87 Overall Max. 87 Max PS 10 UPGRADES +2 OVR 89 +3 PAS 90 +2 DRI 89 +2 DEF 85 +10 Acceleration 88 +10 Sprint Speed 88 +10 Positioning 87 +10 Finishing 85 +10 Shot Power 90 +10 Long Shots 90 +10 Volleys 85 +10 Penalties 85 +20 Jumping 85 +15 Stamina 88 +20 Strength 85 +20 Aggression 83 8 in 1 day in 8 days 55% 45%</t>
        </is>
      </c>
    </row>
    <row r="94">
      <c r="A94" t="inlineStr">
        <is>
          <t>Reward</t>
        </is>
      </c>
      <c r="B94" t="inlineStr">
        <is>
          <t>Premium Season Pass</t>
        </is>
      </c>
      <c r="C94" t="inlineStr">
        <is>
          <t>https://www.fut.gg/evolutions/1774-pinged-pass-sp-28/</t>
        </is>
      </c>
      <c r="D94" t="inlineStr">
        <is>
          <t>Pinged Pass+ [SP+ 28]</t>
        </is>
      </c>
      <c r="E94" t="inlineStr">
        <is>
          <t>Pinged Pass+ [SP+ 28] Unlocked by reaching level 28 in the Premium Season Pass. Messi 90 ST PAC 90 SHO 90 PAS 90 DRI 94 DEF 37 PHY 71 RM CAM RW L 4 ★ 5 CAM 90.3 Messi 90 ST PAC 90 SHO 90 PAS 90 DRI 94 DEF 37 PHY 71 RM CAM RW L 4 ★ 5 CAM 91.7 REQUIREMENTS Excluded Rarity World Tour Silver Stars Overall Max. 90 Max PS+ 2 UPGRADES 3 in 5 months in 8 days 95% 5%</t>
        </is>
      </c>
    </row>
    <row r="95">
      <c r="A95" t="inlineStr">
        <is>
          <t>Reward</t>
        </is>
      </c>
      <c r="B95" t="inlineStr">
        <is>
          <t>Premium Season Pass</t>
        </is>
      </c>
      <c r="C95" t="inlineStr">
        <is>
          <t>https://www.fut.gg/evolutions/1773-relentless-sp-27/</t>
        </is>
      </c>
      <c r="D95" t="inlineStr">
        <is>
          <t>Relentless+ [SP+ 27]</t>
        </is>
      </c>
      <c r="E95" t="inlineStr">
        <is>
          <t>Relentless+ [SP+ 27] Unlocked by reaching level 27 in the Premium Season Pass. Spinazzola 89 LB PAC 93 SHO 76 PAS 87 DRI 89 DEF 88 PHY 84 LM R 4 ★ 4 LB 89.7 Spinazzola 89 LB PAC 93 SHO 76 PAS 87 DRI 89 DEF 88 PHY 84 LM R 4 ★ 4 LB 90.2 REQUIREMENTS Excluded Rarity World Tour Silver Stars Overall Max. 89 Max PS+ 2 UPGRADES 3 in 5 months in 8 days 14% 86%</t>
        </is>
      </c>
    </row>
    <row r="96">
      <c r="A96" t="inlineStr">
        <is>
          <t>Reward</t>
        </is>
      </c>
      <c r="B96" t="inlineStr">
        <is>
          <t>Premium Season Pass</t>
        </is>
      </c>
      <c r="C96" t="inlineStr">
        <is>
          <t>https://www.fut.gg/evolutions/1772-dish-em-out-sp-1/</t>
        </is>
      </c>
      <c r="D96" t="inlineStr">
        <is>
          <t>Dish 'em Out [SP+ 1]</t>
        </is>
      </c>
      <c r="E96" t="inlineStr">
        <is>
          <t>Dish 'em Out [SP+ 1] Unlocked by reaching level 1 in the Premium Season Pass. Hernández 88 LB PAC 92 SHO 81 PAS 82 DRI 87 DEF 83 PHY 86 LM L 4 ★ 3 LB 89.3 Hernández 89 LB PAC 92 SHO 81 PAS 86 DRI 87 DEF 86 PHY 86 LM L 4 ★ 3 LB 91.4 REQUIREMENTS Excluded Rarity World Tour Silver Stars Overall Max. 89 Max PS 10 UPGRADES +1 OVR +10 Vision 92 +10 Long Pass 92 +10 Curve 92 +10 Composure 91 +10 Defensive Awareness 91 9 in 5 months in 8 days 92% 8%</t>
        </is>
      </c>
    </row>
    <row r="97">
      <c r="A97" t="inlineStr">
        <is>
          <t>Reward</t>
        </is>
      </c>
      <c r="B97" t="inlineStr">
        <is>
          <t>Standard Season Pass</t>
        </is>
      </c>
      <c r="C97" t="inlineStr">
        <is>
          <t>https://www.fut.gg/evolutions/1771-locked-loaded-sp-25/</t>
        </is>
      </c>
      <c r="D97" t="inlineStr">
        <is>
          <t>Locked &amp; Loaded [SP 25]</t>
        </is>
      </c>
      <c r="E97" t="inlineStr">
        <is>
          <t>Locked &amp; Loaded [SP 25] Unlocked by reaching level 25 in the Standard Season Pass. O'Reilly 87 LB PAC 89 SHO 82 PAS 86 DRI 87 DEF 85 PHY 85 CM CAM L 3 ★ 3 LB 87.2 O'Reilly 89 LB PAC 89 SHO 82 PAS 88 DRI 88 DEF 89 PHY 89 CM CAM L 3 ★ 3 LB 90.8 REQUIREMENTS Excluded Rarity World Tour Silver Stars Overall Max. 88 Max PS 10 UPGRADES +2 OVR +4 DEF 90 +4 PHY 91 +6 Vision 92 +6 Short Pass 92 +6 Curve 89 +6 Reactions 90 +6 Ball Control 90 +6 Composure 90 9 in 5 months in 8 days 91% 9%</t>
        </is>
      </c>
    </row>
    <row r="98">
      <c r="A98" t="inlineStr">
        <is>
          <t>Reward</t>
        </is>
      </c>
      <c r="B98" t="inlineStr">
        <is>
          <t>Standard Season Pass</t>
        </is>
      </c>
      <c r="C98" t="inlineStr">
        <is>
          <t>https://www.fut.gg/evolutions/1770-goal-machine-sp-8/</t>
        </is>
      </c>
      <c r="D98" t="inlineStr">
        <is>
          <t>Goal Machine [SP 8] 5</t>
        </is>
      </c>
      <c r="E98" t="inlineStr">
        <is>
          <t>Goal Machine [SP 8] 5 Unlocked by reaching level 8 in the Standard Season Pass. Pedrinho 88 RM PAC 93 SHO 85 PAS 87 DRI 91 DEF 60 PHY 75 LM CAM RW L 5 ★ 4 LM 90.9 Pedrinho 88 RM PAC 93 SHO 87 PAS 87 DRI 91 DEF 60 PHY 75 LM CAM RW L 5 ★ 4 LM 91.1 REQUIREMENTS Excluded Rarity World Tour Silver Stars Overall Max. 88 UPGRADES +2 Positioning 90 +2 Finishing 90 +2 Long Shots 90 in 5 months in 8 days 92% 8%</t>
        </is>
      </c>
    </row>
    <row r="99">
      <c r="A99" t="inlineStr">
        <is>
          <t>Reward</t>
        </is>
      </c>
      <c r="B99" t="inlineStr">
        <is>
          <t>Premium Season Pass</t>
        </is>
      </c>
      <c r="C99" t="inlineStr">
        <is>
          <t>https://www.fut.gg/evolutions/1769-roadrunner-sp-24/</t>
        </is>
      </c>
      <c r="D99" t="inlineStr">
        <is>
          <t>Roadrunner [SP+ 24]</t>
        </is>
      </c>
      <c r="E99" t="inlineStr">
        <is>
          <t>Roadrunner [SP+ 24] Unlocked by reaching level 24 in the Premium Season Pass. Bardakcı 88 CB PAC 85 SHO 53 PAS 85 DRI 76 DEF 88 PHY 92 LB LM L 4 ★ 5 LB 88.3 Bardakcı 90 CB PAC 90 SHO 53 PAS 85 DRI 84 DEF 88 PHY 92 LB LM L 4 ★ 5 LB 91.5 REQUIREMENTS Excluded Rarity World Tour Silver Stars Overall Max. 89 Max PS 10 UPGRADES +2 OVR +7 PAC 90 +7 DRI 91 9 in 5 months in 8 days 84% 16%</t>
        </is>
      </c>
    </row>
    <row r="100">
      <c r="A100" t="inlineStr">
        <is>
          <t>Reward</t>
        </is>
      </c>
      <c r="B100" t="inlineStr">
        <is>
          <t>Premium Season Pass</t>
        </is>
      </c>
      <c r="C100" t="inlineStr">
        <is>
          <t>https://www.fut.gg/evolutions/1768-sweep-supply-sp-18/</t>
        </is>
      </c>
      <c r="D100" t="inlineStr">
        <is>
          <t>Sweep &amp; Supply [SP+ 18]</t>
        </is>
      </c>
      <c r="E100" t="inlineStr">
        <is>
          <t>Sweep &amp; Supply [SP+ 18] Unlocked by reaching level 18 in the Premium Season Pass. Timber 88 RB PAC 87 SHO 54 PAS 83 DRI 86 DEF 88 PHY 88 CB LB RM R 4 ★ 5 LB 88.6 Timber 90 RB PAC 87 SHO 54 PAS 90 DRI 86 DEF 91 PHY 88 CB LB RM R 4 ★ 5 LB 91.5 REQUIREMENTS Excluded Rarity World Tour Silver Stars Overall Max. 89 Max PS 10 UPGRADES +2 OVR +7 PAS 91 +7 DEF 91 9 in 5 months in 8 days 86% 14%</t>
        </is>
      </c>
    </row>
    <row r="101">
      <c r="A101" t="inlineStr">
        <is>
          <t>Reward</t>
        </is>
      </c>
      <c r="B101" t="inlineStr">
        <is>
          <t>Objective</t>
        </is>
      </c>
      <c r="C101" t="inlineStr">
        <is>
          <t>https://www.fut.gg/evolutions/1762-quick-step/</t>
        </is>
      </c>
      <c r="D101" t="inlineStr">
        <is>
          <t>Quick Step+</t>
        </is>
      </c>
      <c r="E101" t="inlineStr">
        <is>
          <t>Quick Step+ Unlocked by completing the Quick Step+ Milestone objective Henrichs 88 RB PAC 90 SHO 75 PAS 85 DRI 86 DEF 88 PHY 84 LB RM R 3 ★ 5 LB 87.0 Henrichs 88 RB PAC 90 SHO 75 PAS 85 DRI 86 DEF 88 PHY 84 LB RM R 3 ★ 5 LB 89.0 REQUIREMENTS Excluded Rarity World Tour Silver Stars Overall Max. 90 Max PS+ 1 UPGRADES 2 in 8 months in 8 months 94% 6%</t>
        </is>
      </c>
    </row>
    <row r="102">
      <c r="A102" t="inlineStr">
        <is>
          <t>Reward</t>
        </is>
      </c>
      <c r="B102" t="inlineStr">
        <is>
          <t>Objective</t>
        </is>
      </c>
      <c r="C102" t="inlineStr">
        <is>
          <t>https://www.fut.gg/evolutions/1760-finesse-shot/</t>
        </is>
      </c>
      <c r="D102" t="inlineStr">
        <is>
          <t>Finesse Shot+</t>
        </is>
      </c>
      <c r="E102" t="inlineStr">
        <is>
          <t>Finesse Shot+ Unlocked by completing the Finesse Shot+ Milestone objective Pulisic 90 CAM PAC 92 SHO 88 PAS 87 DRI 93 DEF 52 PHY 75 RM RW R 4 ★ 5 RM 86.8 Pulisic 90 CAM PAC 92 SHO 88 PAS 87 DRI 93 DEF 52 PHY 75 RM RW R 4 ★ 5 RM 88.8 REQUIREMENTS Excluded Rarity World Tour Silver Stars Overall Max. 90 Max PS+ 1 UPGRADES 2 in 3 years in 3 years 94% 6%</t>
        </is>
      </c>
    </row>
    <row r="103">
      <c r="A103" t="inlineStr">
        <is>
          <t>Reward</t>
        </is>
      </c>
      <c r="B103" t="inlineStr">
        <is>
          <t>Reward</t>
        </is>
      </c>
      <c r="C103" t="inlineStr">
        <is>
          <t>https://www.fut.gg/evolutions/1214-intro-to-rewards-evos/</t>
        </is>
      </c>
      <c r="D103" t="inlineStr">
        <is>
          <t>Intro to Rewards EVOs</t>
        </is>
      </c>
      <c r="E103" t="inlineStr">
        <is>
          <t>Intro to Rewards EVOs Upgrade your qualified Player's attributes and Overall Rating with this Evolution. Tzolis 80 LM PAC 78 SHO 77 PAS 75 DRI 83 DEF 38 PHY 71 LW R 4 ★ 4 LM 75.9 Tzolis 81 LM PAC 78 SHO 78 PAS 77 DRI 83 DEF 38 PHY 71 LW R 4 ★ 4 LM 76.4 REQUIREMENTS Excluded Rarity World Tour Silver Stars Overall Max. 82 Pace Max. 84 UPGRADES +1 OVR +3 Shot Power 80 +3 Vision 80 +4 Long Shots 80 +3 Volleys 79 +3 Short Pass 80 +4 Fk Accuracy 80 +4 Dribbling 81 +4 Reactions 81 +4 Long Pass 79 in 5 months in 5 months 84% 16%</t>
        </is>
      </c>
    </row>
    <row r="104">
      <c r="A104" t="inlineStr">
        <is>
          <t>Reward</t>
        </is>
      </c>
      <c r="B104" t="inlineStr">
        <is>
          <t>Reward</t>
        </is>
      </c>
      <c r="C104" t="inlineStr">
        <is>
          <t>https://www.fut.gg/evolutions/1215-club-member-reward/</t>
        </is>
      </c>
      <c r="D104" t="inlineStr">
        <is>
          <t>Club Member Reward</t>
        </is>
      </c>
      <c r="E104" t="inlineStr">
        <is>
          <t>Club Member Reward Unlocked by being a Club Member on FC 26. Iñaki Williams 83 RM PAC 94 SHO 81 PAS 74 DRI 80 DEF 45 PHY 84 RW ST R 4 ★ 3 RM 79.3 Iñaki Williams 83 RM PAC 94 SHO 81 PAS 74 DRI 80 DEF 45 PHY 84 RW ST R 4 ★ 3 ST 79.8 REQUIREMENTS Excluded Rarity World Tour Silver Stars Overall Max. 83 Position ST UPGRADES ST Advanced Forward + ST Poacher + ST False 9 + ST Target Forward + in 5 months in 5 months 91% 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6.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6.5"/>
  <sheetData>
    <row r="1">
      <c r="A1" t="inlineStr">
        <is>
          <t>Metric</t>
        </is>
      </c>
      <c r="B1" t="inlineStr">
        <is>
          <t>Value</t>
        </is>
      </c>
    </row>
    <row r="2">
      <c r="A2" t="inlineStr">
        <is>
          <t>Reward_Count</t>
        </is>
      </c>
      <c r="B2" t="n">
        <v>88</v>
      </c>
    </row>
    <row r="3">
      <c r="A3" t="inlineStr">
        <is>
          <t>Current_Count</t>
        </is>
      </c>
      <c r="B3" t="n">
        <v>15</v>
      </c>
    </row>
    <row r="4">
      <c r="A4" t="inlineStr">
        <is>
          <t>Generated_At</t>
        </is>
      </c>
      <c r="B4" t="inlineStr">
        <is>
          <t>2026-04-29T15:18:34</t>
        </is>
      </c>
    </row>
    <row r="5">
      <c r="A5" t="inlineStr">
        <is>
          <t>Start_URL</t>
        </is>
      </c>
      <c r="B5" t="inlineStr">
        <is>
          <t>https://www.fut.gg/evolutions/</t>
        </is>
      </c>
    </row>
    <row r="6">
      <c r="A6" t="inlineStr">
        <is>
          <t>URL_Count</t>
        </is>
      </c>
      <c r="B6" t="n">
        <v>103</v>
      </c>
    </row>
    <row r="7">
      <c r="A7" t="inlineStr">
        <is>
          <t>Rule</t>
        </is>
      </c>
      <c r="B7" t="inlineStr">
        <is>
          <t>v6 uses early working detail parser; only link collection/source grouping changed.</t>
        </is>
      </c>
    </row>
    <row r="8">
      <c r="A8" t="inlineStr">
        <is>
          <t>Rule</t>
        </is>
      </c>
      <c r="B8" t="inlineStr">
        <is>
          <t>Only true detail URLs like /evolutions/1962-rapid-gains/ are collected.</t>
        </is>
      </c>
    </row>
    <row r="9">
      <c r="A9" t="inlineStr">
        <is>
          <t>Rule</t>
        </is>
      </c>
      <c r="B9" t="inlineStr">
        <is>
          <t>FACE stats such as PAC/SHO/PAS/DRI/DEF/PHY are not distributed into sub-stats.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2026-04-29T06:18:35Z</dcterms:created>
  <dcterms:modified xsi:type="dcterms:W3CDTF">2026-10-13T21:50:56Z</dcterms:modified>
  <cp:lastModifiedBy>영현 김</cp:lastModifiedBy>
</cp:coreProperties>
</file>