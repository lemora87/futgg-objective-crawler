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workbook>
</file>

<file path=xl/styles.xml><?xml version="1.0" encoding="utf-8"?>
<styleSheet xmlns="http://schemas.openxmlformats.org/spreadsheetml/2006/main">
  <numFmts count="0"/>
  <fonts count="8">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s>
  <fills count="8">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s>
  <cellStyleXfs count="1">
    <xf numFmtId="0" fontId="0" fillId="0" borderId="0"/>
  </cellStyleXfs>
  <cellXfs count="4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0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c r="H2" s="17" t="inlineStr">
        <is>
          <t>1위</t>
        </is>
      </c>
      <c r="I2" s="18" t="inlineStr">
        <is>
          <t>MAX</t>
        </is>
      </c>
      <c r="J2" s="19">
        <f>_xlfn.MAXIFS(INDEX(Unified_Matrix!$A:$ZZ,3,MATCH("Max "&amp;J$1,Unified_Matrix!$1:$1,0)):INDEX(Unified_Matrix!$A:$ZZ,300,MATCH("Max "&amp;J$1,Unified_Matrix!$1:$1,0)),INDEX(Unified_Matrix!$A:$ZZ,3,MATCH("Max "&amp;J$1,Unified_Matrix!$1:$1,0)):INDEX(Unified_Matrix!$A:$ZZ,300,MATCH("Max "&amp;J$1,Unified_Matrix!$1:$1,0)),"&gt;0")</f>
        <v/>
      </c>
      <c r="K2" s="19">
        <f>_xlfn.MAXIFS(INDEX(Unified_Matrix!$A:$ZZ,3,MATCH("Max "&amp;K$1,Unified_Matrix!$1:$1,0)):INDEX(Unified_Matrix!$A:$ZZ,300,MATCH("Max "&amp;K$1,Unified_Matrix!$1:$1,0)),INDEX(Unified_Matrix!$A:$ZZ,3,MATCH("Max "&amp;K$1,Unified_Matrix!$1:$1,0)):INDEX(Unified_Matrix!$A:$ZZ,300,MATCH("Max "&amp;K$1,Unified_Matrix!$1:$1,0)),"&gt;0")</f>
        <v/>
      </c>
      <c r="L2" s="19">
        <f>_xlfn.MAXIFS(INDEX(Unified_Matrix!$A:$ZZ,3,MATCH("Max "&amp;L$1,Unified_Matrix!$1:$1,0)):INDEX(Unified_Matrix!$A:$ZZ,300,MATCH("Max "&amp;L$1,Unified_Matrix!$1:$1,0)),INDEX(Unified_Matrix!$A:$ZZ,3,MATCH("Max "&amp;L$1,Unified_Matrix!$1:$1,0)):INDEX(Unified_Matrix!$A:$ZZ,300,MATCH("Max "&amp;L$1,Unified_Matrix!$1:$1,0)),"&gt;0")</f>
        <v/>
      </c>
      <c r="M2" s="19">
        <f>_xlfn.MAXIFS(INDEX(Unified_Matrix!$A:$ZZ,3,MATCH("Max "&amp;M$1,Unified_Matrix!$1:$1,0)):INDEX(Unified_Matrix!$A:$ZZ,300,MATCH("Max "&amp;M$1,Unified_Matrix!$1:$1,0)),INDEX(Unified_Matrix!$A:$ZZ,3,MATCH("Max "&amp;M$1,Unified_Matrix!$1:$1,0)):INDEX(Unified_Matrix!$A:$ZZ,300,MATCH("Max "&amp;M$1,Unified_Matrix!$1:$1,0)),"&gt;0")</f>
        <v/>
      </c>
      <c r="N2" s="19">
        <f>_xlfn.MAXIFS(INDEX(Unified_Matrix!$A:$ZZ,3,MATCH("Max "&amp;N$1,Unified_Matrix!$1:$1,0)):INDEX(Unified_Matrix!$A:$ZZ,300,MATCH("Max "&amp;N$1,Unified_Matrix!$1:$1,0)),INDEX(Unified_Matrix!$A:$ZZ,3,MATCH("Max "&amp;N$1,Unified_Matrix!$1:$1,0)):INDEX(Unified_Matrix!$A:$ZZ,300,MATCH("Max "&amp;N$1,Unified_Matrix!$1:$1,0)),"&gt;0")</f>
        <v/>
      </c>
      <c r="O2" s="19">
        <f>_xlfn.MAXIFS(INDEX(Unified_Matrix!$A:$ZZ,3,MATCH("Max "&amp;O$1,Unified_Matrix!$1:$1,0)):INDEX(Unified_Matrix!$A:$ZZ,300,MATCH("Max "&amp;O$1,Unified_Matrix!$1:$1,0)),INDEX(Unified_Matrix!$A:$ZZ,3,MATCH("Max "&amp;O$1,Unified_Matrix!$1:$1,0)):INDEX(Unified_Matrix!$A:$ZZ,300,MATCH("Max "&amp;O$1,Unified_Matrix!$1:$1,0)),"&gt;0")</f>
        <v/>
      </c>
      <c r="P2" s="19">
        <f>_xlfn.MAXIFS(INDEX(Unified_Matrix!$A:$ZZ,3,MATCH("Max "&amp;P$1,Unified_Matrix!$1:$1,0)):INDEX(Unified_Matrix!$A:$ZZ,300,MATCH("Max "&amp;P$1,Unified_Matrix!$1:$1,0)),INDEX(Unified_Matrix!$A:$ZZ,3,MATCH("Max "&amp;P$1,Unified_Matrix!$1:$1,0)):INDEX(Unified_Matrix!$A:$ZZ,300,MATCH("Max "&amp;P$1,Unified_Matrix!$1:$1,0)),"&gt;0")</f>
        <v/>
      </c>
      <c r="Q2" s="19">
        <f>_xlfn.MAXIFS(INDEX(Unified_Matrix!$A:$ZZ,3,MATCH("Max "&amp;Q$1,Unified_Matrix!$1:$1,0)):INDEX(Unified_Matrix!$A:$ZZ,300,MATCH("Max "&amp;Q$1,Unified_Matrix!$1:$1,0)),INDEX(Unified_Matrix!$A:$ZZ,3,MATCH("Max "&amp;Q$1,Unified_Matrix!$1:$1,0)):INDEX(Unified_Matrix!$A:$ZZ,300,MATCH("Max "&amp;Q$1,Unified_Matrix!$1:$1,0)),"&gt;0")</f>
        <v/>
      </c>
      <c r="R2" s="19">
        <f>_xlfn.MAXIFS(INDEX(Unified_Matrix!$A:$ZZ,3,MATCH("Max "&amp;R$1,Unified_Matrix!$1:$1,0)):INDEX(Unified_Matrix!$A:$ZZ,300,MATCH("Max "&amp;R$1,Unified_Matrix!$1:$1,0)),INDEX(Unified_Matrix!$A:$ZZ,3,MATCH("Max "&amp;R$1,Unified_Matrix!$1:$1,0)):INDEX(Unified_Matrix!$A:$ZZ,300,MATCH("Max "&amp;R$1,Unified_Matrix!$1:$1,0)),"&gt;0")</f>
        <v/>
      </c>
      <c r="S2" s="19">
        <f>_xlfn.MAXIFS(INDEX(Unified_Matrix!$A:$ZZ,3,MATCH("Max "&amp;S$1,Unified_Matrix!$1:$1,0)):INDEX(Unified_Matrix!$A:$ZZ,300,MATCH("Max "&amp;S$1,Unified_Matrix!$1:$1,0)),INDEX(Unified_Matrix!$A:$ZZ,3,MATCH("Max "&amp;S$1,Unified_Matrix!$1:$1,0)):INDEX(Unified_Matrix!$A:$ZZ,300,MATCH("Max "&amp;S$1,Unified_Matrix!$1:$1,0)),"&gt;0")</f>
        <v/>
      </c>
      <c r="T2" s="19">
        <f>_xlfn.MAXIFS(INDEX(Unified_Matrix!$A:$ZZ,3,MATCH("Max "&amp;T$1,Unified_Matrix!$1:$1,0)):INDEX(Unified_Matrix!$A:$ZZ,300,MATCH("Max "&amp;T$1,Unified_Matrix!$1:$1,0)),INDEX(Unified_Matrix!$A:$ZZ,3,MATCH("Max "&amp;T$1,Unified_Matrix!$1:$1,0)):INDEX(Unified_Matrix!$A:$ZZ,300,MATCH("Max "&amp;T$1,Unified_Matrix!$1:$1,0)),"&gt;0")</f>
        <v/>
      </c>
      <c r="U2" s="19">
        <f>_xlfn.MAXIFS(INDEX(Unified_Matrix!$A:$ZZ,3,MATCH("Max "&amp;U$1,Unified_Matrix!$1:$1,0)):INDEX(Unified_Matrix!$A:$ZZ,300,MATCH("Max "&amp;U$1,Unified_Matrix!$1:$1,0)),INDEX(Unified_Matrix!$A:$ZZ,3,MATCH("Max "&amp;U$1,Unified_Matrix!$1:$1,0)):INDEX(Unified_Matrix!$A:$ZZ,300,MATCH("Max "&amp;U$1,Unified_Matrix!$1:$1,0)),"&gt;0")</f>
        <v/>
      </c>
      <c r="V2" s="19">
        <f>_xlfn.MAXIFS(INDEX(Unified_Matrix!$A:$ZZ,3,MATCH("Max "&amp;V$1,Unified_Matrix!$1:$1,0)):INDEX(Unified_Matrix!$A:$ZZ,300,MATCH("Max "&amp;V$1,Unified_Matrix!$1:$1,0)),INDEX(Unified_Matrix!$A:$ZZ,3,MATCH("Max "&amp;V$1,Unified_Matrix!$1:$1,0)):INDEX(Unified_Matrix!$A:$ZZ,300,MATCH("Max "&amp;V$1,Unified_Matrix!$1:$1,0)),"&gt;0")</f>
        <v/>
      </c>
      <c r="W2" s="19">
        <f>_xlfn.MAXIFS(INDEX(Unified_Matrix!$A:$ZZ,3,MATCH("Max "&amp;W$1,Unified_Matrix!$1:$1,0)):INDEX(Unified_Matrix!$A:$ZZ,300,MATCH("Max "&amp;W$1,Unified_Matrix!$1:$1,0)),INDEX(Unified_Matrix!$A:$ZZ,3,MATCH("Max "&amp;W$1,Unified_Matrix!$1:$1,0)):INDEX(Unified_Matrix!$A:$ZZ,300,MATCH("Max "&amp;W$1,Unified_Matrix!$1:$1,0)),"&gt;0")</f>
        <v/>
      </c>
      <c r="X2" s="19">
        <f>_xlfn.MAXIFS(INDEX(Unified_Matrix!$A:$ZZ,3,MATCH("Max "&amp;X$1,Unified_Matrix!$1:$1,0)):INDEX(Unified_Matrix!$A:$ZZ,300,MATCH("Max "&amp;X$1,Unified_Matrix!$1:$1,0)),INDEX(Unified_Matrix!$A:$ZZ,3,MATCH("Max "&amp;X$1,Unified_Matrix!$1:$1,0)):INDEX(Unified_Matrix!$A:$ZZ,300,MATCH("Max "&amp;X$1,Unified_Matrix!$1:$1,0)),"&gt;0")</f>
        <v/>
      </c>
      <c r="Y2" s="19">
        <f>_xlfn.MAXIFS(INDEX(Unified_Matrix!$A:$ZZ,3,MATCH("Max "&amp;Y$1,Unified_Matrix!$1:$1,0)):INDEX(Unified_Matrix!$A:$ZZ,300,MATCH("Max "&amp;Y$1,Unified_Matrix!$1:$1,0)),INDEX(Unified_Matrix!$A:$ZZ,3,MATCH("Max "&amp;Y$1,Unified_Matrix!$1:$1,0)):INDEX(Unified_Matrix!$A:$ZZ,300,MATCH("Max "&amp;Y$1,Unified_Matrix!$1:$1,0)),"&gt;0")</f>
        <v/>
      </c>
      <c r="Z2" s="19">
        <f>_xlfn.MAXIFS(INDEX(Unified_Matrix!$A:$ZZ,3,MATCH("Max "&amp;Z$1,Unified_Matrix!$1:$1,0)):INDEX(Unified_Matrix!$A:$ZZ,300,MATCH("Max "&amp;Z$1,Unified_Matrix!$1:$1,0)),INDEX(Unified_Matrix!$A:$ZZ,3,MATCH("Max "&amp;Z$1,Unified_Matrix!$1:$1,0)):INDEX(Unified_Matrix!$A:$ZZ,300,MATCH("Max "&amp;Z$1,Unified_Matrix!$1:$1,0)),"&gt;0")</f>
        <v/>
      </c>
      <c r="AA2" s="19">
        <f>_xlfn.MAXIFS(INDEX(Unified_Matrix!$A:$ZZ,3,MATCH("Max "&amp;AA$1,Unified_Matrix!$1:$1,0)):INDEX(Unified_Matrix!$A:$ZZ,300,MATCH("Max "&amp;AA$1,Unified_Matrix!$1:$1,0)),INDEX(Unified_Matrix!$A:$ZZ,3,MATCH("Max "&amp;AA$1,Unified_Matrix!$1:$1,0)):INDEX(Unified_Matrix!$A:$ZZ,300,MATCH("Max "&amp;AA$1,Unified_Matrix!$1:$1,0)),"&gt;0")</f>
        <v/>
      </c>
      <c r="AB2" s="19">
        <f>_xlfn.MAXIFS(INDEX(Unified_Matrix!$A:$ZZ,3,MATCH("Max "&amp;AB$1,Unified_Matrix!$1:$1,0)):INDEX(Unified_Matrix!$A:$ZZ,300,MATCH("Max "&amp;AB$1,Unified_Matrix!$1:$1,0)),INDEX(Unified_Matrix!$A:$ZZ,3,MATCH("Max "&amp;AB$1,Unified_Matrix!$1:$1,0)):INDEX(Unified_Matrix!$A:$ZZ,300,MATCH("Max "&amp;AB$1,Unified_Matrix!$1:$1,0)),"&gt;0")</f>
        <v/>
      </c>
      <c r="AC2" s="19">
        <f>_xlfn.MAXIFS(INDEX(Unified_Matrix!$A:$ZZ,3,MATCH("Max "&amp;AC$1,Unified_Matrix!$1:$1,0)):INDEX(Unified_Matrix!$A:$ZZ,300,MATCH("Max "&amp;AC$1,Unified_Matrix!$1:$1,0)),INDEX(Unified_Matrix!$A:$ZZ,3,MATCH("Max "&amp;AC$1,Unified_Matrix!$1:$1,0)):INDEX(Unified_Matrix!$A:$ZZ,300,MATCH("Max "&amp;AC$1,Unified_Matrix!$1:$1,0)),"&gt;0")</f>
        <v/>
      </c>
      <c r="AD2" s="19">
        <f>_xlfn.MAXIFS(INDEX(Unified_Matrix!$A:$ZZ,3,MATCH("Max "&amp;AD$1,Unified_Matrix!$1:$1,0)):INDEX(Unified_Matrix!$A:$ZZ,300,MATCH("Max "&amp;AD$1,Unified_Matrix!$1:$1,0)),INDEX(Unified_Matrix!$A:$ZZ,3,MATCH("Max "&amp;AD$1,Unified_Matrix!$1:$1,0)):INDEX(Unified_Matrix!$A:$ZZ,300,MATCH("Max "&amp;AD$1,Unified_Matrix!$1:$1,0)),"&gt;0")</f>
        <v/>
      </c>
      <c r="AE2" s="19">
        <f>_xlfn.MAXIFS(INDEX(Unified_Matrix!$A:$ZZ,3,MATCH("Max "&amp;AE$1,Unified_Matrix!$1:$1,0)):INDEX(Unified_Matrix!$A:$ZZ,300,MATCH("Max "&amp;AE$1,Unified_Matrix!$1:$1,0)),INDEX(Unified_Matrix!$A:$ZZ,3,MATCH("Max "&amp;AE$1,Unified_Matrix!$1:$1,0)):INDEX(Unified_Matrix!$A:$ZZ,300,MATCH("Max "&amp;AE$1,Unified_Matrix!$1:$1,0)),"&gt;0")</f>
        <v/>
      </c>
      <c r="AF2" s="19">
        <f>_xlfn.MAXIFS(INDEX(Unified_Matrix!$A:$ZZ,3,MATCH("Max "&amp;AF$1,Unified_Matrix!$1:$1,0)):INDEX(Unified_Matrix!$A:$ZZ,300,MATCH("Max "&amp;AF$1,Unified_Matrix!$1:$1,0)),INDEX(Unified_Matrix!$A:$ZZ,3,MATCH("Max "&amp;AF$1,Unified_Matrix!$1:$1,0)):INDEX(Unified_Matrix!$A:$ZZ,300,MATCH("Max "&amp;AF$1,Unified_Matrix!$1:$1,0)),"&gt;0")</f>
        <v/>
      </c>
      <c r="AG2" s="19">
        <f>_xlfn.MAXIFS(INDEX(Unified_Matrix!$A:$ZZ,3,MATCH("Max "&amp;AG$1,Unified_Matrix!$1:$1,0)):INDEX(Unified_Matrix!$A:$ZZ,300,MATCH("Max "&amp;AG$1,Unified_Matrix!$1:$1,0)),INDEX(Unified_Matrix!$A:$ZZ,3,MATCH("Max "&amp;AG$1,Unified_Matrix!$1:$1,0)):INDEX(Unified_Matrix!$A:$ZZ,300,MATCH("Max "&amp;AG$1,Unified_Matrix!$1:$1,0)),"&gt;0")</f>
        <v/>
      </c>
      <c r="AH2" s="19">
        <f>_xlfn.MAXIFS(INDEX(Unified_Matrix!$A:$ZZ,3,MATCH("Max "&amp;AH$1,Unified_Matrix!$1:$1,0)):INDEX(Unified_Matrix!$A:$ZZ,300,MATCH("Max "&amp;AH$1,Unified_Matrix!$1:$1,0)),INDEX(Unified_Matrix!$A:$ZZ,3,MATCH("Max "&amp;AH$1,Unified_Matrix!$1:$1,0)):INDEX(Unified_Matrix!$A:$ZZ,300,MATCH("Max "&amp;AH$1,Unified_Matrix!$1:$1,0)),"&gt;0")</f>
        <v/>
      </c>
      <c r="AI2" s="19">
        <f>_xlfn.MAXIFS(INDEX(Unified_Matrix!$A:$ZZ,3,MATCH("Max "&amp;AI$1,Unified_Matrix!$1:$1,0)):INDEX(Unified_Matrix!$A:$ZZ,300,MATCH("Max "&amp;AI$1,Unified_Matrix!$1:$1,0)),INDEX(Unified_Matrix!$A:$ZZ,3,MATCH("Max "&amp;AI$1,Unified_Matrix!$1:$1,0)):INDEX(Unified_Matrix!$A:$ZZ,300,MATCH("Max "&amp;AI$1,Unified_Matrix!$1:$1,0)),"&gt;0")</f>
        <v/>
      </c>
      <c r="AJ2" s="19">
        <f>_xlfn.MAXIFS(INDEX(Unified_Matrix!$A:$ZZ,3,MATCH("Max "&amp;AJ$1,Unified_Matrix!$1:$1,0)):INDEX(Unified_Matrix!$A:$ZZ,300,MATCH("Max "&amp;AJ$1,Unified_Matrix!$1:$1,0)),INDEX(Unified_Matrix!$A:$ZZ,3,MATCH("Max "&amp;AJ$1,Unified_Matrix!$1:$1,0)):INDEX(Unified_Matrix!$A:$ZZ,300,MATCH("Max "&amp;AJ$1,Unified_Matrix!$1:$1,0)),"&gt;0")</f>
        <v/>
      </c>
      <c r="AK2" s="19">
        <f>_xlfn.MAXIFS(INDEX(Unified_Matrix!$A:$ZZ,3,MATCH("Max "&amp;AK$1,Unified_Matrix!$1:$1,0)):INDEX(Unified_Matrix!$A:$ZZ,300,MATCH("Max "&amp;AK$1,Unified_Matrix!$1:$1,0)),INDEX(Unified_Matrix!$A:$ZZ,3,MATCH("Max "&amp;AK$1,Unified_Matrix!$1:$1,0)):INDEX(Unified_Matrix!$A:$ZZ,300,MATCH("Max "&amp;AK$1,Unified_Matrix!$1:$1,0)),"&gt;0")</f>
        <v/>
      </c>
      <c r="AL2" s="19">
        <f>_xlfn.MAXIFS(INDEX(Unified_Matrix!$A:$ZZ,3,MATCH("Max "&amp;AL$1,Unified_Matrix!$1:$1,0)):INDEX(Unified_Matrix!$A:$ZZ,300,MATCH("Max "&amp;AL$1,Unified_Matrix!$1:$1,0)),INDEX(Unified_Matrix!$A:$ZZ,3,MATCH("Max "&amp;AL$1,Unified_Matrix!$1:$1,0)):INDEX(Unified_Matrix!$A:$ZZ,300,MATCH("Max "&amp;AL$1,Unified_Matrix!$1:$1,0)),"&gt;0")</f>
        <v/>
      </c>
      <c r="AM2" s="19">
        <f>_xlfn.MAXIFS(INDEX(Unified_Matrix!$A:$ZZ,3,MATCH("Max "&amp;AM$1,Unified_Matrix!$1:$1,0)):INDEX(Unified_Matrix!$A:$ZZ,300,MATCH("Max "&amp;AM$1,Unified_Matrix!$1:$1,0)),INDEX(Unified_Matrix!$A:$ZZ,3,MATCH("Max "&amp;AM$1,Unified_Matrix!$1:$1,0)):INDEX(Unified_Matrix!$A:$ZZ,300,MATCH("Max "&amp;AM$1,Unified_Matrix!$1:$1,0)),"&gt;0")</f>
        <v/>
      </c>
      <c r="AN2" s="19">
        <f>_xlfn.MAXIFS(INDEX(Unified_Matrix!$A:$ZZ,3,MATCH("Max "&amp;AN$1,Unified_Matrix!$1:$1,0)):INDEX(Unified_Matrix!$A:$ZZ,300,MATCH("Max "&amp;AN$1,Unified_Matrix!$1:$1,0)),INDEX(Unified_Matrix!$A:$ZZ,3,MATCH("Max "&amp;AN$1,Unified_Matrix!$1:$1,0)):INDEX(Unified_Matrix!$A:$ZZ,300,MATCH("Max "&amp;AN$1,Unified_Matrix!$1:$1,0)),"&gt;0")</f>
        <v/>
      </c>
      <c r="AO2" s="19">
        <f>_xlfn.MAXIFS(INDEX(Unified_Matrix!$A:$ZZ,3,MATCH("Max "&amp;AO$1,Unified_Matrix!$1:$1,0)):INDEX(Unified_Matrix!$A:$ZZ,300,MATCH("Max "&amp;AO$1,Unified_Matrix!$1:$1,0)),INDEX(Unified_Matrix!$A:$ZZ,3,MATCH("Max "&amp;AO$1,Unified_Matrix!$1:$1,0)):INDEX(Unified_Matrix!$A:$ZZ,300,MATCH("Max "&amp;AO$1,Unified_Matrix!$1:$1,0)),"&gt;0")</f>
        <v/>
      </c>
      <c r="AP2" s="19">
        <f>_xlfn.MAXIFS(INDEX(Unified_Matrix!$A:$ZZ,3,MATCH("Max "&amp;AP$1,Unified_Matrix!$1:$1,0)):INDEX(Unified_Matrix!$A:$ZZ,300,MATCH("Max "&amp;AP$1,Unified_Matrix!$1:$1,0)),INDEX(Unified_Matrix!$A:$ZZ,3,MATCH("Max "&amp;AP$1,Unified_Matrix!$1:$1,0)):INDEX(Unified_Matrix!$A:$ZZ,300,MATCH("Max "&amp;AP$1,Unified_Matrix!$1:$1,0)),"&gt;0")</f>
        <v/>
      </c>
      <c r="AQ2" s="19">
        <f>_xlfn.MAXIFS(INDEX(Unified_Matrix!$A:$ZZ,3,MATCH("Max "&amp;AQ$1,Unified_Matrix!$1:$1,0)):INDEX(Unified_Matrix!$A:$ZZ,300,MATCH("Max "&amp;AQ$1,Unified_Matrix!$1:$1,0)),INDEX(Unified_Matrix!$A:$ZZ,3,MATCH("Max "&amp;AQ$1,Unified_Matrix!$1:$1,0)):INDEX(Unified_Matrix!$A:$ZZ,300,MATCH("Max "&amp;AQ$1,Unified_Matrix!$1:$1,0)),"&gt;0")</f>
        <v/>
      </c>
      <c r="AR2" s="19">
        <f>_xlfn.MAXIFS(INDEX(Unified_Matrix!$A:$ZZ,3,MATCH("Max "&amp;AR$1,Unified_Matrix!$1:$1,0)):INDEX(Unified_Matrix!$A:$ZZ,300,MATCH("Max "&amp;AR$1,Unified_Matrix!$1:$1,0)),INDEX(Unified_Matrix!$A:$ZZ,3,MATCH("Max "&amp;AR$1,Unified_Matrix!$1:$1,0)):INDEX(Unified_Matrix!$A:$ZZ,300,MATCH("Max "&amp;AR$1,Unified_Matrix!$1:$1,0)),"&gt;0")</f>
        <v/>
      </c>
      <c r="AS2" s="19">
        <f>_xlfn.MAXIFS(INDEX(Unified_Matrix!$A:$ZZ,3,MATCH("Max "&amp;AS$1,Unified_Matrix!$1:$1,0)):INDEX(Unified_Matrix!$A:$ZZ,300,MATCH("Max "&amp;AS$1,Unified_Matrix!$1:$1,0)),INDEX(Unified_Matrix!$A:$ZZ,3,MATCH("Max "&amp;AS$1,Unified_Matrix!$1:$1,0)):INDEX(Unified_Matrix!$A:$ZZ,300,MATCH("Max "&amp;AS$1,Unified_Matrix!$1:$1,0)),"&gt;0")</f>
        <v/>
      </c>
      <c r="AT2" s="19">
        <f>_xlfn.MAXIFS(INDEX(Unified_Matrix!$A:$ZZ,3,MATCH("Max "&amp;AT$1,Unified_Matrix!$1:$1,0)):INDEX(Unified_Matrix!$A:$ZZ,300,MATCH("Max "&amp;AT$1,Unified_Matrix!$1:$1,0)),INDEX(Unified_Matrix!$A:$ZZ,3,MATCH("Max "&amp;AT$1,Unified_Matrix!$1:$1,0)):INDEX(Unified_Matrix!$A:$ZZ,300,MATCH("Max "&amp;AT$1,Unified_Matrix!$1:$1,0)),"&gt;0")</f>
        <v/>
      </c>
    </row>
    <row r="3" ht="78" customHeight="1">
      <c r="H3" s="38" t="n"/>
      <c r="I3" s="18" t="inlineStr">
        <is>
          <t>진화명</t>
        </is>
      </c>
      <c r="J3" s="20">
        <f t="array" ref="J3">IF(J2=0,"",_xlfn.TEXTJOIN(CHAR(10),TRUE,IF((INDEX(Unified_Matrix!$A:$ZZ,3,MATCH("Max "&amp;J$1,Unified_Matrix!$1:$1,0)):INDEX(Unified_Matrix!$A:$ZZ,300,MATCH("Max "&amp;J$1,Unified_Matrix!$1:$1,0))=J2)*(INDEX(Unified_Matrix!$A:$ZZ,3,MATCH("Max "&amp;J$1,Unified_Matrix!$1:$1,0)):INDEX(Unified_Matrix!$A:$ZZ,300,MATCH("Max "&amp;J$1,Unified_Matrix!$1:$1,0))&gt;0),INDEX(Unified_Matrix!$A:$ZZ,3,MATCH("Evolution_Name",Unified_Matrix!$1:$1,0)):INDEX(Unified_Matrix!$A:$ZZ,300,MATCH("Evolution_Name",Unified_Matrix!$1:$1,0)),"")))</f>
        <v/>
      </c>
      <c r="K3" s="20">
        <f t="array" ref="K3">IF(K2=0,"",_xlfn.TEXTJOIN(CHAR(10),TRUE,IF((INDEX(Unified_Matrix!$A:$ZZ,3,MATCH("Max "&amp;K$1,Unified_Matrix!$1:$1,0)):INDEX(Unified_Matrix!$A:$ZZ,300,MATCH("Max "&amp;K$1,Unified_Matrix!$1:$1,0))=K2)*(INDEX(Unified_Matrix!$A:$ZZ,3,MATCH("Max "&amp;K$1,Unified_Matrix!$1:$1,0)):INDEX(Unified_Matrix!$A:$ZZ,300,MATCH("Max "&amp;K$1,Unified_Matrix!$1:$1,0))&gt;0),INDEX(Unified_Matrix!$A:$ZZ,3,MATCH("Evolution_Name",Unified_Matrix!$1:$1,0)):INDEX(Unified_Matrix!$A:$ZZ,300,MATCH("Evolution_Name",Unified_Matrix!$1:$1,0)),"")))</f>
        <v/>
      </c>
      <c r="L3" s="20">
        <f t="array" ref="L3">IF(L2=0,"",_xlfn.TEXTJOIN(CHAR(10),TRUE,IF((INDEX(Unified_Matrix!$A:$ZZ,3,MATCH("Max "&amp;L$1,Unified_Matrix!$1:$1,0)):INDEX(Unified_Matrix!$A:$ZZ,300,MATCH("Max "&amp;L$1,Unified_Matrix!$1:$1,0))=L2)*(INDEX(Unified_Matrix!$A:$ZZ,3,MATCH("Max "&amp;L$1,Unified_Matrix!$1:$1,0)):INDEX(Unified_Matrix!$A:$ZZ,300,MATCH("Max "&amp;L$1,Unified_Matrix!$1:$1,0))&gt;0),INDEX(Unified_Matrix!$A:$ZZ,3,MATCH("Evolution_Name",Unified_Matrix!$1:$1,0)):INDEX(Unified_Matrix!$A:$ZZ,300,MATCH("Evolution_Name",Unified_Matrix!$1:$1,0)),"")))</f>
        <v/>
      </c>
      <c r="M3" s="20">
        <f t="array" ref="M3">IF(M2=0,"",_xlfn.TEXTJOIN(CHAR(10),TRUE,IF((INDEX(Unified_Matrix!$A:$ZZ,3,MATCH("Max "&amp;M$1,Unified_Matrix!$1:$1,0)):INDEX(Unified_Matrix!$A:$ZZ,300,MATCH("Max "&amp;M$1,Unified_Matrix!$1:$1,0))=M2)*(INDEX(Unified_Matrix!$A:$ZZ,3,MATCH("Max "&amp;M$1,Unified_Matrix!$1:$1,0)):INDEX(Unified_Matrix!$A:$ZZ,300,MATCH("Max "&amp;M$1,Unified_Matrix!$1:$1,0))&gt;0),INDEX(Unified_Matrix!$A:$ZZ,3,MATCH("Evolution_Name",Unified_Matrix!$1:$1,0)):INDEX(Unified_Matrix!$A:$ZZ,300,MATCH("Evolution_Name",Unified_Matrix!$1:$1,0)),"")))</f>
        <v/>
      </c>
      <c r="N3" s="20">
        <f t="array" ref="N3">IF(N2=0,"",_xlfn.TEXTJOIN(CHAR(10),TRUE,IF((INDEX(Unified_Matrix!$A:$ZZ,3,MATCH("Max "&amp;N$1,Unified_Matrix!$1:$1,0)):INDEX(Unified_Matrix!$A:$ZZ,300,MATCH("Max "&amp;N$1,Unified_Matrix!$1:$1,0))=N2)*(INDEX(Unified_Matrix!$A:$ZZ,3,MATCH("Max "&amp;N$1,Unified_Matrix!$1:$1,0)):INDEX(Unified_Matrix!$A:$ZZ,300,MATCH("Max "&amp;N$1,Unified_Matrix!$1:$1,0))&gt;0),INDEX(Unified_Matrix!$A:$ZZ,3,MATCH("Evolution_Name",Unified_Matrix!$1:$1,0)):INDEX(Unified_Matrix!$A:$ZZ,300,MATCH("Evolution_Name",Unified_Matrix!$1:$1,0)),"")))</f>
        <v/>
      </c>
      <c r="O3" s="20">
        <f t="array" ref="O3">IF(O2=0,"",_xlfn.TEXTJOIN(CHAR(10),TRUE,IF((INDEX(Unified_Matrix!$A:$ZZ,3,MATCH("Max "&amp;O$1,Unified_Matrix!$1:$1,0)):INDEX(Unified_Matrix!$A:$ZZ,300,MATCH("Max "&amp;O$1,Unified_Matrix!$1:$1,0))=O2)*(INDEX(Unified_Matrix!$A:$ZZ,3,MATCH("Max "&amp;O$1,Unified_Matrix!$1:$1,0)):INDEX(Unified_Matrix!$A:$ZZ,300,MATCH("Max "&amp;O$1,Unified_Matrix!$1:$1,0))&gt;0),INDEX(Unified_Matrix!$A:$ZZ,3,MATCH("Evolution_Name",Unified_Matrix!$1:$1,0)):INDEX(Unified_Matrix!$A:$ZZ,300,MATCH("Evolution_Name",Unified_Matrix!$1:$1,0)),"")))</f>
        <v/>
      </c>
      <c r="P3" s="20">
        <f t="array" ref="P3">IF(P2=0,"",_xlfn.TEXTJOIN(CHAR(10),TRUE,IF((INDEX(Unified_Matrix!$A:$ZZ,3,MATCH("Max "&amp;P$1,Unified_Matrix!$1:$1,0)):INDEX(Unified_Matrix!$A:$ZZ,300,MATCH("Max "&amp;P$1,Unified_Matrix!$1:$1,0))=P2)*(INDEX(Unified_Matrix!$A:$ZZ,3,MATCH("Max "&amp;P$1,Unified_Matrix!$1:$1,0)):INDEX(Unified_Matrix!$A:$ZZ,300,MATCH("Max "&amp;P$1,Unified_Matrix!$1:$1,0))&gt;0),INDEX(Unified_Matrix!$A:$ZZ,3,MATCH("Evolution_Name",Unified_Matrix!$1:$1,0)):INDEX(Unified_Matrix!$A:$ZZ,300,MATCH("Evolution_Name",Unified_Matrix!$1:$1,0)),"")))</f>
        <v/>
      </c>
      <c r="Q3" s="20">
        <f t="array" ref="Q3">IF(Q2=0,"",_xlfn.TEXTJOIN(CHAR(10),TRUE,IF((INDEX(Unified_Matrix!$A:$ZZ,3,MATCH("Max "&amp;Q$1,Unified_Matrix!$1:$1,0)):INDEX(Unified_Matrix!$A:$ZZ,300,MATCH("Max "&amp;Q$1,Unified_Matrix!$1:$1,0))=Q2)*(INDEX(Unified_Matrix!$A:$ZZ,3,MATCH("Max "&amp;Q$1,Unified_Matrix!$1:$1,0)):INDEX(Unified_Matrix!$A:$ZZ,300,MATCH("Max "&amp;Q$1,Unified_Matrix!$1:$1,0))&gt;0),INDEX(Unified_Matrix!$A:$ZZ,3,MATCH("Evolution_Name",Unified_Matrix!$1:$1,0)):INDEX(Unified_Matrix!$A:$ZZ,300,MATCH("Evolution_Name",Unified_Matrix!$1:$1,0)),"")))</f>
        <v/>
      </c>
      <c r="R3" s="20">
        <f t="array" ref="R3">IF(R2=0,"",_xlfn.TEXTJOIN(CHAR(10),TRUE,IF((INDEX(Unified_Matrix!$A:$ZZ,3,MATCH("Max "&amp;R$1,Unified_Matrix!$1:$1,0)):INDEX(Unified_Matrix!$A:$ZZ,300,MATCH("Max "&amp;R$1,Unified_Matrix!$1:$1,0))=R2)*(INDEX(Unified_Matrix!$A:$ZZ,3,MATCH("Max "&amp;R$1,Unified_Matrix!$1:$1,0)):INDEX(Unified_Matrix!$A:$ZZ,300,MATCH("Max "&amp;R$1,Unified_Matrix!$1:$1,0))&gt;0),INDEX(Unified_Matrix!$A:$ZZ,3,MATCH("Evolution_Name",Unified_Matrix!$1:$1,0)):INDEX(Unified_Matrix!$A:$ZZ,300,MATCH("Evolution_Name",Unified_Matrix!$1:$1,0)),"")))</f>
        <v/>
      </c>
      <c r="S3" s="20">
        <f t="array" ref="S3">IF(S2=0,"",_xlfn.TEXTJOIN(CHAR(10),TRUE,IF((INDEX(Unified_Matrix!$A:$ZZ,3,MATCH("Max "&amp;S$1,Unified_Matrix!$1:$1,0)):INDEX(Unified_Matrix!$A:$ZZ,300,MATCH("Max "&amp;S$1,Unified_Matrix!$1:$1,0))=S2)*(INDEX(Unified_Matrix!$A:$ZZ,3,MATCH("Max "&amp;S$1,Unified_Matrix!$1:$1,0)):INDEX(Unified_Matrix!$A:$ZZ,300,MATCH("Max "&amp;S$1,Unified_Matrix!$1:$1,0))&gt;0),INDEX(Unified_Matrix!$A:$ZZ,3,MATCH("Evolution_Name",Unified_Matrix!$1:$1,0)):INDEX(Unified_Matrix!$A:$ZZ,300,MATCH("Evolution_Name",Unified_Matrix!$1:$1,0)),"")))</f>
        <v/>
      </c>
      <c r="T3" s="20">
        <f t="array" ref="T3">IF(T2=0,"",_xlfn.TEXTJOIN(CHAR(10),TRUE,IF((INDEX(Unified_Matrix!$A:$ZZ,3,MATCH("Max "&amp;T$1,Unified_Matrix!$1:$1,0)):INDEX(Unified_Matrix!$A:$ZZ,300,MATCH("Max "&amp;T$1,Unified_Matrix!$1:$1,0))=T2)*(INDEX(Unified_Matrix!$A:$ZZ,3,MATCH("Max "&amp;T$1,Unified_Matrix!$1:$1,0)):INDEX(Unified_Matrix!$A:$ZZ,300,MATCH("Max "&amp;T$1,Unified_Matrix!$1:$1,0))&gt;0),INDEX(Unified_Matrix!$A:$ZZ,3,MATCH("Evolution_Name",Unified_Matrix!$1:$1,0)):INDEX(Unified_Matrix!$A:$ZZ,300,MATCH("Evolution_Name",Unified_Matrix!$1:$1,0)),"")))</f>
        <v/>
      </c>
      <c r="U3" s="20">
        <f t="array" ref="U3">IF(U2=0,"",_xlfn.TEXTJOIN(CHAR(10),TRUE,IF((INDEX(Unified_Matrix!$A:$ZZ,3,MATCH("Max "&amp;U$1,Unified_Matrix!$1:$1,0)):INDEX(Unified_Matrix!$A:$ZZ,300,MATCH("Max "&amp;U$1,Unified_Matrix!$1:$1,0))=U2)*(INDEX(Unified_Matrix!$A:$ZZ,3,MATCH("Max "&amp;U$1,Unified_Matrix!$1:$1,0)):INDEX(Unified_Matrix!$A:$ZZ,300,MATCH("Max "&amp;U$1,Unified_Matrix!$1:$1,0))&gt;0),INDEX(Unified_Matrix!$A:$ZZ,3,MATCH("Evolution_Name",Unified_Matrix!$1:$1,0)):INDEX(Unified_Matrix!$A:$ZZ,300,MATCH("Evolution_Name",Unified_Matrix!$1:$1,0)),"")))</f>
        <v/>
      </c>
      <c r="V3" s="20">
        <f t="array" ref="V3">IF(V2=0,"",_xlfn.TEXTJOIN(CHAR(10),TRUE,IF((INDEX(Unified_Matrix!$A:$ZZ,3,MATCH("Max "&amp;V$1,Unified_Matrix!$1:$1,0)):INDEX(Unified_Matrix!$A:$ZZ,300,MATCH("Max "&amp;V$1,Unified_Matrix!$1:$1,0))=V2)*(INDEX(Unified_Matrix!$A:$ZZ,3,MATCH("Max "&amp;V$1,Unified_Matrix!$1:$1,0)):INDEX(Unified_Matrix!$A:$ZZ,300,MATCH("Max "&amp;V$1,Unified_Matrix!$1:$1,0))&gt;0),INDEX(Unified_Matrix!$A:$ZZ,3,MATCH("Evolution_Name",Unified_Matrix!$1:$1,0)):INDEX(Unified_Matrix!$A:$ZZ,300,MATCH("Evolution_Name",Unified_Matrix!$1:$1,0)),"")))</f>
        <v/>
      </c>
      <c r="W3" s="20">
        <f t="array" ref="W3">IF(W2=0,"",_xlfn.TEXTJOIN(CHAR(10),TRUE,IF((INDEX(Unified_Matrix!$A:$ZZ,3,MATCH("Max "&amp;W$1,Unified_Matrix!$1:$1,0)):INDEX(Unified_Matrix!$A:$ZZ,300,MATCH("Max "&amp;W$1,Unified_Matrix!$1:$1,0))=W2)*(INDEX(Unified_Matrix!$A:$ZZ,3,MATCH("Max "&amp;W$1,Unified_Matrix!$1:$1,0)):INDEX(Unified_Matrix!$A:$ZZ,300,MATCH("Max "&amp;W$1,Unified_Matrix!$1:$1,0))&gt;0),INDEX(Unified_Matrix!$A:$ZZ,3,MATCH("Evolution_Name",Unified_Matrix!$1:$1,0)):INDEX(Unified_Matrix!$A:$ZZ,300,MATCH("Evolution_Name",Unified_Matrix!$1:$1,0)),"")))</f>
        <v/>
      </c>
      <c r="X3" s="20">
        <f t="array" ref="X3">IF(X2=0,"",_xlfn.TEXTJOIN(CHAR(10),TRUE,IF((INDEX(Unified_Matrix!$A:$ZZ,3,MATCH("Max "&amp;X$1,Unified_Matrix!$1:$1,0)):INDEX(Unified_Matrix!$A:$ZZ,300,MATCH("Max "&amp;X$1,Unified_Matrix!$1:$1,0))=X2)*(INDEX(Unified_Matrix!$A:$ZZ,3,MATCH("Max "&amp;X$1,Unified_Matrix!$1:$1,0)):INDEX(Unified_Matrix!$A:$ZZ,300,MATCH("Max "&amp;X$1,Unified_Matrix!$1:$1,0))&gt;0),INDEX(Unified_Matrix!$A:$ZZ,3,MATCH("Evolution_Name",Unified_Matrix!$1:$1,0)):INDEX(Unified_Matrix!$A:$ZZ,300,MATCH("Evolution_Name",Unified_Matrix!$1:$1,0)),"")))</f>
        <v/>
      </c>
      <c r="Y3" s="20">
        <f t="array" ref="Y3">IF(Y2=0,"",_xlfn.TEXTJOIN(CHAR(10),TRUE,IF((INDEX(Unified_Matrix!$A:$ZZ,3,MATCH("Max "&amp;Y$1,Unified_Matrix!$1:$1,0)):INDEX(Unified_Matrix!$A:$ZZ,300,MATCH("Max "&amp;Y$1,Unified_Matrix!$1:$1,0))=Y2)*(INDEX(Unified_Matrix!$A:$ZZ,3,MATCH("Max "&amp;Y$1,Unified_Matrix!$1:$1,0)):INDEX(Unified_Matrix!$A:$ZZ,300,MATCH("Max "&amp;Y$1,Unified_Matrix!$1:$1,0))&gt;0),INDEX(Unified_Matrix!$A:$ZZ,3,MATCH("Evolution_Name",Unified_Matrix!$1:$1,0)):INDEX(Unified_Matrix!$A:$ZZ,300,MATCH("Evolution_Name",Unified_Matrix!$1:$1,0)),"")))</f>
        <v/>
      </c>
      <c r="Z3" s="20">
        <f t="array" ref="Z3">IF(Z2=0,"",_xlfn.TEXTJOIN(CHAR(10),TRUE,IF((INDEX(Unified_Matrix!$A:$ZZ,3,MATCH("Max "&amp;Z$1,Unified_Matrix!$1:$1,0)):INDEX(Unified_Matrix!$A:$ZZ,300,MATCH("Max "&amp;Z$1,Unified_Matrix!$1:$1,0))=Z2)*(INDEX(Unified_Matrix!$A:$ZZ,3,MATCH("Max "&amp;Z$1,Unified_Matrix!$1:$1,0)):INDEX(Unified_Matrix!$A:$ZZ,300,MATCH("Max "&amp;Z$1,Unified_Matrix!$1:$1,0))&gt;0),INDEX(Unified_Matrix!$A:$ZZ,3,MATCH("Evolution_Name",Unified_Matrix!$1:$1,0)):INDEX(Unified_Matrix!$A:$ZZ,300,MATCH("Evolution_Name",Unified_Matrix!$1:$1,0)),"")))</f>
        <v/>
      </c>
      <c r="AA3" s="20">
        <f t="array" ref="AA3">IF(AA2=0,"",_xlfn.TEXTJOIN(CHAR(10),TRUE,IF((INDEX(Unified_Matrix!$A:$ZZ,3,MATCH("Max "&amp;AA$1,Unified_Matrix!$1:$1,0)):INDEX(Unified_Matrix!$A:$ZZ,300,MATCH("Max "&amp;AA$1,Unified_Matrix!$1:$1,0))=AA2)*(INDEX(Unified_Matrix!$A:$ZZ,3,MATCH("Max "&amp;AA$1,Unified_Matrix!$1:$1,0)):INDEX(Unified_Matrix!$A:$ZZ,300,MATCH("Max "&amp;AA$1,Unified_Matrix!$1:$1,0))&gt;0),INDEX(Unified_Matrix!$A:$ZZ,3,MATCH("Evolution_Name",Unified_Matrix!$1:$1,0)):INDEX(Unified_Matrix!$A:$ZZ,300,MATCH("Evolution_Name",Unified_Matrix!$1:$1,0)),"")))</f>
        <v/>
      </c>
      <c r="AB3" s="20">
        <f t="array" ref="AB3">IF(AB2=0,"",_xlfn.TEXTJOIN(CHAR(10),TRUE,IF((INDEX(Unified_Matrix!$A:$ZZ,3,MATCH("Max "&amp;AB$1,Unified_Matrix!$1:$1,0)):INDEX(Unified_Matrix!$A:$ZZ,300,MATCH("Max "&amp;AB$1,Unified_Matrix!$1:$1,0))=AB2)*(INDEX(Unified_Matrix!$A:$ZZ,3,MATCH("Max "&amp;AB$1,Unified_Matrix!$1:$1,0)):INDEX(Unified_Matrix!$A:$ZZ,300,MATCH("Max "&amp;AB$1,Unified_Matrix!$1:$1,0))&gt;0),INDEX(Unified_Matrix!$A:$ZZ,3,MATCH("Evolution_Name",Unified_Matrix!$1:$1,0)):INDEX(Unified_Matrix!$A:$ZZ,300,MATCH("Evolution_Name",Unified_Matrix!$1:$1,0)),"")))</f>
        <v/>
      </c>
      <c r="AC3" s="20">
        <f t="array" ref="AC3">IF(AC2=0,"",_xlfn.TEXTJOIN(CHAR(10),TRUE,IF((INDEX(Unified_Matrix!$A:$ZZ,3,MATCH("Max "&amp;AC$1,Unified_Matrix!$1:$1,0)):INDEX(Unified_Matrix!$A:$ZZ,300,MATCH("Max "&amp;AC$1,Unified_Matrix!$1:$1,0))=AC2)*(INDEX(Unified_Matrix!$A:$ZZ,3,MATCH("Max "&amp;AC$1,Unified_Matrix!$1:$1,0)):INDEX(Unified_Matrix!$A:$ZZ,300,MATCH("Max "&amp;AC$1,Unified_Matrix!$1:$1,0))&gt;0),INDEX(Unified_Matrix!$A:$ZZ,3,MATCH("Evolution_Name",Unified_Matrix!$1:$1,0)):INDEX(Unified_Matrix!$A:$ZZ,300,MATCH("Evolution_Name",Unified_Matrix!$1:$1,0)),"")))</f>
        <v/>
      </c>
      <c r="AD3" s="20">
        <f t="array" ref="AD3">IF(AD2=0,"",_xlfn.TEXTJOIN(CHAR(10),TRUE,IF((INDEX(Unified_Matrix!$A:$ZZ,3,MATCH("Max "&amp;AD$1,Unified_Matrix!$1:$1,0)):INDEX(Unified_Matrix!$A:$ZZ,300,MATCH("Max "&amp;AD$1,Unified_Matrix!$1:$1,0))=AD2)*(INDEX(Unified_Matrix!$A:$ZZ,3,MATCH("Max "&amp;AD$1,Unified_Matrix!$1:$1,0)):INDEX(Unified_Matrix!$A:$ZZ,300,MATCH("Max "&amp;AD$1,Unified_Matrix!$1:$1,0))&gt;0),INDEX(Unified_Matrix!$A:$ZZ,3,MATCH("Evolution_Name",Unified_Matrix!$1:$1,0)):INDEX(Unified_Matrix!$A:$ZZ,300,MATCH("Evolution_Name",Unified_Matrix!$1:$1,0)),"")))</f>
        <v/>
      </c>
      <c r="AE3" s="20">
        <f t="array" ref="AE3">IF(AE2=0,"",_xlfn.TEXTJOIN(CHAR(10),TRUE,IF((INDEX(Unified_Matrix!$A:$ZZ,3,MATCH("Max "&amp;AE$1,Unified_Matrix!$1:$1,0)):INDEX(Unified_Matrix!$A:$ZZ,300,MATCH("Max "&amp;AE$1,Unified_Matrix!$1:$1,0))=AE2)*(INDEX(Unified_Matrix!$A:$ZZ,3,MATCH("Max "&amp;AE$1,Unified_Matrix!$1:$1,0)):INDEX(Unified_Matrix!$A:$ZZ,300,MATCH("Max "&amp;AE$1,Unified_Matrix!$1:$1,0))&gt;0),INDEX(Unified_Matrix!$A:$ZZ,3,MATCH("Evolution_Name",Unified_Matrix!$1:$1,0)):INDEX(Unified_Matrix!$A:$ZZ,300,MATCH("Evolution_Name",Unified_Matrix!$1:$1,0)),"")))</f>
        <v/>
      </c>
      <c r="AF3" s="20">
        <f t="array" ref="AF3">IF(AF2=0,"",_xlfn.TEXTJOIN(CHAR(10),TRUE,IF((INDEX(Unified_Matrix!$A:$ZZ,3,MATCH("Max "&amp;AF$1,Unified_Matrix!$1:$1,0)):INDEX(Unified_Matrix!$A:$ZZ,300,MATCH("Max "&amp;AF$1,Unified_Matrix!$1:$1,0))=AF2)*(INDEX(Unified_Matrix!$A:$ZZ,3,MATCH("Max "&amp;AF$1,Unified_Matrix!$1:$1,0)):INDEX(Unified_Matrix!$A:$ZZ,300,MATCH("Max "&amp;AF$1,Unified_Matrix!$1:$1,0))&gt;0),INDEX(Unified_Matrix!$A:$ZZ,3,MATCH("Evolution_Name",Unified_Matrix!$1:$1,0)):INDEX(Unified_Matrix!$A:$ZZ,300,MATCH("Evolution_Name",Unified_Matrix!$1:$1,0)),"")))</f>
        <v/>
      </c>
      <c r="AG3" s="20">
        <f t="array" ref="AG3">IF(AG2=0,"",_xlfn.TEXTJOIN(CHAR(10),TRUE,IF((INDEX(Unified_Matrix!$A:$ZZ,3,MATCH("Max "&amp;AG$1,Unified_Matrix!$1:$1,0)):INDEX(Unified_Matrix!$A:$ZZ,300,MATCH("Max "&amp;AG$1,Unified_Matrix!$1:$1,0))=AG2)*(INDEX(Unified_Matrix!$A:$ZZ,3,MATCH("Max "&amp;AG$1,Unified_Matrix!$1:$1,0)):INDEX(Unified_Matrix!$A:$ZZ,300,MATCH("Max "&amp;AG$1,Unified_Matrix!$1:$1,0))&gt;0),INDEX(Unified_Matrix!$A:$ZZ,3,MATCH("Evolution_Name",Unified_Matrix!$1:$1,0)):INDEX(Unified_Matrix!$A:$ZZ,300,MATCH("Evolution_Name",Unified_Matrix!$1:$1,0)),"")))</f>
        <v/>
      </c>
      <c r="AH3" s="20">
        <f t="array" ref="AH3">IF(AH2=0,"",_xlfn.TEXTJOIN(CHAR(10),TRUE,IF((INDEX(Unified_Matrix!$A:$ZZ,3,MATCH("Max "&amp;AH$1,Unified_Matrix!$1:$1,0)):INDEX(Unified_Matrix!$A:$ZZ,300,MATCH("Max "&amp;AH$1,Unified_Matrix!$1:$1,0))=AH2)*(INDEX(Unified_Matrix!$A:$ZZ,3,MATCH("Max "&amp;AH$1,Unified_Matrix!$1:$1,0)):INDEX(Unified_Matrix!$A:$ZZ,300,MATCH("Max "&amp;AH$1,Unified_Matrix!$1:$1,0))&gt;0),INDEX(Unified_Matrix!$A:$ZZ,3,MATCH("Evolution_Name",Unified_Matrix!$1:$1,0)):INDEX(Unified_Matrix!$A:$ZZ,300,MATCH("Evolution_Name",Unified_Matrix!$1:$1,0)),"")))</f>
        <v/>
      </c>
      <c r="AI3" s="20">
        <f t="array" ref="AI3">IF(AI2=0,"",_xlfn.TEXTJOIN(CHAR(10),TRUE,IF((INDEX(Unified_Matrix!$A:$ZZ,3,MATCH("Max "&amp;AI$1,Unified_Matrix!$1:$1,0)):INDEX(Unified_Matrix!$A:$ZZ,300,MATCH("Max "&amp;AI$1,Unified_Matrix!$1:$1,0))=AI2)*(INDEX(Unified_Matrix!$A:$ZZ,3,MATCH("Max "&amp;AI$1,Unified_Matrix!$1:$1,0)):INDEX(Unified_Matrix!$A:$ZZ,300,MATCH("Max "&amp;AI$1,Unified_Matrix!$1:$1,0))&gt;0),INDEX(Unified_Matrix!$A:$ZZ,3,MATCH("Evolution_Name",Unified_Matrix!$1:$1,0)):INDEX(Unified_Matrix!$A:$ZZ,300,MATCH("Evolution_Name",Unified_Matrix!$1:$1,0)),"")))</f>
        <v/>
      </c>
      <c r="AJ3" s="20">
        <f t="array" ref="AJ3">IF(AJ2=0,"",_xlfn.TEXTJOIN(CHAR(10),TRUE,IF((INDEX(Unified_Matrix!$A:$ZZ,3,MATCH("Max "&amp;AJ$1,Unified_Matrix!$1:$1,0)):INDEX(Unified_Matrix!$A:$ZZ,300,MATCH("Max "&amp;AJ$1,Unified_Matrix!$1:$1,0))=AJ2)*(INDEX(Unified_Matrix!$A:$ZZ,3,MATCH("Max "&amp;AJ$1,Unified_Matrix!$1:$1,0)):INDEX(Unified_Matrix!$A:$ZZ,300,MATCH("Max "&amp;AJ$1,Unified_Matrix!$1:$1,0))&gt;0),INDEX(Unified_Matrix!$A:$ZZ,3,MATCH("Evolution_Name",Unified_Matrix!$1:$1,0)):INDEX(Unified_Matrix!$A:$ZZ,300,MATCH("Evolution_Name",Unified_Matrix!$1:$1,0)),"")))</f>
        <v/>
      </c>
      <c r="AK3" s="20">
        <f t="array" ref="AK3">IF(AK2=0,"",_xlfn.TEXTJOIN(CHAR(10),TRUE,IF((INDEX(Unified_Matrix!$A:$ZZ,3,MATCH("Max "&amp;AK$1,Unified_Matrix!$1:$1,0)):INDEX(Unified_Matrix!$A:$ZZ,300,MATCH("Max "&amp;AK$1,Unified_Matrix!$1:$1,0))=AK2)*(INDEX(Unified_Matrix!$A:$ZZ,3,MATCH("Max "&amp;AK$1,Unified_Matrix!$1:$1,0)):INDEX(Unified_Matrix!$A:$ZZ,300,MATCH("Max "&amp;AK$1,Unified_Matrix!$1:$1,0))&gt;0),INDEX(Unified_Matrix!$A:$ZZ,3,MATCH("Evolution_Name",Unified_Matrix!$1:$1,0)):INDEX(Unified_Matrix!$A:$ZZ,300,MATCH("Evolution_Name",Unified_Matrix!$1:$1,0)),"")))</f>
        <v/>
      </c>
      <c r="AL3" s="20">
        <f t="array" ref="AL3">IF(AL2=0,"",_xlfn.TEXTJOIN(CHAR(10),TRUE,IF((INDEX(Unified_Matrix!$A:$ZZ,3,MATCH("Max "&amp;AL$1,Unified_Matrix!$1:$1,0)):INDEX(Unified_Matrix!$A:$ZZ,300,MATCH("Max "&amp;AL$1,Unified_Matrix!$1:$1,0))=AL2)*(INDEX(Unified_Matrix!$A:$ZZ,3,MATCH("Max "&amp;AL$1,Unified_Matrix!$1:$1,0)):INDEX(Unified_Matrix!$A:$ZZ,300,MATCH("Max "&amp;AL$1,Unified_Matrix!$1:$1,0))&gt;0),INDEX(Unified_Matrix!$A:$ZZ,3,MATCH("Evolution_Name",Unified_Matrix!$1:$1,0)):INDEX(Unified_Matrix!$A:$ZZ,300,MATCH("Evolution_Name",Unified_Matrix!$1:$1,0)),"")))</f>
        <v/>
      </c>
      <c r="AM3" s="20">
        <f t="array" ref="AM3">IF(AM2=0,"",_xlfn.TEXTJOIN(CHAR(10),TRUE,IF((INDEX(Unified_Matrix!$A:$ZZ,3,MATCH("Max "&amp;AM$1,Unified_Matrix!$1:$1,0)):INDEX(Unified_Matrix!$A:$ZZ,300,MATCH("Max "&amp;AM$1,Unified_Matrix!$1:$1,0))=AM2)*(INDEX(Unified_Matrix!$A:$ZZ,3,MATCH("Max "&amp;AM$1,Unified_Matrix!$1:$1,0)):INDEX(Unified_Matrix!$A:$ZZ,300,MATCH("Max "&amp;AM$1,Unified_Matrix!$1:$1,0))&gt;0),INDEX(Unified_Matrix!$A:$ZZ,3,MATCH("Evolution_Name",Unified_Matrix!$1:$1,0)):INDEX(Unified_Matrix!$A:$ZZ,300,MATCH("Evolution_Name",Unified_Matrix!$1:$1,0)),"")))</f>
        <v/>
      </c>
      <c r="AN3" s="20">
        <f t="array" ref="AN3">IF(AN2=0,"",_xlfn.TEXTJOIN(CHAR(10),TRUE,IF((INDEX(Unified_Matrix!$A:$ZZ,3,MATCH("Max "&amp;AN$1,Unified_Matrix!$1:$1,0)):INDEX(Unified_Matrix!$A:$ZZ,300,MATCH("Max "&amp;AN$1,Unified_Matrix!$1:$1,0))=AN2)*(INDEX(Unified_Matrix!$A:$ZZ,3,MATCH("Max "&amp;AN$1,Unified_Matrix!$1:$1,0)):INDEX(Unified_Matrix!$A:$ZZ,300,MATCH("Max "&amp;AN$1,Unified_Matrix!$1:$1,0))&gt;0),INDEX(Unified_Matrix!$A:$ZZ,3,MATCH("Evolution_Name",Unified_Matrix!$1:$1,0)):INDEX(Unified_Matrix!$A:$ZZ,300,MATCH("Evolution_Name",Unified_Matrix!$1:$1,0)),"")))</f>
        <v/>
      </c>
      <c r="AO3" s="20">
        <f t="array" ref="AO3">IF(AO2=0,"",_xlfn.TEXTJOIN(CHAR(10),TRUE,IF((INDEX(Unified_Matrix!$A:$ZZ,3,MATCH("Max "&amp;AO$1,Unified_Matrix!$1:$1,0)):INDEX(Unified_Matrix!$A:$ZZ,300,MATCH("Max "&amp;AO$1,Unified_Matrix!$1:$1,0))=AO2)*(INDEX(Unified_Matrix!$A:$ZZ,3,MATCH("Max "&amp;AO$1,Unified_Matrix!$1:$1,0)):INDEX(Unified_Matrix!$A:$ZZ,300,MATCH("Max "&amp;AO$1,Unified_Matrix!$1:$1,0))&gt;0),INDEX(Unified_Matrix!$A:$ZZ,3,MATCH("Evolution_Name",Unified_Matrix!$1:$1,0)):INDEX(Unified_Matrix!$A:$ZZ,300,MATCH("Evolution_Name",Unified_Matrix!$1:$1,0)),"")))</f>
        <v/>
      </c>
      <c r="AP3" s="20">
        <f t="array" ref="AP3">IF(AP2=0,"",_xlfn.TEXTJOIN(CHAR(10),TRUE,IF((INDEX(Unified_Matrix!$A:$ZZ,3,MATCH("Max "&amp;AP$1,Unified_Matrix!$1:$1,0)):INDEX(Unified_Matrix!$A:$ZZ,300,MATCH("Max "&amp;AP$1,Unified_Matrix!$1:$1,0))=AP2)*(INDEX(Unified_Matrix!$A:$ZZ,3,MATCH("Max "&amp;AP$1,Unified_Matrix!$1:$1,0)):INDEX(Unified_Matrix!$A:$ZZ,300,MATCH("Max "&amp;AP$1,Unified_Matrix!$1:$1,0))&gt;0),INDEX(Unified_Matrix!$A:$ZZ,3,MATCH("Evolution_Name",Unified_Matrix!$1:$1,0)):INDEX(Unified_Matrix!$A:$ZZ,300,MATCH("Evolution_Name",Unified_Matrix!$1:$1,0)),"")))</f>
        <v/>
      </c>
      <c r="AQ3" s="20">
        <f t="array" ref="AQ3">IF(AQ2=0,"",_xlfn.TEXTJOIN(CHAR(10),TRUE,IF((INDEX(Unified_Matrix!$A:$ZZ,3,MATCH("Max "&amp;AQ$1,Unified_Matrix!$1:$1,0)):INDEX(Unified_Matrix!$A:$ZZ,300,MATCH("Max "&amp;AQ$1,Unified_Matrix!$1:$1,0))=AQ2)*(INDEX(Unified_Matrix!$A:$ZZ,3,MATCH("Max "&amp;AQ$1,Unified_Matrix!$1:$1,0)):INDEX(Unified_Matrix!$A:$ZZ,300,MATCH("Max "&amp;AQ$1,Unified_Matrix!$1:$1,0))&gt;0),INDEX(Unified_Matrix!$A:$ZZ,3,MATCH("Evolution_Name",Unified_Matrix!$1:$1,0)):INDEX(Unified_Matrix!$A:$ZZ,300,MATCH("Evolution_Name",Unified_Matrix!$1:$1,0)),"")))</f>
        <v/>
      </c>
      <c r="AR3" s="20">
        <f t="array" ref="AR3">IF(AR2=0,"",_xlfn.TEXTJOIN(CHAR(10),TRUE,IF((INDEX(Unified_Matrix!$A:$ZZ,3,MATCH("Max "&amp;AR$1,Unified_Matrix!$1:$1,0)):INDEX(Unified_Matrix!$A:$ZZ,300,MATCH("Max "&amp;AR$1,Unified_Matrix!$1:$1,0))=AR2)*(INDEX(Unified_Matrix!$A:$ZZ,3,MATCH("Max "&amp;AR$1,Unified_Matrix!$1:$1,0)):INDEX(Unified_Matrix!$A:$ZZ,300,MATCH("Max "&amp;AR$1,Unified_Matrix!$1:$1,0))&gt;0),INDEX(Unified_Matrix!$A:$ZZ,3,MATCH("Evolution_Name",Unified_Matrix!$1:$1,0)):INDEX(Unified_Matrix!$A:$ZZ,300,MATCH("Evolution_Name",Unified_Matrix!$1:$1,0)),"")))</f>
        <v/>
      </c>
      <c r="AS3" s="20">
        <f t="array" ref="AS3">IF(AS2=0,"",_xlfn.TEXTJOIN(CHAR(10),TRUE,IF((INDEX(Unified_Matrix!$A:$ZZ,3,MATCH("Max "&amp;AS$1,Unified_Matrix!$1:$1,0)):INDEX(Unified_Matrix!$A:$ZZ,300,MATCH("Max "&amp;AS$1,Unified_Matrix!$1:$1,0))=AS2)*(INDEX(Unified_Matrix!$A:$ZZ,3,MATCH("Max "&amp;AS$1,Unified_Matrix!$1:$1,0)):INDEX(Unified_Matrix!$A:$ZZ,300,MATCH("Max "&amp;AS$1,Unified_Matrix!$1:$1,0))&gt;0),INDEX(Unified_Matrix!$A:$ZZ,3,MATCH("Evolution_Name",Unified_Matrix!$1:$1,0)):INDEX(Unified_Matrix!$A:$ZZ,300,MATCH("Evolution_Name",Unified_Matrix!$1:$1,0)),"")))</f>
        <v/>
      </c>
      <c r="AT3" s="20">
        <f t="array" ref="AT3">IF(AT2=0,"",_xlfn.TEXTJOIN(CHAR(10),TRUE,IF((INDEX(Unified_Matrix!$A:$ZZ,3,MATCH("Max "&amp;AT$1,Unified_Matrix!$1:$1,0)):INDEX(Unified_Matrix!$A:$ZZ,300,MATCH("Max "&amp;AT$1,Unified_Matrix!$1:$1,0))=AT2)*(INDEX(Unified_Matrix!$A:$ZZ,3,MATCH("Max "&amp;AT$1,Unified_Matrix!$1:$1,0)):INDEX(Unified_Matrix!$A:$ZZ,300,MATCH("Max "&amp;AT$1,Unified_Matrix!$1:$1,0))&gt;0),INDEX(Unified_Matrix!$A:$ZZ,3,MATCH("Evolution_Name",Unified_Matrix!$1:$1,0)):INDEX(Unified_Matrix!$A:$ZZ,300,MATCH("Evolution_Name",Unified_Matrix!$1:$1,0)),"")))</f>
        <v/>
      </c>
    </row>
    <row r="4">
      <c r="H4" s="17" t="inlineStr">
        <is>
          <t>2위</t>
        </is>
      </c>
      <c r="I4" s="18" t="inlineStr">
        <is>
          <t>MAX</t>
        </is>
      </c>
      <c r="J4" s="19">
        <f>_xlfn.MAXIFS(INDEX(Unified_Matrix!$A:$ZZ,3,MATCH("Max "&amp;J$1,Unified_Matrix!$1:$1,0)):INDEX(Unified_Matrix!$A:$ZZ,300,MATCH("Max "&amp;J$1,Unified_Matrix!$1:$1,0)),INDEX(Unified_Matrix!$A:$ZZ,3,MATCH("Max "&amp;J$1,Unified_Matrix!$1:$1,0)):INDEX(Unified_Matrix!$A:$ZZ,300,MATCH("Max "&amp;J$1,Unified_Matrix!$1:$1,0)),"&lt;"&amp;J2,INDEX(Unified_Matrix!$A:$ZZ,3,MATCH("Max "&amp;J$1,Unified_Matrix!$1:$1,0)):INDEX(Unified_Matrix!$A:$ZZ,300,MATCH("Max "&amp;J$1,Unified_Matrix!$1:$1,0)),"&gt;0")</f>
        <v/>
      </c>
      <c r="K4" s="19">
        <f>_xlfn.MAXIFS(INDEX(Unified_Matrix!$A:$ZZ,3,MATCH("Max "&amp;K$1,Unified_Matrix!$1:$1,0)):INDEX(Unified_Matrix!$A:$ZZ,300,MATCH("Max "&amp;K$1,Unified_Matrix!$1:$1,0)),INDEX(Unified_Matrix!$A:$ZZ,3,MATCH("Max "&amp;K$1,Unified_Matrix!$1:$1,0)):INDEX(Unified_Matrix!$A:$ZZ,300,MATCH("Max "&amp;K$1,Unified_Matrix!$1:$1,0)),"&lt;"&amp;K2,INDEX(Unified_Matrix!$A:$ZZ,3,MATCH("Max "&amp;K$1,Unified_Matrix!$1:$1,0)):INDEX(Unified_Matrix!$A:$ZZ,300,MATCH("Max "&amp;K$1,Unified_Matrix!$1:$1,0)),"&gt;0")</f>
        <v/>
      </c>
      <c r="L4" s="19">
        <f>_xlfn.MAXIFS(INDEX(Unified_Matrix!$A:$ZZ,3,MATCH("Max "&amp;L$1,Unified_Matrix!$1:$1,0)):INDEX(Unified_Matrix!$A:$ZZ,300,MATCH("Max "&amp;L$1,Unified_Matrix!$1:$1,0)),INDEX(Unified_Matrix!$A:$ZZ,3,MATCH("Max "&amp;L$1,Unified_Matrix!$1:$1,0)):INDEX(Unified_Matrix!$A:$ZZ,300,MATCH("Max "&amp;L$1,Unified_Matrix!$1:$1,0)),"&lt;"&amp;L2,INDEX(Unified_Matrix!$A:$ZZ,3,MATCH("Max "&amp;L$1,Unified_Matrix!$1:$1,0)):INDEX(Unified_Matrix!$A:$ZZ,300,MATCH("Max "&amp;L$1,Unified_Matrix!$1:$1,0)),"&gt;0")</f>
        <v/>
      </c>
      <c r="M4" s="19">
        <f>_xlfn.MAXIFS(INDEX(Unified_Matrix!$A:$ZZ,3,MATCH("Max "&amp;M$1,Unified_Matrix!$1:$1,0)):INDEX(Unified_Matrix!$A:$ZZ,300,MATCH("Max "&amp;M$1,Unified_Matrix!$1:$1,0)),INDEX(Unified_Matrix!$A:$ZZ,3,MATCH("Max "&amp;M$1,Unified_Matrix!$1:$1,0)):INDEX(Unified_Matrix!$A:$ZZ,300,MATCH("Max "&amp;M$1,Unified_Matrix!$1:$1,0)),"&lt;"&amp;M2,INDEX(Unified_Matrix!$A:$ZZ,3,MATCH("Max "&amp;M$1,Unified_Matrix!$1:$1,0)):INDEX(Unified_Matrix!$A:$ZZ,300,MATCH("Max "&amp;M$1,Unified_Matrix!$1:$1,0)),"&gt;0")</f>
        <v/>
      </c>
      <c r="N4" s="19">
        <f>_xlfn.MAXIFS(INDEX(Unified_Matrix!$A:$ZZ,3,MATCH("Max "&amp;N$1,Unified_Matrix!$1:$1,0)):INDEX(Unified_Matrix!$A:$ZZ,300,MATCH("Max "&amp;N$1,Unified_Matrix!$1:$1,0)),INDEX(Unified_Matrix!$A:$ZZ,3,MATCH("Max "&amp;N$1,Unified_Matrix!$1:$1,0)):INDEX(Unified_Matrix!$A:$ZZ,300,MATCH("Max "&amp;N$1,Unified_Matrix!$1:$1,0)),"&lt;"&amp;N2,INDEX(Unified_Matrix!$A:$ZZ,3,MATCH("Max "&amp;N$1,Unified_Matrix!$1:$1,0)):INDEX(Unified_Matrix!$A:$ZZ,300,MATCH("Max "&amp;N$1,Unified_Matrix!$1:$1,0)),"&gt;0")</f>
        <v/>
      </c>
      <c r="O4" s="19">
        <f>_xlfn.MAXIFS(INDEX(Unified_Matrix!$A:$ZZ,3,MATCH("Max "&amp;O$1,Unified_Matrix!$1:$1,0)):INDEX(Unified_Matrix!$A:$ZZ,300,MATCH("Max "&amp;O$1,Unified_Matrix!$1:$1,0)),INDEX(Unified_Matrix!$A:$ZZ,3,MATCH("Max "&amp;O$1,Unified_Matrix!$1:$1,0)):INDEX(Unified_Matrix!$A:$ZZ,300,MATCH("Max "&amp;O$1,Unified_Matrix!$1:$1,0)),"&lt;"&amp;O2,INDEX(Unified_Matrix!$A:$ZZ,3,MATCH("Max "&amp;O$1,Unified_Matrix!$1:$1,0)):INDEX(Unified_Matrix!$A:$ZZ,300,MATCH("Max "&amp;O$1,Unified_Matrix!$1:$1,0)),"&gt;0")</f>
        <v/>
      </c>
      <c r="P4" s="19">
        <f>_xlfn.MAXIFS(INDEX(Unified_Matrix!$A:$ZZ,3,MATCH("Max "&amp;P$1,Unified_Matrix!$1:$1,0)):INDEX(Unified_Matrix!$A:$ZZ,300,MATCH("Max "&amp;P$1,Unified_Matrix!$1:$1,0)),INDEX(Unified_Matrix!$A:$ZZ,3,MATCH("Max "&amp;P$1,Unified_Matrix!$1:$1,0)):INDEX(Unified_Matrix!$A:$ZZ,300,MATCH("Max "&amp;P$1,Unified_Matrix!$1:$1,0)),"&lt;"&amp;P2,INDEX(Unified_Matrix!$A:$ZZ,3,MATCH("Max "&amp;P$1,Unified_Matrix!$1:$1,0)):INDEX(Unified_Matrix!$A:$ZZ,300,MATCH("Max "&amp;P$1,Unified_Matrix!$1:$1,0)),"&gt;0")</f>
        <v/>
      </c>
      <c r="Q4" s="19">
        <f>_xlfn.MAXIFS(INDEX(Unified_Matrix!$A:$ZZ,3,MATCH("Max "&amp;Q$1,Unified_Matrix!$1:$1,0)):INDEX(Unified_Matrix!$A:$ZZ,300,MATCH("Max "&amp;Q$1,Unified_Matrix!$1:$1,0)),INDEX(Unified_Matrix!$A:$ZZ,3,MATCH("Max "&amp;Q$1,Unified_Matrix!$1:$1,0)):INDEX(Unified_Matrix!$A:$ZZ,300,MATCH("Max "&amp;Q$1,Unified_Matrix!$1:$1,0)),"&lt;"&amp;Q2,INDEX(Unified_Matrix!$A:$ZZ,3,MATCH("Max "&amp;Q$1,Unified_Matrix!$1:$1,0)):INDEX(Unified_Matrix!$A:$ZZ,300,MATCH("Max "&amp;Q$1,Unified_Matrix!$1:$1,0)),"&gt;0")</f>
        <v/>
      </c>
      <c r="R4" s="19">
        <f>_xlfn.MAXIFS(INDEX(Unified_Matrix!$A:$ZZ,3,MATCH("Max "&amp;R$1,Unified_Matrix!$1:$1,0)):INDEX(Unified_Matrix!$A:$ZZ,300,MATCH("Max "&amp;R$1,Unified_Matrix!$1:$1,0)),INDEX(Unified_Matrix!$A:$ZZ,3,MATCH("Max "&amp;R$1,Unified_Matrix!$1:$1,0)):INDEX(Unified_Matrix!$A:$ZZ,300,MATCH("Max "&amp;R$1,Unified_Matrix!$1:$1,0)),"&lt;"&amp;R2,INDEX(Unified_Matrix!$A:$ZZ,3,MATCH("Max "&amp;R$1,Unified_Matrix!$1:$1,0)):INDEX(Unified_Matrix!$A:$ZZ,300,MATCH("Max "&amp;R$1,Unified_Matrix!$1:$1,0)),"&gt;0")</f>
        <v/>
      </c>
      <c r="S4" s="19">
        <f>_xlfn.MAXIFS(INDEX(Unified_Matrix!$A:$ZZ,3,MATCH("Max "&amp;S$1,Unified_Matrix!$1:$1,0)):INDEX(Unified_Matrix!$A:$ZZ,300,MATCH("Max "&amp;S$1,Unified_Matrix!$1:$1,0)),INDEX(Unified_Matrix!$A:$ZZ,3,MATCH("Max "&amp;S$1,Unified_Matrix!$1:$1,0)):INDEX(Unified_Matrix!$A:$ZZ,300,MATCH("Max "&amp;S$1,Unified_Matrix!$1:$1,0)),"&lt;"&amp;S2,INDEX(Unified_Matrix!$A:$ZZ,3,MATCH("Max "&amp;S$1,Unified_Matrix!$1:$1,0)):INDEX(Unified_Matrix!$A:$ZZ,300,MATCH("Max "&amp;S$1,Unified_Matrix!$1:$1,0)),"&gt;0")</f>
        <v/>
      </c>
      <c r="T4" s="19">
        <f>_xlfn.MAXIFS(INDEX(Unified_Matrix!$A:$ZZ,3,MATCH("Max "&amp;T$1,Unified_Matrix!$1:$1,0)):INDEX(Unified_Matrix!$A:$ZZ,300,MATCH("Max "&amp;T$1,Unified_Matrix!$1:$1,0)),INDEX(Unified_Matrix!$A:$ZZ,3,MATCH("Max "&amp;T$1,Unified_Matrix!$1:$1,0)):INDEX(Unified_Matrix!$A:$ZZ,300,MATCH("Max "&amp;T$1,Unified_Matrix!$1:$1,0)),"&lt;"&amp;T2,INDEX(Unified_Matrix!$A:$ZZ,3,MATCH("Max "&amp;T$1,Unified_Matrix!$1:$1,0)):INDEX(Unified_Matrix!$A:$ZZ,300,MATCH("Max "&amp;T$1,Unified_Matrix!$1:$1,0)),"&gt;0")</f>
        <v/>
      </c>
      <c r="U4" s="19">
        <f>_xlfn.MAXIFS(INDEX(Unified_Matrix!$A:$ZZ,3,MATCH("Max "&amp;U$1,Unified_Matrix!$1:$1,0)):INDEX(Unified_Matrix!$A:$ZZ,300,MATCH("Max "&amp;U$1,Unified_Matrix!$1:$1,0)),INDEX(Unified_Matrix!$A:$ZZ,3,MATCH("Max "&amp;U$1,Unified_Matrix!$1:$1,0)):INDEX(Unified_Matrix!$A:$ZZ,300,MATCH("Max "&amp;U$1,Unified_Matrix!$1:$1,0)),"&lt;"&amp;U2,INDEX(Unified_Matrix!$A:$ZZ,3,MATCH("Max "&amp;U$1,Unified_Matrix!$1:$1,0)):INDEX(Unified_Matrix!$A:$ZZ,300,MATCH("Max "&amp;U$1,Unified_Matrix!$1:$1,0)),"&gt;0")</f>
        <v/>
      </c>
      <c r="V4" s="19">
        <f>_xlfn.MAXIFS(INDEX(Unified_Matrix!$A:$ZZ,3,MATCH("Max "&amp;V$1,Unified_Matrix!$1:$1,0)):INDEX(Unified_Matrix!$A:$ZZ,300,MATCH("Max "&amp;V$1,Unified_Matrix!$1:$1,0)),INDEX(Unified_Matrix!$A:$ZZ,3,MATCH("Max "&amp;V$1,Unified_Matrix!$1:$1,0)):INDEX(Unified_Matrix!$A:$ZZ,300,MATCH("Max "&amp;V$1,Unified_Matrix!$1:$1,0)),"&lt;"&amp;V2,INDEX(Unified_Matrix!$A:$ZZ,3,MATCH("Max "&amp;V$1,Unified_Matrix!$1:$1,0)):INDEX(Unified_Matrix!$A:$ZZ,300,MATCH("Max "&amp;V$1,Unified_Matrix!$1:$1,0)),"&gt;0")</f>
        <v/>
      </c>
      <c r="W4" s="19">
        <f>_xlfn.MAXIFS(INDEX(Unified_Matrix!$A:$ZZ,3,MATCH("Max "&amp;W$1,Unified_Matrix!$1:$1,0)):INDEX(Unified_Matrix!$A:$ZZ,300,MATCH("Max "&amp;W$1,Unified_Matrix!$1:$1,0)),INDEX(Unified_Matrix!$A:$ZZ,3,MATCH("Max "&amp;W$1,Unified_Matrix!$1:$1,0)):INDEX(Unified_Matrix!$A:$ZZ,300,MATCH("Max "&amp;W$1,Unified_Matrix!$1:$1,0)),"&lt;"&amp;W2,INDEX(Unified_Matrix!$A:$ZZ,3,MATCH("Max "&amp;W$1,Unified_Matrix!$1:$1,0)):INDEX(Unified_Matrix!$A:$ZZ,300,MATCH("Max "&amp;W$1,Unified_Matrix!$1:$1,0)),"&gt;0")</f>
        <v/>
      </c>
      <c r="X4" s="19">
        <f>_xlfn.MAXIFS(INDEX(Unified_Matrix!$A:$ZZ,3,MATCH("Max "&amp;X$1,Unified_Matrix!$1:$1,0)):INDEX(Unified_Matrix!$A:$ZZ,300,MATCH("Max "&amp;X$1,Unified_Matrix!$1:$1,0)),INDEX(Unified_Matrix!$A:$ZZ,3,MATCH("Max "&amp;X$1,Unified_Matrix!$1:$1,0)):INDEX(Unified_Matrix!$A:$ZZ,300,MATCH("Max "&amp;X$1,Unified_Matrix!$1:$1,0)),"&lt;"&amp;X2,INDEX(Unified_Matrix!$A:$ZZ,3,MATCH("Max "&amp;X$1,Unified_Matrix!$1:$1,0)):INDEX(Unified_Matrix!$A:$ZZ,300,MATCH("Max "&amp;X$1,Unified_Matrix!$1:$1,0)),"&gt;0")</f>
        <v/>
      </c>
      <c r="Y4" s="19">
        <f>_xlfn.MAXIFS(INDEX(Unified_Matrix!$A:$ZZ,3,MATCH("Max "&amp;Y$1,Unified_Matrix!$1:$1,0)):INDEX(Unified_Matrix!$A:$ZZ,300,MATCH("Max "&amp;Y$1,Unified_Matrix!$1:$1,0)),INDEX(Unified_Matrix!$A:$ZZ,3,MATCH("Max "&amp;Y$1,Unified_Matrix!$1:$1,0)):INDEX(Unified_Matrix!$A:$ZZ,300,MATCH("Max "&amp;Y$1,Unified_Matrix!$1:$1,0)),"&lt;"&amp;Y2,INDEX(Unified_Matrix!$A:$ZZ,3,MATCH("Max "&amp;Y$1,Unified_Matrix!$1:$1,0)):INDEX(Unified_Matrix!$A:$ZZ,300,MATCH("Max "&amp;Y$1,Unified_Matrix!$1:$1,0)),"&gt;0")</f>
        <v/>
      </c>
      <c r="Z4" s="19">
        <f>_xlfn.MAXIFS(INDEX(Unified_Matrix!$A:$ZZ,3,MATCH("Max "&amp;Z$1,Unified_Matrix!$1:$1,0)):INDEX(Unified_Matrix!$A:$ZZ,300,MATCH("Max "&amp;Z$1,Unified_Matrix!$1:$1,0)),INDEX(Unified_Matrix!$A:$ZZ,3,MATCH("Max "&amp;Z$1,Unified_Matrix!$1:$1,0)):INDEX(Unified_Matrix!$A:$ZZ,300,MATCH("Max "&amp;Z$1,Unified_Matrix!$1:$1,0)),"&lt;"&amp;Z2,INDEX(Unified_Matrix!$A:$ZZ,3,MATCH("Max "&amp;Z$1,Unified_Matrix!$1:$1,0)):INDEX(Unified_Matrix!$A:$ZZ,300,MATCH("Max "&amp;Z$1,Unified_Matrix!$1:$1,0)),"&gt;0")</f>
        <v/>
      </c>
      <c r="AA4" s="19">
        <f>_xlfn.MAXIFS(INDEX(Unified_Matrix!$A:$ZZ,3,MATCH("Max "&amp;AA$1,Unified_Matrix!$1:$1,0)):INDEX(Unified_Matrix!$A:$ZZ,300,MATCH("Max "&amp;AA$1,Unified_Matrix!$1:$1,0)),INDEX(Unified_Matrix!$A:$ZZ,3,MATCH("Max "&amp;AA$1,Unified_Matrix!$1:$1,0)):INDEX(Unified_Matrix!$A:$ZZ,300,MATCH("Max "&amp;AA$1,Unified_Matrix!$1:$1,0)),"&lt;"&amp;AA2,INDEX(Unified_Matrix!$A:$ZZ,3,MATCH("Max "&amp;AA$1,Unified_Matrix!$1:$1,0)):INDEX(Unified_Matrix!$A:$ZZ,300,MATCH("Max "&amp;AA$1,Unified_Matrix!$1:$1,0)),"&gt;0")</f>
        <v/>
      </c>
      <c r="AB4" s="19">
        <f>_xlfn.MAXIFS(INDEX(Unified_Matrix!$A:$ZZ,3,MATCH("Max "&amp;AB$1,Unified_Matrix!$1:$1,0)):INDEX(Unified_Matrix!$A:$ZZ,300,MATCH("Max "&amp;AB$1,Unified_Matrix!$1:$1,0)),INDEX(Unified_Matrix!$A:$ZZ,3,MATCH("Max "&amp;AB$1,Unified_Matrix!$1:$1,0)):INDEX(Unified_Matrix!$A:$ZZ,300,MATCH("Max "&amp;AB$1,Unified_Matrix!$1:$1,0)),"&lt;"&amp;AB2,INDEX(Unified_Matrix!$A:$ZZ,3,MATCH("Max "&amp;AB$1,Unified_Matrix!$1:$1,0)):INDEX(Unified_Matrix!$A:$ZZ,300,MATCH("Max "&amp;AB$1,Unified_Matrix!$1:$1,0)),"&gt;0")</f>
        <v/>
      </c>
      <c r="AC4" s="19">
        <f>_xlfn.MAXIFS(INDEX(Unified_Matrix!$A:$ZZ,3,MATCH("Max "&amp;AC$1,Unified_Matrix!$1:$1,0)):INDEX(Unified_Matrix!$A:$ZZ,300,MATCH("Max "&amp;AC$1,Unified_Matrix!$1:$1,0)),INDEX(Unified_Matrix!$A:$ZZ,3,MATCH("Max "&amp;AC$1,Unified_Matrix!$1:$1,0)):INDEX(Unified_Matrix!$A:$ZZ,300,MATCH("Max "&amp;AC$1,Unified_Matrix!$1:$1,0)),"&lt;"&amp;AC2,INDEX(Unified_Matrix!$A:$ZZ,3,MATCH("Max "&amp;AC$1,Unified_Matrix!$1:$1,0)):INDEX(Unified_Matrix!$A:$ZZ,300,MATCH("Max "&amp;AC$1,Unified_Matrix!$1:$1,0)),"&gt;0")</f>
        <v/>
      </c>
      <c r="AD4" s="19">
        <f>_xlfn.MAXIFS(INDEX(Unified_Matrix!$A:$ZZ,3,MATCH("Max "&amp;AD$1,Unified_Matrix!$1:$1,0)):INDEX(Unified_Matrix!$A:$ZZ,300,MATCH("Max "&amp;AD$1,Unified_Matrix!$1:$1,0)),INDEX(Unified_Matrix!$A:$ZZ,3,MATCH("Max "&amp;AD$1,Unified_Matrix!$1:$1,0)):INDEX(Unified_Matrix!$A:$ZZ,300,MATCH("Max "&amp;AD$1,Unified_Matrix!$1:$1,0)),"&lt;"&amp;AD2,INDEX(Unified_Matrix!$A:$ZZ,3,MATCH("Max "&amp;AD$1,Unified_Matrix!$1:$1,0)):INDEX(Unified_Matrix!$A:$ZZ,300,MATCH("Max "&amp;AD$1,Unified_Matrix!$1:$1,0)),"&gt;0")</f>
        <v/>
      </c>
      <c r="AE4" s="19">
        <f>_xlfn.MAXIFS(INDEX(Unified_Matrix!$A:$ZZ,3,MATCH("Max "&amp;AE$1,Unified_Matrix!$1:$1,0)):INDEX(Unified_Matrix!$A:$ZZ,300,MATCH("Max "&amp;AE$1,Unified_Matrix!$1:$1,0)),INDEX(Unified_Matrix!$A:$ZZ,3,MATCH("Max "&amp;AE$1,Unified_Matrix!$1:$1,0)):INDEX(Unified_Matrix!$A:$ZZ,300,MATCH("Max "&amp;AE$1,Unified_Matrix!$1:$1,0)),"&lt;"&amp;AE2,INDEX(Unified_Matrix!$A:$ZZ,3,MATCH("Max "&amp;AE$1,Unified_Matrix!$1:$1,0)):INDEX(Unified_Matrix!$A:$ZZ,300,MATCH("Max "&amp;AE$1,Unified_Matrix!$1:$1,0)),"&gt;0")</f>
        <v/>
      </c>
      <c r="AF4" s="19">
        <f>_xlfn.MAXIFS(INDEX(Unified_Matrix!$A:$ZZ,3,MATCH("Max "&amp;AF$1,Unified_Matrix!$1:$1,0)):INDEX(Unified_Matrix!$A:$ZZ,300,MATCH("Max "&amp;AF$1,Unified_Matrix!$1:$1,0)),INDEX(Unified_Matrix!$A:$ZZ,3,MATCH("Max "&amp;AF$1,Unified_Matrix!$1:$1,0)):INDEX(Unified_Matrix!$A:$ZZ,300,MATCH("Max "&amp;AF$1,Unified_Matrix!$1:$1,0)),"&lt;"&amp;AF2,INDEX(Unified_Matrix!$A:$ZZ,3,MATCH("Max "&amp;AF$1,Unified_Matrix!$1:$1,0)):INDEX(Unified_Matrix!$A:$ZZ,300,MATCH("Max "&amp;AF$1,Unified_Matrix!$1:$1,0)),"&gt;0")</f>
        <v/>
      </c>
      <c r="AG4" s="19">
        <f>_xlfn.MAXIFS(INDEX(Unified_Matrix!$A:$ZZ,3,MATCH("Max "&amp;AG$1,Unified_Matrix!$1:$1,0)):INDEX(Unified_Matrix!$A:$ZZ,300,MATCH("Max "&amp;AG$1,Unified_Matrix!$1:$1,0)),INDEX(Unified_Matrix!$A:$ZZ,3,MATCH("Max "&amp;AG$1,Unified_Matrix!$1:$1,0)):INDEX(Unified_Matrix!$A:$ZZ,300,MATCH("Max "&amp;AG$1,Unified_Matrix!$1:$1,0)),"&lt;"&amp;AG2,INDEX(Unified_Matrix!$A:$ZZ,3,MATCH("Max "&amp;AG$1,Unified_Matrix!$1:$1,0)):INDEX(Unified_Matrix!$A:$ZZ,300,MATCH("Max "&amp;AG$1,Unified_Matrix!$1:$1,0)),"&gt;0")</f>
        <v/>
      </c>
      <c r="AH4" s="19">
        <f>_xlfn.MAXIFS(INDEX(Unified_Matrix!$A:$ZZ,3,MATCH("Max "&amp;AH$1,Unified_Matrix!$1:$1,0)):INDEX(Unified_Matrix!$A:$ZZ,300,MATCH("Max "&amp;AH$1,Unified_Matrix!$1:$1,0)),INDEX(Unified_Matrix!$A:$ZZ,3,MATCH("Max "&amp;AH$1,Unified_Matrix!$1:$1,0)):INDEX(Unified_Matrix!$A:$ZZ,300,MATCH("Max "&amp;AH$1,Unified_Matrix!$1:$1,0)),"&lt;"&amp;AH2,INDEX(Unified_Matrix!$A:$ZZ,3,MATCH("Max "&amp;AH$1,Unified_Matrix!$1:$1,0)):INDEX(Unified_Matrix!$A:$ZZ,300,MATCH("Max "&amp;AH$1,Unified_Matrix!$1:$1,0)),"&gt;0")</f>
        <v/>
      </c>
      <c r="AI4" s="19">
        <f>_xlfn.MAXIFS(INDEX(Unified_Matrix!$A:$ZZ,3,MATCH("Max "&amp;AI$1,Unified_Matrix!$1:$1,0)):INDEX(Unified_Matrix!$A:$ZZ,300,MATCH("Max "&amp;AI$1,Unified_Matrix!$1:$1,0)),INDEX(Unified_Matrix!$A:$ZZ,3,MATCH("Max "&amp;AI$1,Unified_Matrix!$1:$1,0)):INDEX(Unified_Matrix!$A:$ZZ,300,MATCH("Max "&amp;AI$1,Unified_Matrix!$1:$1,0)),"&lt;"&amp;AI2,INDEX(Unified_Matrix!$A:$ZZ,3,MATCH("Max "&amp;AI$1,Unified_Matrix!$1:$1,0)):INDEX(Unified_Matrix!$A:$ZZ,300,MATCH("Max "&amp;AI$1,Unified_Matrix!$1:$1,0)),"&gt;0")</f>
        <v/>
      </c>
      <c r="AJ4" s="19">
        <f>_xlfn.MAXIFS(INDEX(Unified_Matrix!$A:$ZZ,3,MATCH("Max "&amp;AJ$1,Unified_Matrix!$1:$1,0)):INDEX(Unified_Matrix!$A:$ZZ,300,MATCH("Max "&amp;AJ$1,Unified_Matrix!$1:$1,0)),INDEX(Unified_Matrix!$A:$ZZ,3,MATCH("Max "&amp;AJ$1,Unified_Matrix!$1:$1,0)):INDEX(Unified_Matrix!$A:$ZZ,300,MATCH("Max "&amp;AJ$1,Unified_Matrix!$1:$1,0)),"&lt;"&amp;AJ2,INDEX(Unified_Matrix!$A:$ZZ,3,MATCH("Max "&amp;AJ$1,Unified_Matrix!$1:$1,0)):INDEX(Unified_Matrix!$A:$ZZ,300,MATCH("Max "&amp;AJ$1,Unified_Matrix!$1:$1,0)),"&gt;0")</f>
        <v/>
      </c>
      <c r="AK4" s="19">
        <f>_xlfn.MAXIFS(INDEX(Unified_Matrix!$A:$ZZ,3,MATCH("Max "&amp;AK$1,Unified_Matrix!$1:$1,0)):INDEX(Unified_Matrix!$A:$ZZ,300,MATCH("Max "&amp;AK$1,Unified_Matrix!$1:$1,0)),INDEX(Unified_Matrix!$A:$ZZ,3,MATCH("Max "&amp;AK$1,Unified_Matrix!$1:$1,0)):INDEX(Unified_Matrix!$A:$ZZ,300,MATCH("Max "&amp;AK$1,Unified_Matrix!$1:$1,0)),"&lt;"&amp;AK2,INDEX(Unified_Matrix!$A:$ZZ,3,MATCH("Max "&amp;AK$1,Unified_Matrix!$1:$1,0)):INDEX(Unified_Matrix!$A:$ZZ,300,MATCH("Max "&amp;AK$1,Unified_Matrix!$1:$1,0)),"&gt;0")</f>
        <v/>
      </c>
      <c r="AL4" s="19">
        <f>_xlfn.MAXIFS(INDEX(Unified_Matrix!$A:$ZZ,3,MATCH("Max "&amp;AL$1,Unified_Matrix!$1:$1,0)):INDEX(Unified_Matrix!$A:$ZZ,300,MATCH("Max "&amp;AL$1,Unified_Matrix!$1:$1,0)),INDEX(Unified_Matrix!$A:$ZZ,3,MATCH("Max "&amp;AL$1,Unified_Matrix!$1:$1,0)):INDEX(Unified_Matrix!$A:$ZZ,300,MATCH("Max "&amp;AL$1,Unified_Matrix!$1:$1,0)),"&lt;"&amp;AL2,INDEX(Unified_Matrix!$A:$ZZ,3,MATCH("Max "&amp;AL$1,Unified_Matrix!$1:$1,0)):INDEX(Unified_Matrix!$A:$ZZ,300,MATCH("Max "&amp;AL$1,Unified_Matrix!$1:$1,0)),"&gt;0")</f>
        <v/>
      </c>
      <c r="AM4" s="19">
        <f>_xlfn.MAXIFS(INDEX(Unified_Matrix!$A:$ZZ,3,MATCH("Max "&amp;AM$1,Unified_Matrix!$1:$1,0)):INDEX(Unified_Matrix!$A:$ZZ,300,MATCH("Max "&amp;AM$1,Unified_Matrix!$1:$1,0)),INDEX(Unified_Matrix!$A:$ZZ,3,MATCH("Max "&amp;AM$1,Unified_Matrix!$1:$1,0)):INDEX(Unified_Matrix!$A:$ZZ,300,MATCH("Max "&amp;AM$1,Unified_Matrix!$1:$1,0)),"&lt;"&amp;AM2,INDEX(Unified_Matrix!$A:$ZZ,3,MATCH("Max "&amp;AM$1,Unified_Matrix!$1:$1,0)):INDEX(Unified_Matrix!$A:$ZZ,300,MATCH("Max "&amp;AM$1,Unified_Matrix!$1:$1,0)),"&gt;0")</f>
        <v/>
      </c>
      <c r="AN4" s="19">
        <f>_xlfn.MAXIFS(INDEX(Unified_Matrix!$A:$ZZ,3,MATCH("Max "&amp;AN$1,Unified_Matrix!$1:$1,0)):INDEX(Unified_Matrix!$A:$ZZ,300,MATCH("Max "&amp;AN$1,Unified_Matrix!$1:$1,0)),INDEX(Unified_Matrix!$A:$ZZ,3,MATCH("Max "&amp;AN$1,Unified_Matrix!$1:$1,0)):INDEX(Unified_Matrix!$A:$ZZ,300,MATCH("Max "&amp;AN$1,Unified_Matrix!$1:$1,0)),"&lt;"&amp;AN2,INDEX(Unified_Matrix!$A:$ZZ,3,MATCH("Max "&amp;AN$1,Unified_Matrix!$1:$1,0)):INDEX(Unified_Matrix!$A:$ZZ,300,MATCH("Max "&amp;AN$1,Unified_Matrix!$1:$1,0)),"&gt;0")</f>
        <v/>
      </c>
      <c r="AO4" s="19">
        <f>_xlfn.MAXIFS(INDEX(Unified_Matrix!$A:$ZZ,3,MATCH("Max "&amp;AO$1,Unified_Matrix!$1:$1,0)):INDEX(Unified_Matrix!$A:$ZZ,300,MATCH("Max "&amp;AO$1,Unified_Matrix!$1:$1,0)),INDEX(Unified_Matrix!$A:$ZZ,3,MATCH("Max "&amp;AO$1,Unified_Matrix!$1:$1,0)):INDEX(Unified_Matrix!$A:$ZZ,300,MATCH("Max "&amp;AO$1,Unified_Matrix!$1:$1,0)),"&lt;"&amp;AO2,INDEX(Unified_Matrix!$A:$ZZ,3,MATCH("Max "&amp;AO$1,Unified_Matrix!$1:$1,0)):INDEX(Unified_Matrix!$A:$ZZ,300,MATCH("Max "&amp;AO$1,Unified_Matrix!$1:$1,0)),"&gt;0")</f>
        <v/>
      </c>
      <c r="AP4" s="19">
        <f>_xlfn.MAXIFS(INDEX(Unified_Matrix!$A:$ZZ,3,MATCH("Max "&amp;AP$1,Unified_Matrix!$1:$1,0)):INDEX(Unified_Matrix!$A:$ZZ,300,MATCH("Max "&amp;AP$1,Unified_Matrix!$1:$1,0)),INDEX(Unified_Matrix!$A:$ZZ,3,MATCH("Max "&amp;AP$1,Unified_Matrix!$1:$1,0)):INDEX(Unified_Matrix!$A:$ZZ,300,MATCH("Max "&amp;AP$1,Unified_Matrix!$1:$1,0)),"&lt;"&amp;AP2,INDEX(Unified_Matrix!$A:$ZZ,3,MATCH("Max "&amp;AP$1,Unified_Matrix!$1:$1,0)):INDEX(Unified_Matrix!$A:$ZZ,300,MATCH("Max "&amp;AP$1,Unified_Matrix!$1:$1,0)),"&gt;0")</f>
        <v/>
      </c>
      <c r="AQ4" s="19">
        <f>_xlfn.MAXIFS(INDEX(Unified_Matrix!$A:$ZZ,3,MATCH("Max "&amp;AQ$1,Unified_Matrix!$1:$1,0)):INDEX(Unified_Matrix!$A:$ZZ,300,MATCH("Max "&amp;AQ$1,Unified_Matrix!$1:$1,0)),INDEX(Unified_Matrix!$A:$ZZ,3,MATCH("Max "&amp;AQ$1,Unified_Matrix!$1:$1,0)):INDEX(Unified_Matrix!$A:$ZZ,300,MATCH("Max "&amp;AQ$1,Unified_Matrix!$1:$1,0)),"&lt;"&amp;AQ2,INDEX(Unified_Matrix!$A:$ZZ,3,MATCH("Max "&amp;AQ$1,Unified_Matrix!$1:$1,0)):INDEX(Unified_Matrix!$A:$ZZ,300,MATCH("Max "&amp;AQ$1,Unified_Matrix!$1:$1,0)),"&gt;0")</f>
        <v/>
      </c>
      <c r="AR4" s="19">
        <f>_xlfn.MAXIFS(INDEX(Unified_Matrix!$A:$ZZ,3,MATCH("Max "&amp;AR$1,Unified_Matrix!$1:$1,0)):INDEX(Unified_Matrix!$A:$ZZ,300,MATCH("Max "&amp;AR$1,Unified_Matrix!$1:$1,0)),INDEX(Unified_Matrix!$A:$ZZ,3,MATCH("Max "&amp;AR$1,Unified_Matrix!$1:$1,0)):INDEX(Unified_Matrix!$A:$ZZ,300,MATCH("Max "&amp;AR$1,Unified_Matrix!$1:$1,0)),"&lt;"&amp;AR2,INDEX(Unified_Matrix!$A:$ZZ,3,MATCH("Max "&amp;AR$1,Unified_Matrix!$1:$1,0)):INDEX(Unified_Matrix!$A:$ZZ,300,MATCH("Max "&amp;AR$1,Unified_Matrix!$1:$1,0)),"&gt;0")</f>
        <v/>
      </c>
      <c r="AS4" s="19">
        <f>_xlfn.MAXIFS(INDEX(Unified_Matrix!$A:$ZZ,3,MATCH("Max "&amp;AS$1,Unified_Matrix!$1:$1,0)):INDEX(Unified_Matrix!$A:$ZZ,300,MATCH("Max "&amp;AS$1,Unified_Matrix!$1:$1,0)),INDEX(Unified_Matrix!$A:$ZZ,3,MATCH("Max "&amp;AS$1,Unified_Matrix!$1:$1,0)):INDEX(Unified_Matrix!$A:$ZZ,300,MATCH("Max "&amp;AS$1,Unified_Matrix!$1:$1,0)),"&lt;"&amp;AS2,INDEX(Unified_Matrix!$A:$ZZ,3,MATCH("Max "&amp;AS$1,Unified_Matrix!$1:$1,0)):INDEX(Unified_Matrix!$A:$ZZ,300,MATCH("Max "&amp;AS$1,Unified_Matrix!$1:$1,0)),"&gt;0")</f>
        <v/>
      </c>
      <c r="AT4" s="19">
        <f>_xlfn.MAXIFS(INDEX(Unified_Matrix!$A:$ZZ,3,MATCH("Max "&amp;AT$1,Unified_Matrix!$1:$1,0)):INDEX(Unified_Matrix!$A:$ZZ,300,MATCH("Max "&amp;AT$1,Unified_Matrix!$1:$1,0)),INDEX(Unified_Matrix!$A:$ZZ,3,MATCH("Max "&amp;AT$1,Unified_Matrix!$1:$1,0)):INDEX(Unified_Matrix!$A:$ZZ,300,MATCH("Max "&amp;AT$1,Unified_Matrix!$1:$1,0)),"&lt;"&amp;AT2,INDEX(Unified_Matrix!$A:$ZZ,3,MATCH("Max "&amp;AT$1,Unified_Matrix!$1:$1,0)):INDEX(Unified_Matrix!$A:$ZZ,300,MATCH("Max "&amp;AT$1,Unified_Matrix!$1:$1,0)),"&gt;0")</f>
        <v/>
      </c>
    </row>
    <row r="5" ht="97.5" customHeight="1">
      <c r="H5" s="38" t="n"/>
      <c r="I5" s="18" t="inlineStr">
        <is>
          <t>진화명</t>
        </is>
      </c>
      <c r="J5" s="20">
        <f t="array" ref="J5">IF(J4=0,"",_xlfn.TEXTJOIN(CHAR(10),TRUE,IF((INDEX(Unified_Matrix!$A:$ZZ,3,MATCH("Max "&amp;J$1,Unified_Matrix!$1:$1,0)):INDEX(Unified_Matrix!$A:$ZZ,300,MATCH("Max "&amp;J$1,Unified_Matrix!$1:$1,0))=J4)*(INDEX(Unified_Matrix!$A:$ZZ,3,MATCH("Max "&amp;J$1,Unified_Matrix!$1:$1,0)):INDEX(Unified_Matrix!$A:$ZZ,300,MATCH("Max "&amp;J$1,Unified_Matrix!$1:$1,0))&gt;0),INDEX(Unified_Matrix!$A:$ZZ,3,MATCH("Evolution_Name",Unified_Matrix!$1:$1,0)):INDEX(Unified_Matrix!$A:$ZZ,300,MATCH("Evolution_Name",Unified_Matrix!$1:$1,0)),"")))</f>
        <v/>
      </c>
      <c r="K5" s="20">
        <f t="array" ref="K5">IF(K4=0,"",_xlfn.TEXTJOIN(CHAR(10),TRUE,IF((INDEX(Unified_Matrix!$A:$ZZ,3,MATCH("Max "&amp;K$1,Unified_Matrix!$1:$1,0)):INDEX(Unified_Matrix!$A:$ZZ,300,MATCH("Max "&amp;K$1,Unified_Matrix!$1:$1,0))=K4)*(INDEX(Unified_Matrix!$A:$ZZ,3,MATCH("Max "&amp;K$1,Unified_Matrix!$1:$1,0)):INDEX(Unified_Matrix!$A:$ZZ,300,MATCH("Max "&amp;K$1,Unified_Matrix!$1:$1,0))&gt;0),INDEX(Unified_Matrix!$A:$ZZ,3,MATCH("Evolution_Name",Unified_Matrix!$1:$1,0)):INDEX(Unified_Matrix!$A:$ZZ,300,MATCH("Evolution_Name",Unified_Matrix!$1:$1,0)),"")))</f>
        <v/>
      </c>
      <c r="L5" s="20">
        <f t="array" ref="L5">IF(L4=0,"",_xlfn.TEXTJOIN(CHAR(10),TRUE,IF((INDEX(Unified_Matrix!$A:$ZZ,3,MATCH("Max "&amp;L$1,Unified_Matrix!$1:$1,0)):INDEX(Unified_Matrix!$A:$ZZ,300,MATCH("Max "&amp;L$1,Unified_Matrix!$1:$1,0))=L4)*(INDEX(Unified_Matrix!$A:$ZZ,3,MATCH("Max "&amp;L$1,Unified_Matrix!$1:$1,0)):INDEX(Unified_Matrix!$A:$ZZ,300,MATCH("Max "&amp;L$1,Unified_Matrix!$1:$1,0))&gt;0),INDEX(Unified_Matrix!$A:$ZZ,3,MATCH("Evolution_Name",Unified_Matrix!$1:$1,0)):INDEX(Unified_Matrix!$A:$ZZ,300,MATCH("Evolution_Name",Unified_Matrix!$1:$1,0)),"")))</f>
        <v/>
      </c>
      <c r="M5" s="20">
        <f t="array" ref="M5">IF(M4=0,"",_xlfn.TEXTJOIN(CHAR(10),TRUE,IF((INDEX(Unified_Matrix!$A:$ZZ,3,MATCH("Max "&amp;M$1,Unified_Matrix!$1:$1,0)):INDEX(Unified_Matrix!$A:$ZZ,300,MATCH("Max "&amp;M$1,Unified_Matrix!$1:$1,0))=M4)*(INDEX(Unified_Matrix!$A:$ZZ,3,MATCH("Max "&amp;M$1,Unified_Matrix!$1:$1,0)):INDEX(Unified_Matrix!$A:$ZZ,300,MATCH("Max "&amp;M$1,Unified_Matrix!$1:$1,0))&gt;0),INDEX(Unified_Matrix!$A:$ZZ,3,MATCH("Evolution_Name",Unified_Matrix!$1:$1,0)):INDEX(Unified_Matrix!$A:$ZZ,300,MATCH("Evolution_Name",Unified_Matrix!$1:$1,0)),"")))</f>
        <v/>
      </c>
      <c r="N5" s="20">
        <f t="array" ref="N5">IF(N4=0,"",_xlfn.TEXTJOIN(CHAR(10),TRUE,IF((INDEX(Unified_Matrix!$A:$ZZ,3,MATCH("Max "&amp;N$1,Unified_Matrix!$1:$1,0)):INDEX(Unified_Matrix!$A:$ZZ,300,MATCH("Max "&amp;N$1,Unified_Matrix!$1:$1,0))=N4)*(INDEX(Unified_Matrix!$A:$ZZ,3,MATCH("Max "&amp;N$1,Unified_Matrix!$1:$1,0)):INDEX(Unified_Matrix!$A:$ZZ,300,MATCH("Max "&amp;N$1,Unified_Matrix!$1:$1,0))&gt;0),INDEX(Unified_Matrix!$A:$ZZ,3,MATCH("Evolution_Name",Unified_Matrix!$1:$1,0)):INDEX(Unified_Matrix!$A:$ZZ,300,MATCH("Evolution_Name",Unified_Matrix!$1:$1,0)),"")))</f>
        <v/>
      </c>
      <c r="O5" s="20">
        <f t="array" ref="O5">IF(O4=0,"",_xlfn.TEXTJOIN(CHAR(10),TRUE,IF((INDEX(Unified_Matrix!$A:$ZZ,3,MATCH("Max "&amp;O$1,Unified_Matrix!$1:$1,0)):INDEX(Unified_Matrix!$A:$ZZ,300,MATCH("Max "&amp;O$1,Unified_Matrix!$1:$1,0))=O4)*(INDEX(Unified_Matrix!$A:$ZZ,3,MATCH("Max "&amp;O$1,Unified_Matrix!$1:$1,0)):INDEX(Unified_Matrix!$A:$ZZ,300,MATCH("Max "&amp;O$1,Unified_Matrix!$1:$1,0))&gt;0),INDEX(Unified_Matrix!$A:$ZZ,3,MATCH("Evolution_Name",Unified_Matrix!$1:$1,0)):INDEX(Unified_Matrix!$A:$ZZ,300,MATCH("Evolution_Name",Unified_Matrix!$1:$1,0)),"")))</f>
        <v/>
      </c>
      <c r="P5" s="20">
        <f t="array" ref="P5">IF(P4=0,"",_xlfn.TEXTJOIN(CHAR(10),TRUE,IF((INDEX(Unified_Matrix!$A:$ZZ,3,MATCH("Max "&amp;P$1,Unified_Matrix!$1:$1,0)):INDEX(Unified_Matrix!$A:$ZZ,300,MATCH("Max "&amp;P$1,Unified_Matrix!$1:$1,0))=P4)*(INDEX(Unified_Matrix!$A:$ZZ,3,MATCH("Max "&amp;P$1,Unified_Matrix!$1:$1,0)):INDEX(Unified_Matrix!$A:$ZZ,300,MATCH("Max "&amp;P$1,Unified_Matrix!$1:$1,0))&gt;0),INDEX(Unified_Matrix!$A:$ZZ,3,MATCH("Evolution_Name",Unified_Matrix!$1:$1,0)):INDEX(Unified_Matrix!$A:$ZZ,300,MATCH("Evolution_Name",Unified_Matrix!$1:$1,0)),"")))</f>
        <v/>
      </c>
      <c r="Q5" s="20">
        <f t="array" ref="Q5">IF(Q4=0,"",_xlfn.TEXTJOIN(CHAR(10),TRUE,IF((INDEX(Unified_Matrix!$A:$ZZ,3,MATCH("Max "&amp;Q$1,Unified_Matrix!$1:$1,0)):INDEX(Unified_Matrix!$A:$ZZ,300,MATCH("Max "&amp;Q$1,Unified_Matrix!$1:$1,0))=Q4)*(INDEX(Unified_Matrix!$A:$ZZ,3,MATCH("Max "&amp;Q$1,Unified_Matrix!$1:$1,0)):INDEX(Unified_Matrix!$A:$ZZ,300,MATCH("Max "&amp;Q$1,Unified_Matrix!$1:$1,0))&gt;0),INDEX(Unified_Matrix!$A:$ZZ,3,MATCH("Evolution_Name",Unified_Matrix!$1:$1,0)):INDEX(Unified_Matrix!$A:$ZZ,300,MATCH("Evolution_Name",Unified_Matrix!$1:$1,0)),"")))</f>
        <v/>
      </c>
      <c r="R5" s="20">
        <f t="array" ref="R5">IF(R4=0,"",_xlfn.TEXTJOIN(CHAR(10),TRUE,IF((INDEX(Unified_Matrix!$A:$ZZ,3,MATCH("Max "&amp;R$1,Unified_Matrix!$1:$1,0)):INDEX(Unified_Matrix!$A:$ZZ,300,MATCH("Max "&amp;R$1,Unified_Matrix!$1:$1,0))=R4)*(INDEX(Unified_Matrix!$A:$ZZ,3,MATCH("Max "&amp;R$1,Unified_Matrix!$1:$1,0)):INDEX(Unified_Matrix!$A:$ZZ,300,MATCH("Max "&amp;R$1,Unified_Matrix!$1:$1,0))&gt;0),INDEX(Unified_Matrix!$A:$ZZ,3,MATCH("Evolution_Name",Unified_Matrix!$1:$1,0)):INDEX(Unified_Matrix!$A:$ZZ,300,MATCH("Evolution_Name",Unified_Matrix!$1:$1,0)),"")))</f>
        <v/>
      </c>
      <c r="S5" s="20">
        <f t="array" ref="S5">IF(S4=0,"",_xlfn.TEXTJOIN(CHAR(10),TRUE,IF((INDEX(Unified_Matrix!$A:$ZZ,3,MATCH("Max "&amp;S$1,Unified_Matrix!$1:$1,0)):INDEX(Unified_Matrix!$A:$ZZ,300,MATCH("Max "&amp;S$1,Unified_Matrix!$1:$1,0))=S4)*(INDEX(Unified_Matrix!$A:$ZZ,3,MATCH("Max "&amp;S$1,Unified_Matrix!$1:$1,0)):INDEX(Unified_Matrix!$A:$ZZ,300,MATCH("Max "&amp;S$1,Unified_Matrix!$1:$1,0))&gt;0),INDEX(Unified_Matrix!$A:$ZZ,3,MATCH("Evolution_Name",Unified_Matrix!$1:$1,0)):INDEX(Unified_Matrix!$A:$ZZ,300,MATCH("Evolution_Name",Unified_Matrix!$1:$1,0)),"")))</f>
        <v/>
      </c>
      <c r="T5" s="20">
        <f t="array" ref="T5">IF(T4=0,"",_xlfn.TEXTJOIN(CHAR(10),TRUE,IF((INDEX(Unified_Matrix!$A:$ZZ,3,MATCH("Max "&amp;T$1,Unified_Matrix!$1:$1,0)):INDEX(Unified_Matrix!$A:$ZZ,300,MATCH("Max "&amp;T$1,Unified_Matrix!$1:$1,0))=T4)*(INDEX(Unified_Matrix!$A:$ZZ,3,MATCH("Max "&amp;T$1,Unified_Matrix!$1:$1,0)):INDEX(Unified_Matrix!$A:$ZZ,300,MATCH("Max "&amp;T$1,Unified_Matrix!$1:$1,0))&gt;0),INDEX(Unified_Matrix!$A:$ZZ,3,MATCH("Evolution_Name",Unified_Matrix!$1:$1,0)):INDEX(Unified_Matrix!$A:$ZZ,300,MATCH("Evolution_Name",Unified_Matrix!$1:$1,0)),"")))</f>
        <v/>
      </c>
      <c r="U5" s="20">
        <f t="array" ref="U5">IF(U4=0,"",_xlfn.TEXTJOIN(CHAR(10),TRUE,IF((INDEX(Unified_Matrix!$A:$ZZ,3,MATCH("Max "&amp;U$1,Unified_Matrix!$1:$1,0)):INDEX(Unified_Matrix!$A:$ZZ,300,MATCH("Max "&amp;U$1,Unified_Matrix!$1:$1,0))=U4)*(INDEX(Unified_Matrix!$A:$ZZ,3,MATCH("Max "&amp;U$1,Unified_Matrix!$1:$1,0)):INDEX(Unified_Matrix!$A:$ZZ,300,MATCH("Max "&amp;U$1,Unified_Matrix!$1:$1,0))&gt;0),INDEX(Unified_Matrix!$A:$ZZ,3,MATCH("Evolution_Name",Unified_Matrix!$1:$1,0)):INDEX(Unified_Matrix!$A:$ZZ,300,MATCH("Evolution_Name",Unified_Matrix!$1:$1,0)),"")))</f>
        <v/>
      </c>
      <c r="V5" s="20">
        <f t="array" ref="V5">IF(V4=0,"",_xlfn.TEXTJOIN(CHAR(10),TRUE,IF((INDEX(Unified_Matrix!$A:$ZZ,3,MATCH("Max "&amp;V$1,Unified_Matrix!$1:$1,0)):INDEX(Unified_Matrix!$A:$ZZ,300,MATCH("Max "&amp;V$1,Unified_Matrix!$1:$1,0))=V4)*(INDEX(Unified_Matrix!$A:$ZZ,3,MATCH("Max "&amp;V$1,Unified_Matrix!$1:$1,0)):INDEX(Unified_Matrix!$A:$ZZ,300,MATCH("Max "&amp;V$1,Unified_Matrix!$1:$1,0))&gt;0),INDEX(Unified_Matrix!$A:$ZZ,3,MATCH("Evolution_Name",Unified_Matrix!$1:$1,0)):INDEX(Unified_Matrix!$A:$ZZ,300,MATCH("Evolution_Name",Unified_Matrix!$1:$1,0)),"")))</f>
        <v/>
      </c>
      <c r="W5" s="20">
        <f t="array" ref="W5">IF(W4=0,"",_xlfn.TEXTJOIN(CHAR(10),TRUE,IF((INDEX(Unified_Matrix!$A:$ZZ,3,MATCH("Max "&amp;W$1,Unified_Matrix!$1:$1,0)):INDEX(Unified_Matrix!$A:$ZZ,300,MATCH("Max "&amp;W$1,Unified_Matrix!$1:$1,0))=W4)*(INDEX(Unified_Matrix!$A:$ZZ,3,MATCH("Max "&amp;W$1,Unified_Matrix!$1:$1,0)):INDEX(Unified_Matrix!$A:$ZZ,300,MATCH("Max "&amp;W$1,Unified_Matrix!$1:$1,0))&gt;0),INDEX(Unified_Matrix!$A:$ZZ,3,MATCH("Evolution_Name",Unified_Matrix!$1:$1,0)):INDEX(Unified_Matrix!$A:$ZZ,300,MATCH("Evolution_Name",Unified_Matrix!$1:$1,0)),"")))</f>
        <v/>
      </c>
      <c r="X5" s="20">
        <f t="array" ref="X5">IF(X4=0,"",_xlfn.TEXTJOIN(CHAR(10),TRUE,IF((INDEX(Unified_Matrix!$A:$ZZ,3,MATCH("Max "&amp;X$1,Unified_Matrix!$1:$1,0)):INDEX(Unified_Matrix!$A:$ZZ,300,MATCH("Max "&amp;X$1,Unified_Matrix!$1:$1,0))=X4)*(INDEX(Unified_Matrix!$A:$ZZ,3,MATCH("Max "&amp;X$1,Unified_Matrix!$1:$1,0)):INDEX(Unified_Matrix!$A:$ZZ,300,MATCH("Max "&amp;X$1,Unified_Matrix!$1:$1,0))&gt;0),INDEX(Unified_Matrix!$A:$ZZ,3,MATCH("Evolution_Name",Unified_Matrix!$1:$1,0)):INDEX(Unified_Matrix!$A:$ZZ,300,MATCH("Evolution_Name",Unified_Matrix!$1:$1,0)),"")))</f>
        <v/>
      </c>
      <c r="Y5" s="20">
        <f t="array" ref="Y5">IF(Y4=0,"",_xlfn.TEXTJOIN(CHAR(10),TRUE,IF((INDEX(Unified_Matrix!$A:$ZZ,3,MATCH("Max "&amp;Y$1,Unified_Matrix!$1:$1,0)):INDEX(Unified_Matrix!$A:$ZZ,300,MATCH("Max "&amp;Y$1,Unified_Matrix!$1:$1,0))=Y4)*(INDEX(Unified_Matrix!$A:$ZZ,3,MATCH("Max "&amp;Y$1,Unified_Matrix!$1:$1,0)):INDEX(Unified_Matrix!$A:$ZZ,300,MATCH("Max "&amp;Y$1,Unified_Matrix!$1:$1,0))&gt;0),INDEX(Unified_Matrix!$A:$ZZ,3,MATCH("Evolution_Name",Unified_Matrix!$1:$1,0)):INDEX(Unified_Matrix!$A:$ZZ,300,MATCH("Evolution_Name",Unified_Matrix!$1:$1,0)),"")))</f>
        <v/>
      </c>
      <c r="Z5" s="20">
        <f t="array" ref="Z5">IF(Z4=0,"",_xlfn.TEXTJOIN(CHAR(10),TRUE,IF((INDEX(Unified_Matrix!$A:$ZZ,3,MATCH("Max "&amp;Z$1,Unified_Matrix!$1:$1,0)):INDEX(Unified_Matrix!$A:$ZZ,300,MATCH("Max "&amp;Z$1,Unified_Matrix!$1:$1,0))=Z4)*(INDEX(Unified_Matrix!$A:$ZZ,3,MATCH("Max "&amp;Z$1,Unified_Matrix!$1:$1,0)):INDEX(Unified_Matrix!$A:$ZZ,300,MATCH("Max "&amp;Z$1,Unified_Matrix!$1:$1,0))&gt;0),INDEX(Unified_Matrix!$A:$ZZ,3,MATCH("Evolution_Name",Unified_Matrix!$1:$1,0)):INDEX(Unified_Matrix!$A:$ZZ,300,MATCH("Evolution_Name",Unified_Matrix!$1:$1,0)),"")))</f>
        <v/>
      </c>
      <c r="AA5" s="20">
        <f t="array" ref="AA5">IF(AA4=0,"",_xlfn.TEXTJOIN(CHAR(10),TRUE,IF((INDEX(Unified_Matrix!$A:$ZZ,3,MATCH("Max "&amp;AA$1,Unified_Matrix!$1:$1,0)):INDEX(Unified_Matrix!$A:$ZZ,300,MATCH("Max "&amp;AA$1,Unified_Matrix!$1:$1,0))=AA4)*(INDEX(Unified_Matrix!$A:$ZZ,3,MATCH("Max "&amp;AA$1,Unified_Matrix!$1:$1,0)):INDEX(Unified_Matrix!$A:$ZZ,300,MATCH("Max "&amp;AA$1,Unified_Matrix!$1:$1,0))&gt;0),INDEX(Unified_Matrix!$A:$ZZ,3,MATCH("Evolution_Name",Unified_Matrix!$1:$1,0)):INDEX(Unified_Matrix!$A:$ZZ,300,MATCH("Evolution_Name",Unified_Matrix!$1:$1,0)),"")))</f>
        <v/>
      </c>
      <c r="AB5" s="20">
        <f t="array" ref="AB5">IF(AB4=0,"",_xlfn.TEXTJOIN(CHAR(10),TRUE,IF((INDEX(Unified_Matrix!$A:$ZZ,3,MATCH("Max "&amp;AB$1,Unified_Matrix!$1:$1,0)):INDEX(Unified_Matrix!$A:$ZZ,300,MATCH("Max "&amp;AB$1,Unified_Matrix!$1:$1,0))=AB4)*(INDEX(Unified_Matrix!$A:$ZZ,3,MATCH("Max "&amp;AB$1,Unified_Matrix!$1:$1,0)):INDEX(Unified_Matrix!$A:$ZZ,300,MATCH("Max "&amp;AB$1,Unified_Matrix!$1:$1,0))&gt;0),INDEX(Unified_Matrix!$A:$ZZ,3,MATCH("Evolution_Name",Unified_Matrix!$1:$1,0)):INDEX(Unified_Matrix!$A:$ZZ,300,MATCH("Evolution_Name",Unified_Matrix!$1:$1,0)),"")))</f>
        <v/>
      </c>
      <c r="AC5" s="20">
        <f t="array" ref="AC5">IF(AC4=0,"",_xlfn.TEXTJOIN(CHAR(10),TRUE,IF((INDEX(Unified_Matrix!$A:$ZZ,3,MATCH("Max "&amp;AC$1,Unified_Matrix!$1:$1,0)):INDEX(Unified_Matrix!$A:$ZZ,300,MATCH("Max "&amp;AC$1,Unified_Matrix!$1:$1,0))=AC4)*(INDEX(Unified_Matrix!$A:$ZZ,3,MATCH("Max "&amp;AC$1,Unified_Matrix!$1:$1,0)):INDEX(Unified_Matrix!$A:$ZZ,300,MATCH("Max "&amp;AC$1,Unified_Matrix!$1:$1,0))&gt;0),INDEX(Unified_Matrix!$A:$ZZ,3,MATCH("Evolution_Name",Unified_Matrix!$1:$1,0)):INDEX(Unified_Matrix!$A:$ZZ,300,MATCH("Evolution_Name",Unified_Matrix!$1:$1,0)),"")))</f>
        <v/>
      </c>
      <c r="AD5" s="20">
        <f t="array" ref="AD5">IF(AD4=0,"",_xlfn.TEXTJOIN(CHAR(10),TRUE,IF((INDEX(Unified_Matrix!$A:$ZZ,3,MATCH("Max "&amp;AD$1,Unified_Matrix!$1:$1,0)):INDEX(Unified_Matrix!$A:$ZZ,300,MATCH("Max "&amp;AD$1,Unified_Matrix!$1:$1,0))=AD4)*(INDEX(Unified_Matrix!$A:$ZZ,3,MATCH("Max "&amp;AD$1,Unified_Matrix!$1:$1,0)):INDEX(Unified_Matrix!$A:$ZZ,300,MATCH("Max "&amp;AD$1,Unified_Matrix!$1:$1,0))&gt;0),INDEX(Unified_Matrix!$A:$ZZ,3,MATCH("Evolution_Name",Unified_Matrix!$1:$1,0)):INDEX(Unified_Matrix!$A:$ZZ,300,MATCH("Evolution_Name",Unified_Matrix!$1:$1,0)),"")))</f>
        <v/>
      </c>
      <c r="AE5" s="20">
        <f t="array" ref="AE5">IF(AE4=0,"",_xlfn.TEXTJOIN(CHAR(10),TRUE,IF((INDEX(Unified_Matrix!$A:$ZZ,3,MATCH("Max "&amp;AE$1,Unified_Matrix!$1:$1,0)):INDEX(Unified_Matrix!$A:$ZZ,300,MATCH("Max "&amp;AE$1,Unified_Matrix!$1:$1,0))=AE4)*(INDEX(Unified_Matrix!$A:$ZZ,3,MATCH("Max "&amp;AE$1,Unified_Matrix!$1:$1,0)):INDEX(Unified_Matrix!$A:$ZZ,300,MATCH("Max "&amp;AE$1,Unified_Matrix!$1:$1,0))&gt;0),INDEX(Unified_Matrix!$A:$ZZ,3,MATCH("Evolution_Name",Unified_Matrix!$1:$1,0)):INDEX(Unified_Matrix!$A:$ZZ,300,MATCH("Evolution_Name",Unified_Matrix!$1:$1,0)),"")))</f>
        <v/>
      </c>
      <c r="AF5" s="20">
        <f t="array" ref="AF5">IF(AF4=0,"",_xlfn.TEXTJOIN(CHAR(10),TRUE,IF((INDEX(Unified_Matrix!$A:$ZZ,3,MATCH("Max "&amp;AF$1,Unified_Matrix!$1:$1,0)):INDEX(Unified_Matrix!$A:$ZZ,300,MATCH("Max "&amp;AF$1,Unified_Matrix!$1:$1,0))=AF4)*(INDEX(Unified_Matrix!$A:$ZZ,3,MATCH("Max "&amp;AF$1,Unified_Matrix!$1:$1,0)):INDEX(Unified_Matrix!$A:$ZZ,300,MATCH("Max "&amp;AF$1,Unified_Matrix!$1:$1,0))&gt;0),INDEX(Unified_Matrix!$A:$ZZ,3,MATCH("Evolution_Name",Unified_Matrix!$1:$1,0)):INDEX(Unified_Matrix!$A:$ZZ,300,MATCH("Evolution_Name",Unified_Matrix!$1:$1,0)),"")))</f>
        <v/>
      </c>
      <c r="AG5" s="20">
        <f t="array" ref="AG5">IF(AG4=0,"",_xlfn.TEXTJOIN(CHAR(10),TRUE,IF((INDEX(Unified_Matrix!$A:$ZZ,3,MATCH("Max "&amp;AG$1,Unified_Matrix!$1:$1,0)):INDEX(Unified_Matrix!$A:$ZZ,300,MATCH("Max "&amp;AG$1,Unified_Matrix!$1:$1,0))=AG4)*(INDEX(Unified_Matrix!$A:$ZZ,3,MATCH("Max "&amp;AG$1,Unified_Matrix!$1:$1,0)):INDEX(Unified_Matrix!$A:$ZZ,300,MATCH("Max "&amp;AG$1,Unified_Matrix!$1:$1,0))&gt;0),INDEX(Unified_Matrix!$A:$ZZ,3,MATCH("Evolution_Name",Unified_Matrix!$1:$1,0)):INDEX(Unified_Matrix!$A:$ZZ,300,MATCH("Evolution_Name",Unified_Matrix!$1:$1,0)),"")))</f>
        <v/>
      </c>
      <c r="AH5" s="20">
        <f t="array" ref="AH5">IF(AH4=0,"",_xlfn.TEXTJOIN(CHAR(10),TRUE,IF((INDEX(Unified_Matrix!$A:$ZZ,3,MATCH("Max "&amp;AH$1,Unified_Matrix!$1:$1,0)):INDEX(Unified_Matrix!$A:$ZZ,300,MATCH("Max "&amp;AH$1,Unified_Matrix!$1:$1,0))=AH4)*(INDEX(Unified_Matrix!$A:$ZZ,3,MATCH("Max "&amp;AH$1,Unified_Matrix!$1:$1,0)):INDEX(Unified_Matrix!$A:$ZZ,300,MATCH("Max "&amp;AH$1,Unified_Matrix!$1:$1,0))&gt;0),INDEX(Unified_Matrix!$A:$ZZ,3,MATCH("Evolution_Name",Unified_Matrix!$1:$1,0)):INDEX(Unified_Matrix!$A:$ZZ,300,MATCH("Evolution_Name",Unified_Matrix!$1:$1,0)),"")))</f>
        <v/>
      </c>
      <c r="AI5" s="20">
        <f t="array" ref="AI5">IF(AI4=0,"",_xlfn.TEXTJOIN(CHAR(10),TRUE,IF((INDEX(Unified_Matrix!$A:$ZZ,3,MATCH("Max "&amp;AI$1,Unified_Matrix!$1:$1,0)):INDEX(Unified_Matrix!$A:$ZZ,300,MATCH("Max "&amp;AI$1,Unified_Matrix!$1:$1,0))=AI4)*(INDEX(Unified_Matrix!$A:$ZZ,3,MATCH("Max "&amp;AI$1,Unified_Matrix!$1:$1,0)):INDEX(Unified_Matrix!$A:$ZZ,300,MATCH("Max "&amp;AI$1,Unified_Matrix!$1:$1,0))&gt;0),INDEX(Unified_Matrix!$A:$ZZ,3,MATCH("Evolution_Name",Unified_Matrix!$1:$1,0)):INDEX(Unified_Matrix!$A:$ZZ,300,MATCH("Evolution_Name",Unified_Matrix!$1:$1,0)),"")))</f>
        <v/>
      </c>
      <c r="AJ5" s="20">
        <f t="array" ref="AJ5">IF(AJ4=0,"",_xlfn.TEXTJOIN(CHAR(10),TRUE,IF((INDEX(Unified_Matrix!$A:$ZZ,3,MATCH("Max "&amp;AJ$1,Unified_Matrix!$1:$1,0)):INDEX(Unified_Matrix!$A:$ZZ,300,MATCH("Max "&amp;AJ$1,Unified_Matrix!$1:$1,0))=AJ4)*(INDEX(Unified_Matrix!$A:$ZZ,3,MATCH("Max "&amp;AJ$1,Unified_Matrix!$1:$1,0)):INDEX(Unified_Matrix!$A:$ZZ,300,MATCH("Max "&amp;AJ$1,Unified_Matrix!$1:$1,0))&gt;0),INDEX(Unified_Matrix!$A:$ZZ,3,MATCH("Evolution_Name",Unified_Matrix!$1:$1,0)):INDEX(Unified_Matrix!$A:$ZZ,300,MATCH("Evolution_Name",Unified_Matrix!$1:$1,0)),"")))</f>
        <v/>
      </c>
      <c r="AK5" s="20">
        <f t="array" ref="AK5">IF(AK4=0,"",_xlfn.TEXTJOIN(CHAR(10),TRUE,IF((INDEX(Unified_Matrix!$A:$ZZ,3,MATCH("Max "&amp;AK$1,Unified_Matrix!$1:$1,0)):INDEX(Unified_Matrix!$A:$ZZ,300,MATCH("Max "&amp;AK$1,Unified_Matrix!$1:$1,0))=AK4)*(INDEX(Unified_Matrix!$A:$ZZ,3,MATCH("Max "&amp;AK$1,Unified_Matrix!$1:$1,0)):INDEX(Unified_Matrix!$A:$ZZ,300,MATCH("Max "&amp;AK$1,Unified_Matrix!$1:$1,0))&gt;0),INDEX(Unified_Matrix!$A:$ZZ,3,MATCH("Evolution_Name",Unified_Matrix!$1:$1,0)):INDEX(Unified_Matrix!$A:$ZZ,300,MATCH("Evolution_Name",Unified_Matrix!$1:$1,0)),"")))</f>
        <v/>
      </c>
      <c r="AL5" s="20">
        <f t="array" ref="AL5">IF(AL4=0,"",_xlfn.TEXTJOIN(CHAR(10),TRUE,IF((INDEX(Unified_Matrix!$A:$ZZ,3,MATCH("Max "&amp;AL$1,Unified_Matrix!$1:$1,0)):INDEX(Unified_Matrix!$A:$ZZ,300,MATCH("Max "&amp;AL$1,Unified_Matrix!$1:$1,0))=AL4)*(INDEX(Unified_Matrix!$A:$ZZ,3,MATCH("Max "&amp;AL$1,Unified_Matrix!$1:$1,0)):INDEX(Unified_Matrix!$A:$ZZ,300,MATCH("Max "&amp;AL$1,Unified_Matrix!$1:$1,0))&gt;0),INDEX(Unified_Matrix!$A:$ZZ,3,MATCH("Evolution_Name",Unified_Matrix!$1:$1,0)):INDEX(Unified_Matrix!$A:$ZZ,300,MATCH("Evolution_Name",Unified_Matrix!$1:$1,0)),"")))</f>
        <v/>
      </c>
      <c r="AM5" s="20">
        <f t="array" ref="AM5">IF(AM4=0,"",_xlfn.TEXTJOIN(CHAR(10),TRUE,IF((INDEX(Unified_Matrix!$A:$ZZ,3,MATCH("Max "&amp;AM$1,Unified_Matrix!$1:$1,0)):INDEX(Unified_Matrix!$A:$ZZ,300,MATCH("Max "&amp;AM$1,Unified_Matrix!$1:$1,0))=AM4)*(INDEX(Unified_Matrix!$A:$ZZ,3,MATCH("Max "&amp;AM$1,Unified_Matrix!$1:$1,0)):INDEX(Unified_Matrix!$A:$ZZ,300,MATCH("Max "&amp;AM$1,Unified_Matrix!$1:$1,0))&gt;0),INDEX(Unified_Matrix!$A:$ZZ,3,MATCH("Evolution_Name",Unified_Matrix!$1:$1,0)):INDEX(Unified_Matrix!$A:$ZZ,300,MATCH("Evolution_Name",Unified_Matrix!$1:$1,0)),"")))</f>
        <v/>
      </c>
      <c r="AN5" s="20">
        <f t="array" ref="AN5">IF(AN4=0,"",_xlfn.TEXTJOIN(CHAR(10),TRUE,IF((INDEX(Unified_Matrix!$A:$ZZ,3,MATCH("Max "&amp;AN$1,Unified_Matrix!$1:$1,0)):INDEX(Unified_Matrix!$A:$ZZ,300,MATCH("Max "&amp;AN$1,Unified_Matrix!$1:$1,0))=AN4)*(INDEX(Unified_Matrix!$A:$ZZ,3,MATCH("Max "&amp;AN$1,Unified_Matrix!$1:$1,0)):INDEX(Unified_Matrix!$A:$ZZ,300,MATCH("Max "&amp;AN$1,Unified_Matrix!$1:$1,0))&gt;0),INDEX(Unified_Matrix!$A:$ZZ,3,MATCH("Evolution_Name",Unified_Matrix!$1:$1,0)):INDEX(Unified_Matrix!$A:$ZZ,300,MATCH("Evolution_Name",Unified_Matrix!$1:$1,0)),"")))</f>
        <v/>
      </c>
      <c r="AO5" s="20">
        <f t="array" ref="AO5">IF(AO4=0,"",_xlfn.TEXTJOIN(CHAR(10),TRUE,IF((INDEX(Unified_Matrix!$A:$ZZ,3,MATCH("Max "&amp;AO$1,Unified_Matrix!$1:$1,0)):INDEX(Unified_Matrix!$A:$ZZ,300,MATCH("Max "&amp;AO$1,Unified_Matrix!$1:$1,0))=AO4)*(INDEX(Unified_Matrix!$A:$ZZ,3,MATCH("Max "&amp;AO$1,Unified_Matrix!$1:$1,0)):INDEX(Unified_Matrix!$A:$ZZ,300,MATCH("Max "&amp;AO$1,Unified_Matrix!$1:$1,0))&gt;0),INDEX(Unified_Matrix!$A:$ZZ,3,MATCH("Evolution_Name",Unified_Matrix!$1:$1,0)):INDEX(Unified_Matrix!$A:$ZZ,300,MATCH("Evolution_Name",Unified_Matrix!$1:$1,0)),"")))</f>
        <v/>
      </c>
      <c r="AP5" s="20">
        <f t="array" ref="AP5">IF(AP4=0,"",_xlfn.TEXTJOIN(CHAR(10),TRUE,IF((INDEX(Unified_Matrix!$A:$ZZ,3,MATCH("Max "&amp;AP$1,Unified_Matrix!$1:$1,0)):INDEX(Unified_Matrix!$A:$ZZ,300,MATCH("Max "&amp;AP$1,Unified_Matrix!$1:$1,0))=AP4)*(INDEX(Unified_Matrix!$A:$ZZ,3,MATCH("Max "&amp;AP$1,Unified_Matrix!$1:$1,0)):INDEX(Unified_Matrix!$A:$ZZ,300,MATCH("Max "&amp;AP$1,Unified_Matrix!$1:$1,0))&gt;0),INDEX(Unified_Matrix!$A:$ZZ,3,MATCH("Evolution_Name",Unified_Matrix!$1:$1,0)):INDEX(Unified_Matrix!$A:$ZZ,300,MATCH("Evolution_Name",Unified_Matrix!$1:$1,0)),"")))</f>
        <v/>
      </c>
      <c r="AQ5" s="20">
        <f t="array" ref="AQ5">IF(AQ4=0,"",_xlfn.TEXTJOIN(CHAR(10),TRUE,IF((INDEX(Unified_Matrix!$A:$ZZ,3,MATCH("Max "&amp;AQ$1,Unified_Matrix!$1:$1,0)):INDEX(Unified_Matrix!$A:$ZZ,300,MATCH("Max "&amp;AQ$1,Unified_Matrix!$1:$1,0))=AQ4)*(INDEX(Unified_Matrix!$A:$ZZ,3,MATCH("Max "&amp;AQ$1,Unified_Matrix!$1:$1,0)):INDEX(Unified_Matrix!$A:$ZZ,300,MATCH("Max "&amp;AQ$1,Unified_Matrix!$1:$1,0))&gt;0),INDEX(Unified_Matrix!$A:$ZZ,3,MATCH("Evolution_Name",Unified_Matrix!$1:$1,0)):INDEX(Unified_Matrix!$A:$ZZ,300,MATCH("Evolution_Name",Unified_Matrix!$1:$1,0)),"")))</f>
        <v/>
      </c>
      <c r="AR5" s="20">
        <f t="array" ref="AR5">IF(AR4=0,"",_xlfn.TEXTJOIN(CHAR(10),TRUE,IF((INDEX(Unified_Matrix!$A:$ZZ,3,MATCH("Max "&amp;AR$1,Unified_Matrix!$1:$1,0)):INDEX(Unified_Matrix!$A:$ZZ,300,MATCH("Max "&amp;AR$1,Unified_Matrix!$1:$1,0))=AR4)*(INDEX(Unified_Matrix!$A:$ZZ,3,MATCH("Max "&amp;AR$1,Unified_Matrix!$1:$1,0)):INDEX(Unified_Matrix!$A:$ZZ,300,MATCH("Max "&amp;AR$1,Unified_Matrix!$1:$1,0))&gt;0),INDEX(Unified_Matrix!$A:$ZZ,3,MATCH("Evolution_Name",Unified_Matrix!$1:$1,0)):INDEX(Unified_Matrix!$A:$ZZ,300,MATCH("Evolution_Name",Unified_Matrix!$1:$1,0)),"")))</f>
        <v/>
      </c>
      <c r="AS5" s="20">
        <f t="array" ref="AS5">IF(AS4=0,"",_xlfn.TEXTJOIN(CHAR(10),TRUE,IF((INDEX(Unified_Matrix!$A:$ZZ,3,MATCH("Max "&amp;AS$1,Unified_Matrix!$1:$1,0)):INDEX(Unified_Matrix!$A:$ZZ,300,MATCH("Max "&amp;AS$1,Unified_Matrix!$1:$1,0))=AS4)*(INDEX(Unified_Matrix!$A:$ZZ,3,MATCH("Max "&amp;AS$1,Unified_Matrix!$1:$1,0)):INDEX(Unified_Matrix!$A:$ZZ,300,MATCH("Max "&amp;AS$1,Unified_Matrix!$1:$1,0))&gt;0),INDEX(Unified_Matrix!$A:$ZZ,3,MATCH("Evolution_Name",Unified_Matrix!$1:$1,0)):INDEX(Unified_Matrix!$A:$ZZ,300,MATCH("Evolution_Name",Unified_Matrix!$1:$1,0)),"")))</f>
        <v/>
      </c>
      <c r="AT5" s="20">
        <f t="array" ref="AT5">IF(AT4=0,"",_xlfn.TEXTJOIN(CHAR(10),TRUE,IF((INDEX(Unified_Matrix!$A:$ZZ,3,MATCH("Max "&amp;AT$1,Unified_Matrix!$1:$1,0)):INDEX(Unified_Matrix!$A:$ZZ,300,MATCH("Max "&amp;AT$1,Unified_Matrix!$1:$1,0))=AT4)*(INDEX(Unified_Matrix!$A:$ZZ,3,MATCH("Max "&amp;AT$1,Unified_Matrix!$1:$1,0)):INDEX(Unified_Matrix!$A:$ZZ,300,MATCH("Max "&amp;AT$1,Unified_Matrix!$1:$1,0))&gt;0),INDEX(Unified_Matrix!$A:$ZZ,3,MATCH("Evolution_Name",Unified_Matrix!$1:$1,0)):INDEX(Unified_Matrix!$A:$ZZ,300,MATCH("Evolution_Name",Unified_Matrix!$1:$1,0)),"")))</f>
        <v/>
      </c>
    </row>
    <row r="6">
      <c r="H6" s="17" t="inlineStr">
        <is>
          <t>3위</t>
        </is>
      </c>
      <c r="I6" s="18" t="inlineStr">
        <is>
          <t>MAX</t>
        </is>
      </c>
      <c r="J6" s="20">
        <f>_xlfn.MAXIFS(INDEX(Unified_Matrix!$A:$ZZ,3,MATCH("Max "&amp;J$1,Unified_Matrix!$1:$1,0)):INDEX(Unified_Matrix!$A:$ZZ,300,MATCH("Max "&amp;J$1,Unified_Matrix!$1:$1,0)),INDEX(Unified_Matrix!$A:$ZZ,3,MATCH("Max "&amp;J$1,Unified_Matrix!$1:$1,0)):INDEX(Unified_Matrix!$A:$ZZ,300,MATCH("Max "&amp;J$1,Unified_Matrix!$1:$1,0)),"&lt;"&amp;J4,INDEX(Unified_Matrix!$A:$ZZ,3,MATCH("Max "&amp;J$1,Unified_Matrix!$1:$1,0)):INDEX(Unified_Matrix!$A:$ZZ,300,MATCH("Max "&amp;J$1,Unified_Matrix!$1:$1,0)),"&gt;0")</f>
        <v/>
      </c>
      <c r="K6" s="20">
        <f>_xlfn.MAXIFS(INDEX(Unified_Matrix!$A:$ZZ,3,MATCH("Max "&amp;K$1,Unified_Matrix!$1:$1,0)):INDEX(Unified_Matrix!$A:$ZZ,300,MATCH("Max "&amp;K$1,Unified_Matrix!$1:$1,0)),INDEX(Unified_Matrix!$A:$ZZ,3,MATCH("Max "&amp;K$1,Unified_Matrix!$1:$1,0)):INDEX(Unified_Matrix!$A:$ZZ,300,MATCH("Max "&amp;K$1,Unified_Matrix!$1:$1,0)),"&lt;"&amp;K4,INDEX(Unified_Matrix!$A:$ZZ,3,MATCH("Max "&amp;K$1,Unified_Matrix!$1:$1,0)):INDEX(Unified_Matrix!$A:$ZZ,300,MATCH("Max "&amp;K$1,Unified_Matrix!$1:$1,0)),"&gt;0")</f>
        <v/>
      </c>
      <c r="L6" s="20">
        <f>_xlfn.MAXIFS(INDEX(Unified_Matrix!$A:$ZZ,3,MATCH("Max "&amp;L$1,Unified_Matrix!$1:$1,0)):INDEX(Unified_Matrix!$A:$ZZ,300,MATCH("Max "&amp;L$1,Unified_Matrix!$1:$1,0)),INDEX(Unified_Matrix!$A:$ZZ,3,MATCH("Max "&amp;L$1,Unified_Matrix!$1:$1,0)):INDEX(Unified_Matrix!$A:$ZZ,300,MATCH("Max "&amp;L$1,Unified_Matrix!$1:$1,0)),"&lt;"&amp;L4,INDEX(Unified_Matrix!$A:$ZZ,3,MATCH("Max "&amp;L$1,Unified_Matrix!$1:$1,0)):INDEX(Unified_Matrix!$A:$ZZ,300,MATCH("Max "&amp;L$1,Unified_Matrix!$1:$1,0)),"&gt;0")</f>
        <v/>
      </c>
      <c r="M6" s="20">
        <f>_xlfn.MAXIFS(INDEX(Unified_Matrix!$A:$ZZ,3,MATCH("Max "&amp;M$1,Unified_Matrix!$1:$1,0)):INDEX(Unified_Matrix!$A:$ZZ,300,MATCH("Max "&amp;M$1,Unified_Matrix!$1:$1,0)),INDEX(Unified_Matrix!$A:$ZZ,3,MATCH("Max "&amp;M$1,Unified_Matrix!$1:$1,0)):INDEX(Unified_Matrix!$A:$ZZ,300,MATCH("Max "&amp;M$1,Unified_Matrix!$1:$1,0)),"&lt;"&amp;M4,INDEX(Unified_Matrix!$A:$ZZ,3,MATCH("Max "&amp;M$1,Unified_Matrix!$1:$1,0)):INDEX(Unified_Matrix!$A:$ZZ,300,MATCH("Max "&amp;M$1,Unified_Matrix!$1:$1,0)),"&gt;0")</f>
        <v/>
      </c>
      <c r="N6" s="20">
        <f>_xlfn.MAXIFS(INDEX(Unified_Matrix!$A:$ZZ,3,MATCH("Max "&amp;N$1,Unified_Matrix!$1:$1,0)):INDEX(Unified_Matrix!$A:$ZZ,300,MATCH("Max "&amp;N$1,Unified_Matrix!$1:$1,0)),INDEX(Unified_Matrix!$A:$ZZ,3,MATCH("Max "&amp;N$1,Unified_Matrix!$1:$1,0)):INDEX(Unified_Matrix!$A:$ZZ,300,MATCH("Max "&amp;N$1,Unified_Matrix!$1:$1,0)),"&lt;"&amp;N4,INDEX(Unified_Matrix!$A:$ZZ,3,MATCH("Max "&amp;N$1,Unified_Matrix!$1:$1,0)):INDEX(Unified_Matrix!$A:$ZZ,300,MATCH("Max "&amp;N$1,Unified_Matrix!$1:$1,0)),"&gt;0")</f>
        <v/>
      </c>
      <c r="O6" s="20">
        <f>_xlfn.MAXIFS(INDEX(Unified_Matrix!$A:$ZZ,3,MATCH("Max "&amp;O$1,Unified_Matrix!$1:$1,0)):INDEX(Unified_Matrix!$A:$ZZ,300,MATCH("Max "&amp;O$1,Unified_Matrix!$1:$1,0)),INDEX(Unified_Matrix!$A:$ZZ,3,MATCH("Max "&amp;O$1,Unified_Matrix!$1:$1,0)):INDEX(Unified_Matrix!$A:$ZZ,300,MATCH("Max "&amp;O$1,Unified_Matrix!$1:$1,0)),"&lt;"&amp;O4,INDEX(Unified_Matrix!$A:$ZZ,3,MATCH("Max "&amp;O$1,Unified_Matrix!$1:$1,0)):INDEX(Unified_Matrix!$A:$ZZ,300,MATCH("Max "&amp;O$1,Unified_Matrix!$1:$1,0)),"&gt;0")</f>
        <v/>
      </c>
      <c r="P6" s="20">
        <f>_xlfn.MAXIFS(INDEX(Unified_Matrix!$A:$ZZ,3,MATCH("Max "&amp;P$1,Unified_Matrix!$1:$1,0)):INDEX(Unified_Matrix!$A:$ZZ,300,MATCH("Max "&amp;P$1,Unified_Matrix!$1:$1,0)),INDEX(Unified_Matrix!$A:$ZZ,3,MATCH("Max "&amp;P$1,Unified_Matrix!$1:$1,0)):INDEX(Unified_Matrix!$A:$ZZ,300,MATCH("Max "&amp;P$1,Unified_Matrix!$1:$1,0)),"&lt;"&amp;P4,INDEX(Unified_Matrix!$A:$ZZ,3,MATCH("Max "&amp;P$1,Unified_Matrix!$1:$1,0)):INDEX(Unified_Matrix!$A:$ZZ,300,MATCH("Max "&amp;P$1,Unified_Matrix!$1:$1,0)),"&gt;0")</f>
        <v/>
      </c>
      <c r="Q6" s="20">
        <f>_xlfn.MAXIFS(INDEX(Unified_Matrix!$A:$ZZ,3,MATCH("Max "&amp;Q$1,Unified_Matrix!$1:$1,0)):INDEX(Unified_Matrix!$A:$ZZ,300,MATCH("Max "&amp;Q$1,Unified_Matrix!$1:$1,0)),INDEX(Unified_Matrix!$A:$ZZ,3,MATCH("Max "&amp;Q$1,Unified_Matrix!$1:$1,0)):INDEX(Unified_Matrix!$A:$ZZ,300,MATCH("Max "&amp;Q$1,Unified_Matrix!$1:$1,0)),"&lt;"&amp;Q4,INDEX(Unified_Matrix!$A:$ZZ,3,MATCH("Max "&amp;Q$1,Unified_Matrix!$1:$1,0)):INDEX(Unified_Matrix!$A:$ZZ,300,MATCH("Max "&amp;Q$1,Unified_Matrix!$1:$1,0)),"&gt;0")</f>
        <v/>
      </c>
      <c r="R6" s="20">
        <f>_xlfn.MAXIFS(INDEX(Unified_Matrix!$A:$ZZ,3,MATCH("Max "&amp;R$1,Unified_Matrix!$1:$1,0)):INDEX(Unified_Matrix!$A:$ZZ,300,MATCH("Max "&amp;R$1,Unified_Matrix!$1:$1,0)),INDEX(Unified_Matrix!$A:$ZZ,3,MATCH("Max "&amp;R$1,Unified_Matrix!$1:$1,0)):INDEX(Unified_Matrix!$A:$ZZ,300,MATCH("Max "&amp;R$1,Unified_Matrix!$1:$1,0)),"&lt;"&amp;R4,INDEX(Unified_Matrix!$A:$ZZ,3,MATCH("Max "&amp;R$1,Unified_Matrix!$1:$1,0)):INDEX(Unified_Matrix!$A:$ZZ,300,MATCH("Max "&amp;R$1,Unified_Matrix!$1:$1,0)),"&gt;0")</f>
        <v/>
      </c>
      <c r="S6" s="20">
        <f>_xlfn.MAXIFS(INDEX(Unified_Matrix!$A:$ZZ,3,MATCH("Max "&amp;S$1,Unified_Matrix!$1:$1,0)):INDEX(Unified_Matrix!$A:$ZZ,300,MATCH("Max "&amp;S$1,Unified_Matrix!$1:$1,0)),INDEX(Unified_Matrix!$A:$ZZ,3,MATCH("Max "&amp;S$1,Unified_Matrix!$1:$1,0)):INDEX(Unified_Matrix!$A:$ZZ,300,MATCH("Max "&amp;S$1,Unified_Matrix!$1:$1,0)),"&lt;"&amp;S4,INDEX(Unified_Matrix!$A:$ZZ,3,MATCH("Max "&amp;S$1,Unified_Matrix!$1:$1,0)):INDEX(Unified_Matrix!$A:$ZZ,300,MATCH("Max "&amp;S$1,Unified_Matrix!$1:$1,0)),"&gt;0")</f>
        <v/>
      </c>
      <c r="T6" s="20">
        <f>_xlfn.MAXIFS(INDEX(Unified_Matrix!$A:$ZZ,3,MATCH("Max "&amp;T$1,Unified_Matrix!$1:$1,0)):INDEX(Unified_Matrix!$A:$ZZ,300,MATCH("Max "&amp;T$1,Unified_Matrix!$1:$1,0)),INDEX(Unified_Matrix!$A:$ZZ,3,MATCH("Max "&amp;T$1,Unified_Matrix!$1:$1,0)):INDEX(Unified_Matrix!$A:$ZZ,300,MATCH("Max "&amp;T$1,Unified_Matrix!$1:$1,0)),"&lt;"&amp;T4,INDEX(Unified_Matrix!$A:$ZZ,3,MATCH("Max "&amp;T$1,Unified_Matrix!$1:$1,0)):INDEX(Unified_Matrix!$A:$ZZ,300,MATCH("Max "&amp;T$1,Unified_Matrix!$1:$1,0)),"&gt;0")</f>
        <v/>
      </c>
      <c r="U6" s="20">
        <f>_xlfn.MAXIFS(INDEX(Unified_Matrix!$A:$ZZ,3,MATCH("Max "&amp;U$1,Unified_Matrix!$1:$1,0)):INDEX(Unified_Matrix!$A:$ZZ,300,MATCH("Max "&amp;U$1,Unified_Matrix!$1:$1,0)),INDEX(Unified_Matrix!$A:$ZZ,3,MATCH("Max "&amp;U$1,Unified_Matrix!$1:$1,0)):INDEX(Unified_Matrix!$A:$ZZ,300,MATCH("Max "&amp;U$1,Unified_Matrix!$1:$1,0)),"&lt;"&amp;U4,INDEX(Unified_Matrix!$A:$ZZ,3,MATCH("Max "&amp;U$1,Unified_Matrix!$1:$1,0)):INDEX(Unified_Matrix!$A:$ZZ,300,MATCH("Max "&amp;U$1,Unified_Matrix!$1:$1,0)),"&gt;0")</f>
        <v/>
      </c>
      <c r="V6" s="20">
        <f>_xlfn.MAXIFS(INDEX(Unified_Matrix!$A:$ZZ,3,MATCH("Max "&amp;V$1,Unified_Matrix!$1:$1,0)):INDEX(Unified_Matrix!$A:$ZZ,300,MATCH("Max "&amp;V$1,Unified_Matrix!$1:$1,0)),INDEX(Unified_Matrix!$A:$ZZ,3,MATCH("Max "&amp;V$1,Unified_Matrix!$1:$1,0)):INDEX(Unified_Matrix!$A:$ZZ,300,MATCH("Max "&amp;V$1,Unified_Matrix!$1:$1,0)),"&lt;"&amp;V4,INDEX(Unified_Matrix!$A:$ZZ,3,MATCH("Max "&amp;V$1,Unified_Matrix!$1:$1,0)):INDEX(Unified_Matrix!$A:$ZZ,300,MATCH("Max "&amp;V$1,Unified_Matrix!$1:$1,0)),"&gt;0")</f>
        <v/>
      </c>
      <c r="W6" s="20">
        <f>_xlfn.MAXIFS(INDEX(Unified_Matrix!$A:$ZZ,3,MATCH("Max "&amp;W$1,Unified_Matrix!$1:$1,0)):INDEX(Unified_Matrix!$A:$ZZ,300,MATCH("Max "&amp;W$1,Unified_Matrix!$1:$1,0)),INDEX(Unified_Matrix!$A:$ZZ,3,MATCH("Max "&amp;W$1,Unified_Matrix!$1:$1,0)):INDEX(Unified_Matrix!$A:$ZZ,300,MATCH("Max "&amp;W$1,Unified_Matrix!$1:$1,0)),"&lt;"&amp;W4,INDEX(Unified_Matrix!$A:$ZZ,3,MATCH("Max "&amp;W$1,Unified_Matrix!$1:$1,0)):INDEX(Unified_Matrix!$A:$ZZ,300,MATCH("Max "&amp;W$1,Unified_Matrix!$1:$1,0)),"&gt;0")</f>
        <v/>
      </c>
      <c r="X6" s="20">
        <f>_xlfn.MAXIFS(INDEX(Unified_Matrix!$A:$ZZ,3,MATCH("Max "&amp;X$1,Unified_Matrix!$1:$1,0)):INDEX(Unified_Matrix!$A:$ZZ,300,MATCH("Max "&amp;X$1,Unified_Matrix!$1:$1,0)),INDEX(Unified_Matrix!$A:$ZZ,3,MATCH("Max "&amp;X$1,Unified_Matrix!$1:$1,0)):INDEX(Unified_Matrix!$A:$ZZ,300,MATCH("Max "&amp;X$1,Unified_Matrix!$1:$1,0)),"&lt;"&amp;X4,INDEX(Unified_Matrix!$A:$ZZ,3,MATCH("Max "&amp;X$1,Unified_Matrix!$1:$1,0)):INDEX(Unified_Matrix!$A:$ZZ,300,MATCH("Max "&amp;X$1,Unified_Matrix!$1:$1,0)),"&gt;0")</f>
        <v/>
      </c>
      <c r="Y6" s="20">
        <f>_xlfn.MAXIFS(INDEX(Unified_Matrix!$A:$ZZ,3,MATCH("Max "&amp;Y$1,Unified_Matrix!$1:$1,0)):INDEX(Unified_Matrix!$A:$ZZ,300,MATCH("Max "&amp;Y$1,Unified_Matrix!$1:$1,0)),INDEX(Unified_Matrix!$A:$ZZ,3,MATCH("Max "&amp;Y$1,Unified_Matrix!$1:$1,0)):INDEX(Unified_Matrix!$A:$ZZ,300,MATCH("Max "&amp;Y$1,Unified_Matrix!$1:$1,0)),"&lt;"&amp;Y4,INDEX(Unified_Matrix!$A:$ZZ,3,MATCH("Max "&amp;Y$1,Unified_Matrix!$1:$1,0)):INDEX(Unified_Matrix!$A:$ZZ,300,MATCH("Max "&amp;Y$1,Unified_Matrix!$1:$1,0)),"&gt;0")</f>
        <v/>
      </c>
      <c r="Z6" s="20">
        <f>_xlfn.MAXIFS(INDEX(Unified_Matrix!$A:$ZZ,3,MATCH("Max "&amp;Z$1,Unified_Matrix!$1:$1,0)):INDEX(Unified_Matrix!$A:$ZZ,300,MATCH("Max "&amp;Z$1,Unified_Matrix!$1:$1,0)),INDEX(Unified_Matrix!$A:$ZZ,3,MATCH("Max "&amp;Z$1,Unified_Matrix!$1:$1,0)):INDEX(Unified_Matrix!$A:$ZZ,300,MATCH("Max "&amp;Z$1,Unified_Matrix!$1:$1,0)),"&lt;"&amp;Z4,INDEX(Unified_Matrix!$A:$ZZ,3,MATCH("Max "&amp;Z$1,Unified_Matrix!$1:$1,0)):INDEX(Unified_Matrix!$A:$ZZ,300,MATCH("Max "&amp;Z$1,Unified_Matrix!$1:$1,0)),"&gt;0")</f>
        <v/>
      </c>
      <c r="AA6" s="20">
        <f>_xlfn.MAXIFS(INDEX(Unified_Matrix!$A:$ZZ,3,MATCH("Max "&amp;AA$1,Unified_Matrix!$1:$1,0)):INDEX(Unified_Matrix!$A:$ZZ,300,MATCH("Max "&amp;AA$1,Unified_Matrix!$1:$1,0)),INDEX(Unified_Matrix!$A:$ZZ,3,MATCH("Max "&amp;AA$1,Unified_Matrix!$1:$1,0)):INDEX(Unified_Matrix!$A:$ZZ,300,MATCH("Max "&amp;AA$1,Unified_Matrix!$1:$1,0)),"&lt;"&amp;AA4,INDEX(Unified_Matrix!$A:$ZZ,3,MATCH("Max "&amp;AA$1,Unified_Matrix!$1:$1,0)):INDEX(Unified_Matrix!$A:$ZZ,300,MATCH("Max "&amp;AA$1,Unified_Matrix!$1:$1,0)),"&gt;0")</f>
        <v/>
      </c>
      <c r="AB6" s="20">
        <f>_xlfn.MAXIFS(INDEX(Unified_Matrix!$A:$ZZ,3,MATCH("Max "&amp;AB$1,Unified_Matrix!$1:$1,0)):INDEX(Unified_Matrix!$A:$ZZ,300,MATCH("Max "&amp;AB$1,Unified_Matrix!$1:$1,0)),INDEX(Unified_Matrix!$A:$ZZ,3,MATCH("Max "&amp;AB$1,Unified_Matrix!$1:$1,0)):INDEX(Unified_Matrix!$A:$ZZ,300,MATCH("Max "&amp;AB$1,Unified_Matrix!$1:$1,0)),"&lt;"&amp;AB4,INDEX(Unified_Matrix!$A:$ZZ,3,MATCH("Max "&amp;AB$1,Unified_Matrix!$1:$1,0)):INDEX(Unified_Matrix!$A:$ZZ,300,MATCH("Max "&amp;AB$1,Unified_Matrix!$1:$1,0)),"&gt;0")</f>
        <v/>
      </c>
      <c r="AC6" s="20">
        <f>_xlfn.MAXIFS(INDEX(Unified_Matrix!$A:$ZZ,3,MATCH("Max "&amp;AC$1,Unified_Matrix!$1:$1,0)):INDEX(Unified_Matrix!$A:$ZZ,300,MATCH("Max "&amp;AC$1,Unified_Matrix!$1:$1,0)),INDEX(Unified_Matrix!$A:$ZZ,3,MATCH("Max "&amp;AC$1,Unified_Matrix!$1:$1,0)):INDEX(Unified_Matrix!$A:$ZZ,300,MATCH("Max "&amp;AC$1,Unified_Matrix!$1:$1,0)),"&lt;"&amp;AC4,INDEX(Unified_Matrix!$A:$ZZ,3,MATCH("Max "&amp;AC$1,Unified_Matrix!$1:$1,0)):INDEX(Unified_Matrix!$A:$ZZ,300,MATCH("Max "&amp;AC$1,Unified_Matrix!$1:$1,0)),"&gt;0")</f>
        <v/>
      </c>
      <c r="AD6" s="20">
        <f>_xlfn.MAXIFS(INDEX(Unified_Matrix!$A:$ZZ,3,MATCH("Max "&amp;AD$1,Unified_Matrix!$1:$1,0)):INDEX(Unified_Matrix!$A:$ZZ,300,MATCH("Max "&amp;AD$1,Unified_Matrix!$1:$1,0)),INDEX(Unified_Matrix!$A:$ZZ,3,MATCH("Max "&amp;AD$1,Unified_Matrix!$1:$1,0)):INDEX(Unified_Matrix!$A:$ZZ,300,MATCH("Max "&amp;AD$1,Unified_Matrix!$1:$1,0)),"&lt;"&amp;AD4,INDEX(Unified_Matrix!$A:$ZZ,3,MATCH("Max "&amp;AD$1,Unified_Matrix!$1:$1,0)):INDEX(Unified_Matrix!$A:$ZZ,300,MATCH("Max "&amp;AD$1,Unified_Matrix!$1:$1,0)),"&gt;0")</f>
        <v/>
      </c>
      <c r="AE6" s="20">
        <f>_xlfn.MAXIFS(INDEX(Unified_Matrix!$A:$ZZ,3,MATCH("Max "&amp;AE$1,Unified_Matrix!$1:$1,0)):INDEX(Unified_Matrix!$A:$ZZ,300,MATCH("Max "&amp;AE$1,Unified_Matrix!$1:$1,0)),INDEX(Unified_Matrix!$A:$ZZ,3,MATCH("Max "&amp;AE$1,Unified_Matrix!$1:$1,0)):INDEX(Unified_Matrix!$A:$ZZ,300,MATCH("Max "&amp;AE$1,Unified_Matrix!$1:$1,0)),"&lt;"&amp;AE4,INDEX(Unified_Matrix!$A:$ZZ,3,MATCH("Max "&amp;AE$1,Unified_Matrix!$1:$1,0)):INDEX(Unified_Matrix!$A:$ZZ,300,MATCH("Max "&amp;AE$1,Unified_Matrix!$1:$1,0)),"&gt;0")</f>
        <v/>
      </c>
      <c r="AF6" s="20">
        <f>_xlfn.MAXIFS(INDEX(Unified_Matrix!$A:$ZZ,3,MATCH("Max "&amp;AF$1,Unified_Matrix!$1:$1,0)):INDEX(Unified_Matrix!$A:$ZZ,300,MATCH("Max "&amp;AF$1,Unified_Matrix!$1:$1,0)),INDEX(Unified_Matrix!$A:$ZZ,3,MATCH("Max "&amp;AF$1,Unified_Matrix!$1:$1,0)):INDEX(Unified_Matrix!$A:$ZZ,300,MATCH("Max "&amp;AF$1,Unified_Matrix!$1:$1,0)),"&lt;"&amp;AF4,INDEX(Unified_Matrix!$A:$ZZ,3,MATCH("Max "&amp;AF$1,Unified_Matrix!$1:$1,0)):INDEX(Unified_Matrix!$A:$ZZ,300,MATCH("Max "&amp;AF$1,Unified_Matrix!$1:$1,0)),"&gt;0")</f>
        <v/>
      </c>
      <c r="AG6" s="20">
        <f>_xlfn.MAXIFS(INDEX(Unified_Matrix!$A:$ZZ,3,MATCH("Max "&amp;AG$1,Unified_Matrix!$1:$1,0)):INDEX(Unified_Matrix!$A:$ZZ,300,MATCH("Max "&amp;AG$1,Unified_Matrix!$1:$1,0)),INDEX(Unified_Matrix!$A:$ZZ,3,MATCH("Max "&amp;AG$1,Unified_Matrix!$1:$1,0)):INDEX(Unified_Matrix!$A:$ZZ,300,MATCH("Max "&amp;AG$1,Unified_Matrix!$1:$1,0)),"&lt;"&amp;AG4,INDEX(Unified_Matrix!$A:$ZZ,3,MATCH("Max "&amp;AG$1,Unified_Matrix!$1:$1,0)):INDEX(Unified_Matrix!$A:$ZZ,300,MATCH("Max "&amp;AG$1,Unified_Matrix!$1:$1,0)),"&gt;0")</f>
        <v/>
      </c>
      <c r="AH6" s="20">
        <f>_xlfn.MAXIFS(INDEX(Unified_Matrix!$A:$ZZ,3,MATCH("Max "&amp;AH$1,Unified_Matrix!$1:$1,0)):INDEX(Unified_Matrix!$A:$ZZ,300,MATCH("Max "&amp;AH$1,Unified_Matrix!$1:$1,0)),INDEX(Unified_Matrix!$A:$ZZ,3,MATCH("Max "&amp;AH$1,Unified_Matrix!$1:$1,0)):INDEX(Unified_Matrix!$A:$ZZ,300,MATCH("Max "&amp;AH$1,Unified_Matrix!$1:$1,0)),"&lt;"&amp;AH4,INDEX(Unified_Matrix!$A:$ZZ,3,MATCH("Max "&amp;AH$1,Unified_Matrix!$1:$1,0)):INDEX(Unified_Matrix!$A:$ZZ,300,MATCH("Max "&amp;AH$1,Unified_Matrix!$1:$1,0)),"&gt;0")</f>
        <v/>
      </c>
      <c r="AI6" s="20">
        <f>_xlfn.MAXIFS(INDEX(Unified_Matrix!$A:$ZZ,3,MATCH("Max "&amp;AI$1,Unified_Matrix!$1:$1,0)):INDEX(Unified_Matrix!$A:$ZZ,300,MATCH("Max "&amp;AI$1,Unified_Matrix!$1:$1,0)),INDEX(Unified_Matrix!$A:$ZZ,3,MATCH("Max "&amp;AI$1,Unified_Matrix!$1:$1,0)):INDEX(Unified_Matrix!$A:$ZZ,300,MATCH("Max "&amp;AI$1,Unified_Matrix!$1:$1,0)),"&lt;"&amp;AI4,INDEX(Unified_Matrix!$A:$ZZ,3,MATCH("Max "&amp;AI$1,Unified_Matrix!$1:$1,0)):INDEX(Unified_Matrix!$A:$ZZ,300,MATCH("Max "&amp;AI$1,Unified_Matrix!$1:$1,0)),"&gt;0")</f>
        <v/>
      </c>
      <c r="AJ6" s="20">
        <f>_xlfn.MAXIFS(INDEX(Unified_Matrix!$A:$ZZ,3,MATCH("Max "&amp;AJ$1,Unified_Matrix!$1:$1,0)):INDEX(Unified_Matrix!$A:$ZZ,300,MATCH("Max "&amp;AJ$1,Unified_Matrix!$1:$1,0)),INDEX(Unified_Matrix!$A:$ZZ,3,MATCH("Max "&amp;AJ$1,Unified_Matrix!$1:$1,0)):INDEX(Unified_Matrix!$A:$ZZ,300,MATCH("Max "&amp;AJ$1,Unified_Matrix!$1:$1,0)),"&lt;"&amp;AJ4,INDEX(Unified_Matrix!$A:$ZZ,3,MATCH("Max "&amp;AJ$1,Unified_Matrix!$1:$1,0)):INDEX(Unified_Matrix!$A:$ZZ,300,MATCH("Max "&amp;AJ$1,Unified_Matrix!$1:$1,0)),"&gt;0")</f>
        <v/>
      </c>
      <c r="AK6" s="20">
        <f>_xlfn.MAXIFS(INDEX(Unified_Matrix!$A:$ZZ,3,MATCH("Max "&amp;AK$1,Unified_Matrix!$1:$1,0)):INDEX(Unified_Matrix!$A:$ZZ,300,MATCH("Max "&amp;AK$1,Unified_Matrix!$1:$1,0)),INDEX(Unified_Matrix!$A:$ZZ,3,MATCH("Max "&amp;AK$1,Unified_Matrix!$1:$1,0)):INDEX(Unified_Matrix!$A:$ZZ,300,MATCH("Max "&amp;AK$1,Unified_Matrix!$1:$1,0)),"&lt;"&amp;AK4,INDEX(Unified_Matrix!$A:$ZZ,3,MATCH("Max "&amp;AK$1,Unified_Matrix!$1:$1,0)):INDEX(Unified_Matrix!$A:$ZZ,300,MATCH("Max "&amp;AK$1,Unified_Matrix!$1:$1,0)),"&gt;0")</f>
        <v/>
      </c>
      <c r="AL6" s="20">
        <f>_xlfn.MAXIFS(INDEX(Unified_Matrix!$A:$ZZ,3,MATCH("Max "&amp;AL$1,Unified_Matrix!$1:$1,0)):INDEX(Unified_Matrix!$A:$ZZ,300,MATCH("Max "&amp;AL$1,Unified_Matrix!$1:$1,0)),INDEX(Unified_Matrix!$A:$ZZ,3,MATCH("Max "&amp;AL$1,Unified_Matrix!$1:$1,0)):INDEX(Unified_Matrix!$A:$ZZ,300,MATCH("Max "&amp;AL$1,Unified_Matrix!$1:$1,0)),"&lt;"&amp;AL4,INDEX(Unified_Matrix!$A:$ZZ,3,MATCH("Max "&amp;AL$1,Unified_Matrix!$1:$1,0)):INDEX(Unified_Matrix!$A:$ZZ,300,MATCH("Max "&amp;AL$1,Unified_Matrix!$1:$1,0)),"&gt;0")</f>
        <v/>
      </c>
      <c r="AM6" s="20">
        <f>_xlfn.MAXIFS(INDEX(Unified_Matrix!$A:$ZZ,3,MATCH("Max "&amp;AM$1,Unified_Matrix!$1:$1,0)):INDEX(Unified_Matrix!$A:$ZZ,300,MATCH("Max "&amp;AM$1,Unified_Matrix!$1:$1,0)),INDEX(Unified_Matrix!$A:$ZZ,3,MATCH("Max "&amp;AM$1,Unified_Matrix!$1:$1,0)):INDEX(Unified_Matrix!$A:$ZZ,300,MATCH("Max "&amp;AM$1,Unified_Matrix!$1:$1,0)),"&lt;"&amp;AM4,INDEX(Unified_Matrix!$A:$ZZ,3,MATCH("Max "&amp;AM$1,Unified_Matrix!$1:$1,0)):INDEX(Unified_Matrix!$A:$ZZ,300,MATCH("Max "&amp;AM$1,Unified_Matrix!$1:$1,0)),"&gt;0")</f>
        <v/>
      </c>
      <c r="AN6" s="20">
        <f>_xlfn.MAXIFS(INDEX(Unified_Matrix!$A:$ZZ,3,MATCH("Max "&amp;AN$1,Unified_Matrix!$1:$1,0)):INDEX(Unified_Matrix!$A:$ZZ,300,MATCH("Max "&amp;AN$1,Unified_Matrix!$1:$1,0)),INDEX(Unified_Matrix!$A:$ZZ,3,MATCH("Max "&amp;AN$1,Unified_Matrix!$1:$1,0)):INDEX(Unified_Matrix!$A:$ZZ,300,MATCH("Max "&amp;AN$1,Unified_Matrix!$1:$1,0)),"&lt;"&amp;AN4,INDEX(Unified_Matrix!$A:$ZZ,3,MATCH("Max "&amp;AN$1,Unified_Matrix!$1:$1,0)):INDEX(Unified_Matrix!$A:$ZZ,300,MATCH("Max "&amp;AN$1,Unified_Matrix!$1:$1,0)),"&gt;0")</f>
        <v/>
      </c>
      <c r="AO6" s="20">
        <f>_xlfn.MAXIFS(INDEX(Unified_Matrix!$A:$ZZ,3,MATCH("Max "&amp;AO$1,Unified_Matrix!$1:$1,0)):INDEX(Unified_Matrix!$A:$ZZ,300,MATCH("Max "&amp;AO$1,Unified_Matrix!$1:$1,0)),INDEX(Unified_Matrix!$A:$ZZ,3,MATCH("Max "&amp;AO$1,Unified_Matrix!$1:$1,0)):INDEX(Unified_Matrix!$A:$ZZ,300,MATCH("Max "&amp;AO$1,Unified_Matrix!$1:$1,0)),"&lt;"&amp;AO4,INDEX(Unified_Matrix!$A:$ZZ,3,MATCH("Max "&amp;AO$1,Unified_Matrix!$1:$1,0)):INDEX(Unified_Matrix!$A:$ZZ,300,MATCH("Max "&amp;AO$1,Unified_Matrix!$1:$1,0)),"&gt;0")</f>
        <v/>
      </c>
      <c r="AP6" s="20">
        <f>_xlfn.MAXIFS(INDEX(Unified_Matrix!$A:$ZZ,3,MATCH("Max "&amp;AP$1,Unified_Matrix!$1:$1,0)):INDEX(Unified_Matrix!$A:$ZZ,300,MATCH("Max "&amp;AP$1,Unified_Matrix!$1:$1,0)),INDEX(Unified_Matrix!$A:$ZZ,3,MATCH("Max "&amp;AP$1,Unified_Matrix!$1:$1,0)):INDEX(Unified_Matrix!$A:$ZZ,300,MATCH("Max "&amp;AP$1,Unified_Matrix!$1:$1,0)),"&lt;"&amp;AP4,INDEX(Unified_Matrix!$A:$ZZ,3,MATCH("Max "&amp;AP$1,Unified_Matrix!$1:$1,0)):INDEX(Unified_Matrix!$A:$ZZ,300,MATCH("Max "&amp;AP$1,Unified_Matrix!$1:$1,0)),"&gt;0")</f>
        <v/>
      </c>
      <c r="AQ6" s="20">
        <f>_xlfn.MAXIFS(INDEX(Unified_Matrix!$A:$ZZ,3,MATCH("Max "&amp;AQ$1,Unified_Matrix!$1:$1,0)):INDEX(Unified_Matrix!$A:$ZZ,300,MATCH("Max "&amp;AQ$1,Unified_Matrix!$1:$1,0)),INDEX(Unified_Matrix!$A:$ZZ,3,MATCH("Max "&amp;AQ$1,Unified_Matrix!$1:$1,0)):INDEX(Unified_Matrix!$A:$ZZ,300,MATCH("Max "&amp;AQ$1,Unified_Matrix!$1:$1,0)),"&lt;"&amp;AQ4,INDEX(Unified_Matrix!$A:$ZZ,3,MATCH("Max "&amp;AQ$1,Unified_Matrix!$1:$1,0)):INDEX(Unified_Matrix!$A:$ZZ,300,MATCH("Max "&amp;AQ$1,Unified_Matrix!$1:$1,0)),"&gt;0")</f>
        <v/>
      </c>
      <c r="AR6" s="20">
        <f>_xlfn.MAXIFS(INDEX(Unified_Matrix!$A:$ZZ,3,MATCH("Max "&amp;AR$1,Unified_Matrix!$1:$1,0)):INDEX(Unified_Matrix!$A:$ZZ,300,MATCH("Max "&amp;AR$1,Unified_Matrix!$1:$1,0)),INDEX(Unified_Matrix!$A:$ZZ,3,MATCH("Max "&amp;AR$1,Unified_Matrix!$1:$1,0)):INDEX(Unified_Matrix!$A:$ZZ,300,MATCH("Max "&amp;AR$1,Unified_Matrix!$1:$1,0)),"&lt;"&amp;AR4,INDEX(Unified_Matrix!$A:$ZZ,3,MATCH("Max "&amp;AR$1,Unified_Matrix!$1:$1,0)):INDEX(Unified_Matrix!$A:$ZZ,300,MATCH("Max "&amp;AR$1,Unified_Matrix!$1:$1,0)),"&gt;0")</f>
        <v/>
      </c>
      <c r="AS6" s="20">
        <f>_xlfn.MAXIFS(INDEX(Unified_Matrix!$A:$ZZ,3,MATCH("Max "&amp;AS$1,Unified_Matrix!$1:$1,0)):INDEX(Unified_Matrix!$A:$ZZ,300,MATCH("Max "&amp;AS$1,Unified_Matrix!$1:$1,0)),INDEX(Unified_Matrix!$A:$ZZ,3,MATCH("Max "&amp;AS$1,Unified_Matrix!$1:$1,0)):INDEX(Unified_Matrix!$A:$ZZ,300,MATCH("Max "&amp;AS$1,Unified_Matrix!$1:$1,0)),"&lt;"&amp;AS4,INDEX(Unified_Matrix!$A:$ZZ,3,MATCH("Max "&amp;AS$1,Unified_Matrix!$1:$1,0)):INDEX(Unified_Matrix!$A:$ZZ,300,MATCH("Max "&amp;AS$1,Unified_Matrix!$1:$1,0)),"&gt;0")</f>
        <v/>
      </c>
      <c r="AT6" s="20">
        <f>_xlfn.MAXIFS(INDEX(Unified_Matrix!$A:$ZZ,3,MATCH("Max "&amp;AT$1,Unified_Matrix!$1:$1,0)):INDEX(Unified_Matrix!$A:$ZZ,300,MATCH("Max "&amp;AT$1,Unified_Matrix!$1:$1,0)),INDEX(Unified_Matrix!$A:$ZZ,3,MATCH("Max "&amp;AT$1,Unified_Matrix!$1:$1,0)):INDEX(Unified_Matrix!$A:$ZZ,300,MATCH("Max "&amp;AT$1,Unified_Matrix!$1:$1,0)),"&lt;"&amp;AT4,INDEX(Unified_Matrix!$A:$ZZ,3,MATCH("Max "&amp;AT$1,Unified_Matrix!$1:$1,0)):INDEX(Unified_Matrix!$A:$ZZ,300,MATCH("Max "&amp;AT$1,Unified_Matrix!$1:$1,0)),"&gt;0")</f>
        <v/>
      </c>
    </row>
    <row r="7" ht="156" customHeight="1">
      <c r="H7" s="38" t="n"/>
      <c r="I7" s="18" t="inlineStr">
        <is>
          <t>진화명</t>
        </is>
      </c>
      <c r="J7" s="20">
        <f t="array" ref="J7">IF(J6=0,"",_xlfn.TEXTJOIN(CHAR(10),TRUE,IF((INDEX(Unified_Matrix!$A:$ZZ,3,MATCH("Max "&amp;J$1,Unified_Matrix!$1:$1,0)):INDEX(Unified_Matrix!$A:$ZZ,300,MATCH("Max "&amp;J$1,Unified_Matrix!$1:$1,0))=J6)*(INDEX(Unified_Matrix!$A:$ZZ,3,MATCH("Max "&amp;J$1,Unified_Matrix!$1:$1,0)):INDEX(Unified_Matrix!$A:$ZZ,300,MATCH("Max "&amp;J$1,Unified_Matrix!$1:$1,0))&gt;0),INDEX(Unified_Matrix!$A:$ZZ,3,MATCH("Evolution_Name",Unified_Matrix!$1:$1,0)):INDEX(Unified_Matrix!$A:$ZZ,300,MATCH("Evolution_Name",Unified_Matrix!$1:$1,0)),"")))</f>
        <v/>
      </c>
      <c r="K7" s="20">
        <f t="array" ref="K7">IF(K6=0,"",_xlfn.TEXTJOIN(CHAR(10),TRUE,IF((INDEX(Unified_Matrix!$A:$ZZ,3,MATCH("Max "&amp;K$1,Unified_Matrix!$1:$1,0)):INDEX(Unified_Matrix!$A:$ZZ,300,MATCH("Max "&amp;K$1,Unified_Matrix!$1:$1,0))=K6)*(INDEX(Unified_Matrix!$A:$ZZ,3,MATCH("Max "&amp;K$1,Unified_Matrix!$1:$1,0)):INDEX(Unified_Matrix!$A:$ZZ,300,MATCH("Max "&amp;K$1,Unified_Matrix!$1:$1,0))&gt;0),INDEX(Unified_Matrix!$A:$ZZ,3,MATCH("Evolution_Name",Unified_Matrix!$1:$1,0)):INDEX(Unified_Matrix!$A:$ZZ,300,MATCH("Evolution_Name",Unified_Matrix!$1:$1,0)),"")))</f>
        <v/>
      </c>
      <c r="L7" s="20">
        <f t="array" ref="L7">IF(L6=0,"",_xlfn.TEXTJOIN(CHAR(10),TRUE,IF((INDEX(Unified_Matrix!$A:$ZZ,3,MATCH("Max "&amp;L$1,Unified_Matrix!$1:$1,0)):INDEX(Unified_Matrix!$A:$ZZ,300,MATCH("Max "&amp;L$1,Unified_Matrix!$1:$1,0))=L6)*(INDEX(Unified_Matrix!$A:$ZZ,3,MATCH("Max "&amp;L$1,Unified_Matrix!$1:$1,0)):INDEX(Unified_Matrix!$A:$ZZ,300,MATCH("Max "&amp;L$1,Unified_Matrix!$1:$1,0))&gt;0),INDEX(Unified_Matrix!$A:$ZZ,3,MATCH("Evolution_Name",Unified_Matrix!$1:$1,0)):INDEX(Unified_Matrix!$A:$ZZ,300,MATCH("Evolution_Name",Unified_Matrix!$1:$1,0)),"")))</f>
        <v/>
      </c>
      <c r="M7" s="20">
        <f t="array" ref="M7">IF(M6=0,"",_xlfn.TEXTJOIN(CHAR(10),TRUE,IF((INDEX(Unified_Matrix!$A:$ZZ,3,MATCH("Max "&amp;M$1,Unified_Matrix!$1:$1,0)):INDEX(Unified_Matrix!$A:$ZZ,300,MATCH("Max "&amp;M$1,Unified_Matrix!$1:$1,0))=M6)*(INDEX(Unified_Matrix!$A:$ZZ,3,MATCH("Max "&amp;M$1,Unified_Matrix!$1:$1,0)):INDEX(Unified_Matrix!$A:$ZZ,300,MATCH("Max "&amp;M$1,Unified_Matrix!$1:$1,0))&gt;0),INDEX(Unified_Matrix!$A:$ZZ,3,MATCH("Evolution_Name",Unified_Matrix!$1:$1,0)):INDEX(Unified_Matrix!$A:$ZZ,300,MATCH("Evolution_Name",Unified_Matrix!$1:$1,0)),"")))</f>
        <v/>
      </c>
      <c r="N7" s="20">
        <f t="array" ref="N7">IF(N6=0,"",_xlfn.TEXTJOIN(CHAR(10),TRUE,IF((INDEX(Unified_Matrix!$A:$ZZ,3,MATCH("Max "&amp;N$1,Unified_Matrix!$1:$1,0)):INDEX(Unified_Matrix!$A:$ZZ,300,MATCH("Max "&amp;N$1,Unified_Matrix!$1:$1,0))=N6)*(INDEX(Unified_Matrix!$A:$ZZ,3,MATCH("Max "&amp;N$1,Unified_Matrix!$1:$1,0)):INDEX(Unified_Matrix!$A:$ZZ,300,MATCH("Max "&amp;N$1,Unified_Matrix!$1:$1,0))&gt;0),INDEX(Unified_Matrix!$A:$ZZ,3,MATCH("Evolution_Name",Unified_Matrix!$1:$1,0)):INDEX(Unified_Matrix!$A:$ZZ,300,MATCH("Evolution_Name",Unified_Matrix!$1:$1,0)),"")))</f>
        <v/>
      </c>
      <c r="O7" s="20">
        <f t="array" ref="O7">IF(O6=0,"",_xlfn.TEXTJOIN(CHAR(10),TRUE,IF((INDEX(Unified_Matrix!$A:$ZZ,3,MATCH("Max "&amp;O$1,Unified_Matrix!$1:$1,0)):INDEX(Unified_Matrix!$A:$ZZ,300,MATCH("Max "&amp;O$1,Unified_Matrix!$1:$1,0))=O6)*(INDEX(Unified_Matrix!$A:$ZZ,3,MATCH("Max "&amp;O$1,Unified_Matrix!$1:$1,0)):INDEX(Unified_Matrix!$A:$ZZ,300,MATCH("Max "&amp;O$1,Unified_Matrix!$1:$1,0))&gt;0),INDEX(Unified_Matrix!$A:$ZZ,3,MATCH("Evolution_Name",Unified_Matrix!$1:$1,0)):INDEX(Unified_Matrix!$A:$ZZ,300,MATCH("Evolution_Name",Unified_Matrix!$1:$1,0)),"")))</f>
        <v/>
      </c>
      <c r="P7" s="20">
        <f t="array" ref="P7">IF(P6=0,"",_xlfn.TEXTJOIN(CHAR(10),TRUE,IF((INDEX(Unified_Matrix!$A:$ZZ,3,MATCH("Max "&amp;P$1,Unified_Matrix!$1:$1,0)):INDEX(Unified_Matrix!$A:$ZZ,300,MATCH("Max "&amp;P$1,Unified_Matrix!$1:$1,0))=P6)*(INDEX(Unified_Matrix!$A:$ZZ,3,MATCH("Max "&amp;P$1,Unified_Matrix!$1:$1,0)):INDEX(Unified_Matrix!$A:$ZZ,300,MATCH("Max "&amp;P$1,Unified_Matrix!$1:$1,0))&gt;0),INDEX(Unified_Matrix!$A:$ZZ,3,MATCH("Evolution_Name",Unified_Matrix!$1:$1,0)):INDEX(Unified_Matrix!$A:$ZZ,300,MATCH("Evolution_Name",Unified_Matrix!$1:$1,0)),"")))</f>
        <v/>
      </c>
      <c r="Q7" s="20">
        <f t="array" ref="Q7">IF(Q6=0,"",_xlfn.TEXTJOIN(CHAR(10),TRUE,IF((INDEX(Unified_Matrix!$A:$ZZ,3,MATCH("Max "&amp;Q$1,Unified_Matrix!$1:$1,0)):INDEX(Unified_Matrix!$A:$ZZ,300,MATCH("Max "&amp;Q$1,Unified_Matrix!$1:$1,0))=Q6)*(INDEX(Unified_Matrix!$A:$ZZ,3,MATCH("Max "&amp;Q$1,Unified_Matrix!$1:$1,0)):INDEX(Unified_Matrix!$A:$ZZ,300,MATCH("Max "&amp;Q$1,Unified_Matrix!$1:$1,0))&gt;0),INDEX(Unified_Matrix!$A:$ZZ,3,MATCH("Evolution_Name",Unified_Matrix!$1:$1,0)):INDEX(Unified_Matrix!$A:$ZZ,300,MATCH("Evolution_Name",Unified_Matrix!$1:$1,0)),"")))</f>
        <v/>
      </c>
      <c r="R7" s="20">
        <f t="array" ref="R7">IF(R6=0,"",_xlfn.TEXTJOIN(CHAR(10),TRUE,IF((INDEX(Unified_Matrix!$A:$ZZ,3,MATCH("Max "&amp;R$1,Unified_Matrix!$1:$1,0)):INDEX(Unified_Matrix!$A:$ZZ,300,MATCH("Max "&amp;R$1,Unified_Matrix!$1:$1,0))=R6)*(INDEX(Unified_Matrix!$A:$ZZ,3,MATCH("Max "&amp;R$1,Unified_Matrix!$1:$1,0)):INDEX(Unified_Matrix!$A:$ZZ,300,MATCH("Max "&amp;R$1,Unified_Matrix!$1:$1,0))&gt;0),INDEX(Unified_Matrix!$A:$ZZ,3,MATCH("Evolution_Name",Unified_Matrix!$1:$1,0)):INDEX(Unified_Matrix!$A:$ZZ,300,MATCH("Evolution_Name",Unified_Matrix!$1:$1,0)),"")))</f>
        <v/>
      </c>
      <c r="S7" s="20">
        <f t="array" ref="S7">IF(S6=0,"",_xlfn.TEXTJOIN(CHAR(10),TRUE,IF((INDEX(Unified_Matrix!$A:$ZZ,3,MATCH("Max "&amp;S$1,Unified_Matrix!$1:$1,0)):INDEX(Unified_Matrix!$A:$ZZ,300,MATCH("Max "&amp;S$1,Unified_Matrix!$1:$1,0))=S6)*(INDEX(Unified_Matrix!$A:$ZZ,3,MATCH("Max "&amp;S$1,Unified_Matrix!$1:$1,0)):INDEX(Unified_Matrix!$A:$ZZ,300,MATCH("Max "&amp;S$1,Unified_Matrix!$1:$1,0))&gt;0),INDEX(Unified_Matrix!$A:$ZZ,3,MATCH("Evolution_Name",Unified_Matrix!$1:$1,0)):INDEX(Unified_Matrix!$A:$ZZ,300,MATCH("Evolution_Name",Unified_Matrix!$1:$1,0)),"")))</f>
        <v/>
      </c>
      <c r="T7" s="20">
        <f t="array" ref="T7">IF(T6=0,"",_xlfn.TEXTJOIN(CHAR(10),TRUE,IF((INDEX(Unified_Matrix!$A:$ZZ,3,MATCH("Max "&amp;T$1,Unified_Matrix!$1:$1,0)):INDEX(Unified_Matrix!$A:$ZZ,300,MATCH("Max "&amp;T$1,Unified_Matrix!$1:$1,0))=T6)*(INDEX(Unified_Matrix!$A:$ZZ,3,MATCH("Max "&amp;T$1,Unified_Matrix!$1:$1,0)):INDEX(Unified_Matrix!$A:$ZZ,300,MATCH("Max "&amp;T$1,Unified_Matrix!$1:$1,0))&gt;0),INDEX(Unified_Matrix!$A:$ZZ,3,MATCH("Evolution_Name",Unified_Matrix!$1:$1,0)):INDEX(Unified_Matrix!$A:$ZZ,300,MATCH("Evolution_Name",Unified_Matrix!$1:$1,0)),"")))</f>
        <v/>
      </c>
      <c r="U7" s="20">
        <f t="array" ref="U7">IF(U6=0,"",_xlfn.TEXTJOIN(CHAR(10),TRUE,IF((INDEX(Unified_Matrix!$A:$ZZ,3,MATCH("Max "&amp;U$1,Unified_Matrix!$1:$1,0)):INDEX(Unified_Matrix!$A:$ZZ,300,MATCH("Max "&amp;U$1,Unified_Matrix!$1:$1,0))=U6)*(INDEX(Unified_Matrix!$A:$ZZ,3,MATCH("Max "&amp;U$1,Unified_Matrix!$1:$1,0)):INDEX(Unified_Matrix!$A:$ZZ,300,MATCH("Max "&amp;U$1,Unified_Matrix!$1:$1,0))&gt;0),INDEX(Unified_Matrix!$A:$ZZ,3,MATCH("Evolution_Name",Unified_Matrix!$1:$1,0)):INDEX(Unified_Matrix!$A:$ZZ,300,MATCH("Evolution_Name",Unified_Matrix!$1:$1,0)),"")))</f>
        <v/>
      </c>
      <c r="V7" s="20">
        <f t="array" ref="V7">IF(V6=0,"",_xlfn.TEXTJOIN(CHAR(10),TRUE,IF((INDEX(Unified_Matrix!$A:$ZZ,3,MATCH("Max "&amp;V$1,Unified_Matrix!$1:$1,0)):INDEX(Unified_Matrix!$A:$ZZ,300,MATCH("Max "&amp;V$1,Unified_Matrix!$1:$1,0))=V6)*(INDEX(Unified_Matrix!$A:$ZZ,3,MATCH("Max "&amp;V$1,Unified_Matrix!$1:$1,0)):INDEX(Unified_Matrix!$A:$ZZ,300,MATCH("Max "&amp;V$1,Unified_Matrix!$1:$1,0))&gt;0),INDEX(Unified_Matrix!$A:$ZZ,3,MATCH("Evolution_Name",Unified_Matrix!$1:$1,0)):INDEX(Unified_Matrix!$A:$ZZ,300,MATCH("Evolution_Name",Unified_Matrix!$1:$1,0)),"")))</f>
        <v/>
      </c>
      <c r="W7" s="20">
        <f t="array" ref="W7">IF(W6=0,"",_xlfn.TEXTJOIN(CHAR(10),TRUE,IF((INDEX(Unified_Matrix!$A:$ZZ,3,MATCH("Max "&amp;W$1,Unified_Matrix!$1:$1,0)):INDEX(Unified_Matrix!$A:$ZZ,300,MATCH("Max "&amp;W$1,Unified_Matrix!$1:$1,0))=W6)*(INDEX(Unified_Matrix!$A:$ZZ,3,MATCH("Max "&amp;W$1,Unified_Matrix!$1:$1,0)):INDEX(Unified_Matrix!$A:$ZZ,300,MATCH("Max "&amp;W$1,Unified_Matrix!$1:$1,0))&gt;0),INDEX(Unified_Matrix!$A:$ZZ,3,MATCH("Evolution_Name",Unified_Matrix!$1:$1,0)):INDEX(Unified_Matrix!$A:$ZZ,300,MATCH("Evolution_Name",Unified_Matrix!$1:$1,0)),"")))</f>
        <v/>
      </c>
      <c r="X7" s="20">
        <f t="array" ref="X7">IF(X6=0,"",_xlfn.TEXTJOIN(CHAR(10),TRUE,IF((INDEX(Unified_Matrix!$A:$ZZ,3,MATCH("Max "&amp;X$1,Unified_Matrix!$1:$1,0)):INDEX(Unified_Matrix!$A:$ZZ,300,MATCH("Max "&amp;X$1,Unified_Matrix!$1:$1,0))=X6)*(INDEX(Unified_Matrix!$A:$ZZ,3,MATCH("Max "&amp;X$1,Unified_Matrix!$1:$1,0)):INDEX(Unified_Matrix!$A:$ZZ,300,MATCH("Max "&amp;X$1,Unified_Matrix!$1:$1,0))&gt;0),INDEX(Unified_Matrix!$A:$ZZ,3,MATCH("Evolution_Name",Unified_Matrix!$1:$1,0)):INDEX(Unified_Matrix!$A:$ZZ,300,MATCH("Evolution_Name",Unified_Matrix!$1:$1,0)),"")))</f>
        <v/>
      </c>
      <c r="Y7" s="20">
        <f t="array" ref="Y7">IF(Y6=0,"",_xlfn.TEXTJOIN(CHAR(10),TRUE,IF((INDEX(Unified_Matrix!$A:$ZZ,3,MATCH("Max "&amp;Y$1,Unified_Matrix!$1:$1,0)):INDEX(Unified_Matrix!$A:$ZZ,300,MATCH("Max "&amp;Y$1,Unified_Matrix!$1:$1,0))=Y6)*(INDEX(Unified_Matrix!$A:$ZZ,3,MATCH("Max "&amp;Y$1,Unified_Matrix!$1:$1,0)):INDEX(Unified_Matrix!$A:$ZZ,300,MATCH("Max "&amp;Y$1,Unified_Matrix!$1:$1,0))&gt;0),INDEX(Unified_Matrix!$A:$ZZ,3,MATCH("Evolution_Name",Unified_Matrix!$1:$1,0)):INDEX(Unified_Matrix!$A:$ZZ,300,MATCH("Evolution_Name",Unified_Matrix!$1:$1,0)),"")))</f>
        <v/>
      </c>
      <c r="Z7" s="20">
        <f t="array" ref="Z7">IF(Z6=0,"",_xlfn.TEXTJOIN(CHAR(10),TRUE,IF((INDEX(Unified_Matrix!$A:$ZZ,3,MATCH("Max "&amp;Z$1,Unified_Matrix!$1:$1,0)):INDEX(Unified_Matrix!$A:$ZZ,300,MATCH("Max "&amp;Z$1,Unified_Matrix!$1:$1,0))=Z6)*(INDEX(Unified_Matrix!$A:$ZZ,3,MATCH("Max "&amp;Z$1,Unified_Matrix!$1:$1,0)):INDEX(Unified_Matrix!$A:$ZZ,300,MATCH("Max "&amp;Z$1,Unified_Matrix!$1:$1,0))&gt;0),INDEX(Unified_Matrix!$A:$ZZ,3,MATCH("Evolution_Name",Unified_Matrix!$1:$1,0)):INDEX(Unified_Matrix!$A:$ZZ,300,MATCH("Evolution_Name",Unified_Matrix!$1:$1,0)),"")))</f>
        <v/>
      </c>
      <c r="AA7" s="20">
        <f t="array" ref="AA7">IF(AA6=0,"",_xlfn.TEXTJOIN(CHAR(10),TRUE,IF((INDEX(Unified_Matrix!$A:$ZZ,3,MATCH("Max "&amp;AA$1,Unified_Matrix!$1:$1,0)):INDEX(Unified_Matrix!$A:$ZZ,300,MATCH("Max "&amp;AA$1,Unified_Matrix!$1:$1,0))=AA6)*(INDEX(Unified_Matrix!$A:$ZZ,3,MATCH("Max "&amp;AA$1,Unified_Matrix!$1:$1,0)):INDEX(Unified_Matrix!$A:$ZZ,300,MATCH("Max "&amp;AA$1,Unified_Matrix!$1:$1,0))&gt;0),INDEX(Unified_Matrix!$A:$ZZ,3,MATCH("Evolution_Name",Unified_Matrix!$1:$1,0)):INDEX(Unified_Matrix!$A:$ZZ,300,MATCH("Evolution_Name",Unified_Matrix!$1:$1,0)),"")))</f>
        <v/>
      </c>
      <c r="AB7" s="20">
        <f t="array" ref="AB7">IF(AB6=0,"",_xlfn.TEXTJOIN(CHAR(10),TRUE,IF((INDEX(Unified_Matrix!$A:$ZZ,3,MATCH("Max "&amp;AB$1,Unified_Matrix!$1:$1,0)):INDEX(Unified_Matrix!$A:$ZZ,300,MATCH("Max "&amp;AB$1,Unified_Matrix!$1:$1,0))=AB6)*(INDEX(Unified_Matrix!$A:$ZZ,3,MATCH("Max "&amp;AB$1,Unified_Matrix!$1:$1,0)):INDEX(Unified_Matrix!$A:$ZZ,300,MATCH("Max "&amp;AB$1,Unified_Matrix!$1:$1,0))&gt;0),INDEX(Unified_Matrix!$A:$ZZ,3,MATCH("Evolution_Name",Unified_Matrix!$1:$1,0)):INDEX(Unified_Matrix!$A:$ZZ,300,MATCH("Evolution_Name",Unified_Matrix!$1:$1,0)),"")))</f>
        <v/>
      </c>
      <c r="AC7" s="20">
        <f t="array" ref="AC7">IF(AC6=0,"",_xlfn.TEXTJOIN(CHAR(10),TRUE,IF((INDEX(Unified_Matrix!$A:$ZZ,3,MATCH("Max "&amp;AC$1,Unified_Matrix!$1:$1,0)):INDEX(Unified_Matrix!$A:$ZZ,300,MATCH("Max "&amp;AC$1,Unified_Matrix!$1:$1,0))=AC6)*(INDEX(Unified_Matrix!$A:$ZZ,3,MATCH("Max "&amp;AC$1,Unified_Matrix!$1:$1,0)):INDEX(Unified_Matrix!$A:$ZZ,300,MATCH("Max "&amp;AC$1,Unified_Matrix!$1:$1,0))&gt;0),INDEX(Unified_Matrix!$A:$ZZ,3,MATCH("Evolution_Name",Unified_Matrix!$1:$1,0)):INDEX(Unified_Matrix!$A:$ZZ,300,MATCH("Evolution_Name",Unified_Matrix!$1:$1,0)),"")))</f>
        <v/>
      </c>
      <c r="AD7" s="20">
        <f t="array" ref="AD7">IF(AD6=0,"",_xlfn.TEXTJOIN(CHAR(10),TRUE,IF((INDEX(Unified_Matrix!$A:$ZZ,3,MATCH("Max "&amp;AD$1,Unified_Matrix!$1:$1,0)):INDEX(Unified_Matrix!$A:$ZZ,300,MATCH("Max "&amp;AD$1,Unified_Matrix!$1:$1,0))=AD6)*(INDEX(Unified_Matrix!$A:$ZZ,3,MATCH("Max "&amp;AD$1,Unified_Matrix!$1:$1,0)):INDEX(Unified_Matrix!$A:$ZZ,300,MATCH("Max "&amp;AD$1,Unified_Matrix!$1:$1,0))&gt;0),INDEX(Unified_Matrix!$A:$ZZ,3,MATCH("Evolution_Name",Unified_Matrix!$1:$1,0)):INDEX(Unified_Matrix!$A:$ZZ,300,MATCH("Evolution_Name",Unified_Matrix!$1:$1,0)),"")))</f>
        <v/>
      </c>
      <c r="AE7" s="20">
        <f t="array" ref="AE7">IF(AE6=0,"",_xlfn.TEXTJOIN(CHAR(10),TRUE,IF((INDEX(Unified_Matrix!$A:$ZZ,3,MATCH("Max "&amp;AE$1,Unified_Matrix!$1:$1,0)):INDEX(Unified_Matrix!$A:$ZZ,300,MATCH("Max "&amp;AE$1,Unified_Matrix!$1:$1,0))=AE6)*(INDEX(Unified_Matrix!$A:$ZZ,3,MATCH("Max "&amp;AE$1,Unified_Matrix!$1:$1,0)):INDEX(Unified_Matrix!$A:$ZZ,300,MATCH("Max "&amp;AE$1,Unified_Matrix!$1:$1,0))&gt;0),INDEX(Unified_Matrix!$A:$ZZ,3,MATCH("Evolution_Name",Unified_Matrix!$1:$1,0)):INDEX(Unified_Matrix!$A:$ZZ,300,MATCH("Evolution_Name",Unified_Matrix!$1:$1,0)),"")))</f>
        <v/>
      </c>
      <c r="AF7" s="20">
        <f t="array" ref="AF7">IF(AF6=0,"",_xlfn.TEXTJOIN(CHAR(10),TRUE,IF((INDEX(Unified_Matrix!$A:$ZZ,3,MATCH("Max "&amp;AF$1,Unified_Matrix!$1:$1,0)):INDEX(Unified_Matrix!$A:$ZZ,300,MATCH("Max "&amp;AF$1,Unified_Matrix!$1:$1,0))=AF6)*(INDEX(Unified_Matrix!$A:$ZZ,3,MATCH("Max "&amp;AF$1,Unified_Matrix!$1:$1,0)):INDEX(Unified_Matrix!$A:$ZZ,300,MATCH("Max "&amp;AF$1,Unified_Matrix!$1:$1,0))&gt;0),INDEX(Unified_Matrix!$A:$ZZ,3,MATCH("Evolution_Name",Unified_Matrix!$1:$1,0)):INDEX(Unified_Matrix!$A:$ZZ,300,MATCH("Evolution_Name",Unified_Matrix!$1:$1,0)),"")))</f>
        <v/>
      </c>
      <c r="AG7" s="20">
        <f t="array" ref="AG7">IF(AG6=0,"",_xlfn.TEXTJOIN(CHAR(10),TRUE,IF((INDEX(Unified_Matrix!$A:$ZZ,3,MATCH("Max "&amp;AG$1,Unified_Matrix!$1:$1,0)):INDEX(Unified_Matrix!$A:$ZZ,300,MATCH("Max "&amp;AG$1,Unified_Matrix!$1:$1,0))=AG6)*(INDEX(Unified_Matrix!$A:$ZZ,3,MATCH("Max "&amp;AG$1,Unified_Matrix!$1:$1,0)):INDEX(Unified_Matrix!$A:$ZZ,300,MATCH("Max "&amp;AG$1,Unified_Matrix!$1:$1,0))&gt;0),INDEX(Unified_Matrix!$A:$ZZ,3,MATCH("Evolution_Name",Unified_Matrix!$1:$1,0)):INDEX(Unified_Matrix!$A:$ZZ,300,MATCH("Evolution_Name",Unified_Matrix!$1:$1,0)),"")))</f>
        <v/>
      </c>
      <c r="AH7" s="20">
        <f t="array" ref="AH7">IF(AH6=0,"",_xlfn.TEXTJOIN(CHAR(10),TRUE,IF((INDEX(Unified_Matrix!$A:$ZZ,3,MATCH("Max "&amp;AH$1,Unified_Matrix!$1:$1,0)):INDEX(Unified_Matrix!$A:$ZZ,300,MATCH("Max "&amp;AH$1,Unified_Matrix!$1:$1,0))=AH6)*(INDEX(Unified_Matrix!$A:$ZZ,3,MATCH("Max "&amp;AH$1,Unified_Matrix!$1:$1,0)):INDEX(Unified_Matrix!$A:$ZZ,300,MATCH("Max "&amp;AH$1,Unified_Matrix!$1:$1,0))&gt;0),INDEX(Unified_Matrix!$A:$ZZ,3,MATCH("Evolution_Name",Unified_Matrix!$1:$1,0)):INDEX(Unified_Matrix!$A:$ZZ,300,MATCH("Evolution_Name",Unified_Matrix!$1:$1,0)),"")))</f>
        <v/>
      </c>
      <c r="AI7" s="20">
        <f t="array" ref="AI7">IF(AI6=0,"",_xlfn.TEXTJOIN(CHAR(10),TRUE,IF((INDEX(Unified_Matrix!$A:$ZZ,3,MATCH("Max "&amp;AI$1,Unified_Matrix!$1:$1,0)):INDEX(Unified_Matrix!$A:$ZZ,300,MATCH("Max "&amp;AI$1,Unified_Matrix!$1:$1,0))=AI6)*(INDEX(Unified_Matrix!$A:$ZZ,3,MATCH("Max "&amp;AI$1,Unified_Matrix!$1:$1,0)):INDEX(Unified_Matrix!$A:$ZZ,300,MATCH("Max "&amp;AI$1,Unified_Matrix!$1:$1,0))&gt;0),INDEX(Unified_Matrix!$A:$ZZ,3,MATCH("Evolution_Name",Unified_Matrix!$1:$1,0)):INDEX(Unified_Matrix!$A:$ZZ,300,MATCH("Evolution_Name",Unified_Matrix!$1:$1,0)),"")))</f>
        <v/>
      </c>
      <c r="AJ7" s="20">
        <f t="array" ref="AJ7">IF(AJ6=0,"",_xlfn.TEXTJOIN(CHAR(10),TRUE,IF((INDEX(Unified_Matrix!$A:$ZZ,3,MATCH("Max "&amp;AJ$1,Unified_Matrix!$1:$1,0)):INDEX(Unified_Matrix!$A:$ZZ,300,MATCH("Max "&amp;AJ$1,Unified_Matrix!$1:$1,0))=AJ6)*(INDEX(Unified_Matrix!$A:$ZZ,3,MATCH("Max "&amp;AJ$1,Unified_Matrix!$1:$1,0)):INDEX(Unified_Matrix!$A:$ZZ,300,MATCH("Max "&amp;AJ$1,Unified_Matrix!$1:$1,0))&gt;0),INDEX(Unified_Matrix!$A:$ZZ,3,MATCH("Evolution_Name",Unified_Matrix!$1:$1,0)):INDEX(Unified_Matrix!$A:$ZZ,300,MATCH("Evolution_Name",Unified_Matrix!$1:$1,0)),"")))</f>
        <v/>
      </c>
      <c r="AK7" s="20">
        <f t="array" ref="AK7">IF(AK6=0,"",_xlfn.TEXTJOIN(CHAR(10),TRUE,IF((INDEX(Unified_Matrix!$A:$ZZ,3,MATCH("Max "&amp;AK$1,Unified_Matrix!$1:$1,0)):INDEX(Unified_Matrix!$A:$ZZ,300,MATCH("Max "&amp;AK$1,Unified_Matrix!$1:$1,0))=AK6)*(INDEX(Unified_Matrix!$A:$ZZ,3,MATCH("Max "&amp;AK$1,Unified_Matrix!$1:$1,0)):INDEX(Unified_Matrix!$A:$ZZ,300,MATCH("Max "&amp;AK$1,Unified_Matrix!$1:$1,0))&gt;0),INDEX(Unified_Matrix!$A:$ZZ,3,MATCH("Evolution_Name",Unified_Matrix!$1:$1,0)):INDEX(Unified_Matrix!$A:$ZZ,300,MATCH("Evolution_Name",Unified_Matrix!$1:$1,0)),"")))</f>
        <v/>
      </c>
      <c r="AL7" s="20">
        <f t="array" ref="AL7">IF(AL6=0,"",_xlfn.TEXTJOIN(CHAR(10),TRUE,IF((INDEX(Unified_Matrix!$A:$ZZ,3,MATCH("Max "&amp;AL$1,Unified_Matrix!$1:$1,0)):INDEX(Unified_Matrix!$A:$ZZ,300,MATCH("Max "&amp;AL$1,Unified_Matrix!$1:$1,0))=AL6)*(INDEX(Unified_Matrix!$A:$ZZ,3,MATCH("Max "&amp;AL$1,Unified_Matrix!$1:$1,0)):INDEX(Unified_Matrix!$A:$ZZ,300,MATCH("Max "&amp;AL$1,Unified_Matrix!$1:$1,0))&gt;0),INDEX(Unified_Matrix!$A:$ZZ,3,MATCH("Evolution_Name",Unified_Matrix!$1:$1,0)):INDEX(Unified_Matrix!$A:$ZZ,300,MATCH("Evolution_Name",Unified_Matrix!$1:$1,0)),"")))</f>
        <v/>
      </c>
      <c r="AM7" s="20">
        <f t="array" ref="AM7">IF(AM6=0,"",_xlfn.TEXTJOIN(CHAR(10),TRUE,IF((INDEX(Unified_Matrix!$A:$ZZ,3,MATCH("Max "&amp;AM$1,Unified_Matrix!$1:$1,0)):INDEX(Unified_Matrix!$A:$ZZ,300,MATCH("Max "&amp;AM$1,Unified_Matrix!$1:$1,0))=AM6)*(INDEX(Unified_Matrix!$A:$ZZ,3,MATCH("Max "&amp;AM$1,Unified_Matrix!$1:$1,0)):INDEX(Unified_Matrix!$A:$ZZ,300,MATCH("Max "&amp;AM$1,Unified_Matrix!$1:$1,0))&gt;0),INDEX(Unified_Matrix!$A:$ZZ,3,MATCH("Evolution_Name",Unified_Matrix!$1:$1,0)):INDEX(Unified_Matrix!$A:$ZZ,300,MATCH("Evolution_Name",Unified_Matrix!$1:$1,0)),"")))</f>
        <v/>
      </c>
      <c r="AN7" s="20">
        <f t="array" ref="AN7">IF(AN6=0,"",_xlfn.TEXTJOIN(CHAR(10),TRUE,IF((INDEX(Unified_Matrix!$A:$ZZ,3,MATCH("Max "&amp;AN$1,Unified_Matrix!$1:$1,0)):INDEX(Unified_Matrix!$A:$ZZ,300,MATCH("Max "&amp;AN$1,Unified_Matrix!$1:$1,0))=AN6)*(INDEX(Unified_Matrix!$A:$ZZ,3,MATCH("Max "&amp;AN$1,Unified_Matrix!$1:$1,0)):INDEX(Unified_Matrix!$A:$ZZ,300,MATCH("Max "&amp;AN$1,Unified_Matrix!$1:$1,0))&gt;0),INDEX(Unified_Matrix!$A:$ZZ,3,MATCH("Evolution_Name",Unified_Matrix!$1:$1,0)):INDEX(Unified_Matrix!$A:$ZZ,300,MATCH("Evolution_Name",Unified_Matrix!$1:$1,0)),"")))</f>
        <v/>
      </c>
      <c r="AO7" s="20">
        <f t="array" ref="AO7">IF(AO6=0,"",_xlfn.TEXTJOIN(CHAR(10),TRUE,IF((INDEX(Unified_Matrix!$A:$ZZ,3,MATCH("Max "&amp;AO$1,Unified_Matrix!$1:$1,0)):INDEX(Unified_Matrix!$A:$ZZ,300,MATCH("Max "&amp;AO$1,Unified_Matrix!$1:$1,0))=AO6)*(INDEX(Unified_Matrix!$A:$ZZ,3,MATCH("Max "&amp;AO$1,Unified_Matrix!$1:$1,0)):INDEX(Unified_Matrix!$A:$ZZ,300,MATCH("Max "&amp;AO$1,Unified_Matrix!$1:$1,0))&gt;0),INDEX(Unified_Matrix!$A:$ZZ,3,MATCH("Evolution_Name",Unified_Matrix!$1:$1,0)):INDEX(Unified_Matrix!$A:$ZZ,300,MATCH("Evolution_Name",Unified_Matrix!$1:$1,0)),"")))</f>
        <v/>
      </c>
      <c r="AP7" s="20">
        <f t="array" ref="AP7">IF(AP6=0,"",_xlfn.TEXTJOIN(CHAR(10),TRUE,IF((INDEX(Unified_Matrix!$A:$ZZ,3,MATCH("Max "&amp;AP$1,Unified_Matrix!$1:$1,0)):INDEX(Unified_Matrix!$A:$ZZ,300,MATCH("Max "&amp;AP$1,Unified_Matrix!$1:$1,0))=AP6)*(INDEX(Unified_Matrix!$A:$ZZ,3,MATCH("Max "&amp;AP$1,Unified_Matrix!$1:$1,0)):INDEX(Unified_Matrix!$A:$ZZ,300,MATCH("Max "&amp;AP$1,Unified_Matrix!$1:$1,0))&gt;0),INDEX(Unified_Matrix!$A:$ZZ,3,MATCH("Evolution_Name",Unified_Matrix!$1:$1,0)):INDEX(Unified_Matrix!$A:$ZZ,300,MATCH("Evolution_Name",Unified_Matrix!$1:$1,0)),"")))</f>
        <v/>
      </c>
      <c r="AQ7" s="20">
        <f t="array" ref="AQ7">IF(AQ6=0,"",_xlfn.TEXTJOIN(CHAR(10),TRUE,IF((INDEX(Unified_Matrix!$A:$ZZ,3,MATCH("Max "&amp;AQ$1,Unified_Matrix!$1:$1,0)):INDEX(Unified_Matrix!$A:$ZZ,300,MATCH("Max "&amp;AQ$1,Unified_Matrix!$1:$1,0))=AQ6)*(INDEX(Unified_Matrix!$A:$ZZ,3,MATCH("Max "&amp;AQ$1,Unified_Matrix!$1:$1,0)):INDEX(Unified_Matrix!$A:$ZZ,300,MATCH("Max "&amp;AQ$1,Unified_Matrix!$1:$1,0))&gt;0),INDEX(Unified_Matrix!$A:$ZZ,3,MATCH("Evolution_Name",Unified_Matrix!$1:$1,0)):INDEX(Unified_Matrix!$A:$ZZ,300,MATCH("Evolution_Name",Unified_Matrix!$1:$1,0)),"")))</f>
        <v/>
      </c>
      <c r="AR7" s="20">
        <f t="array" ref="AR7">IF(AR6=0,"",_xlfn.TEXTJOIN(CHAR(10),TRUE,IF((INDEX(Unified_Matrix!$A:$ZZ,3,MATCH("Max "&amp;AR$1,Unified_Matrix!$1:$1,0)):INDEX(Unified_Matrix!$A:$ZZ,300,MATCH("Max "&amp;AR$1,Unified_Matrix!$1:$1,0))=AR6)*(INDEX(Unified_Matrix!$A:$ZZ,3,MATCH("Max "&amp;AR$1,Unified_Matrix!$1:$1,0)):INDEX(Unified_Matrix!$A:$ZZ,300,MATCH("Max "&amp;AR$1,Unified_Matrix!$1:$1,0))&gt;0),INDEX(Unified_Matrix!$A:$ZZ,3,MATCH("Evolution_Name",Unified_Matrix!$1:$1,0)):INDEX(Unified_Matrix!$A:$ZZ,300,MATCH("Evolution_Name",Unified_Matrix!$1:$1,0)),"")))</f>
        <v/>
      </c>
      <c r="AS7" s="20">
        <f t="array" ref="AS7">IF(AS6=0,"",_xlfn.TEXTJOIN(CHAR(10),TRUE,IF((INDEX(Unified_Matrix!$A:$ZZ,3,MATCH("Max "&amp;AS$1,Unified_Matrix!$1:$1,0)):INDEX(Unified_Matrix!$A:$ZZ,300,MATCH("Max "&amp;AS$1,Unified_Matrix!$1:$1,0))=AS6)*(INDEX(Unified_Matrix!$A:$ZZ,3,MATCH("Max "&amp;AS$1,Unified_Matrix!$1:$1,0)):INDEX(Unified_Matrix!$A:$ZZ,300,MATCH("Max "&amp;AS$1,Unified_Matrix!$1:$1,0))&gt;0),INDEX(Unified_Matrix!$A:$ZZ,3,MATCH("Evolution_Name",Unified_Matrix!$1:$1,0)):INDEX(Unified_Matrix!$A:$ZZ,300,MATCH("Evolution_Name",Unified_Matrix!$1:$1,0)),"")))</f>
        <v/>
      </c>
      <c r="AT7" s="20">
        <f t="array" ref="AT7">IF(AT6=0,"",_xlfn.TEXTJOIN(CHAR(10),TRUE,IF((INDEX(Unified_Matrix!$A:$ZZ,3,MATCH("Max "&amp;AT$1,Unified_Matrix!$1:$1,0)):INDEX(Unified_Matrix!$A:$ZZ,300,MATCH("Max "&amp;AT$1,Unified_Matrix!$1:$1,0))=AT6)*(INDEX(Unified_Matrix!$A:$ZZ,3,MATCH("Max "&amp;AT$1,Unified_Matrix!$1:$1,0)):INDEX(Unified_Matrix!$A:$ZZ,300,MATCH("Max "&amp;AT$1,Unified_Matrix!$1:$1,0))&gt;0),INDEX(Unified_Matrix!$A:$ZZ,3,MATCH("Evolution_Name",Unified_Matrix!$1:$1,0)):INDEX(Unified_Matrix!$A:$ZZ,300,MATCH("Evolution_Name",Unified_Matrix!$1:$1,0)),"")))</f>
        <v/>
      </c>
    </row>
    <row r="8">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row>
    <row r="9">
      <c r="H9" s="6" t="n"/>
      <c r="J9" s="8" t="inlineStr">
        <is>
          <t>Balance</t>
        </is>
      </c>
      <c r="K9" s="6" t="n"/>
      <c r="L9" s="6" t="n"/>
      <c r="M9" s="6" t="n"/>
      <c r="N9" s="6" t="n"/>
      <c r="O9" s="6" t="n"/>
      <c r="P9" s="6" t="n"/>
      <c r="Q9" s="6" t="n"/>
    </row>
    <row r="10" hidden="1" ht="33" customFormat="1" customHeight="1" s="7">
      <c r="H10" s="9" t="inlineStr">
        <is>
          <t>MAX수치
순위</t>
        </is>
      </c>
      <c r="I10" s="10" t="inlineStr">
        <is>
          <t>번호</t>
        </is>
      </c>
      <c r="J10" s="10" t="inlineStr">
        <is>
          <t>상한선</t>
        </is>
      </c>
      <c r="K10" s="10" t="inlineStr">
        <is>
          <t>진화명</t>
        </is>
      </c>
      <c r="L10" s="10" t="inlineStr">
        <is>
          <t>플러스 수치</t>
        </is>
      </c>
      <c r="M10" s="11" t="inlineStr">
        <is>
          <t>+OVR</t>
        </is>
      </c>
      <c r="N10" s="10" t="inlineStr">
        <is>
          <t>MAX OVR</t>
        </is>
      </c>
      <c r="O10" s="10" t="inlineStr">
        <is>
          <t>포지션 제한</t>
        </is>
      </c>
      <c r="P10" s="10" t="inlineStr">
        <is>
          <t>OVR 제한</t>
        </is>
      </c>
      <c r="Q10" s="10" t="inlineStr">
        <is>
          <t>기타 요구조건</t>
        </is>
      </c>
    </row>
    <row r="11" hidden="1" ht="24" customHeight="1">
      <c r="H11" s="39" t="inlineStr">
        <is>
          <t>1위</t>
        </is>
      </c>
      <c r="I11" s="12" t="n">
        <v>1</v>
      </c>
      <c r="J11" s="13">
        <f>_xlfn.MAXIFS(INDIRECT("Evo[Max "&amp;$J$9&amp;"]"),INDIRECT("Evo[Max "&amp;$J$9&amp;"]"),"&gt;0")</f>
        <v/>
      </c>
      <c r="K11" s="14">
        <f t="array" ref="K11">IFERROR(INDEX(Evo[Evolution_Name],_xlfn.AGGREGATE(15,6,(ROW(Evo[Evolution_Name])-MIN(ROW(Evo[Evolution_Name]))+1)/((INDIRECT("Evo[Max "&amp;$J$9&amp;"]")=$J11)*(INDIRECT("Evo[Max "&amp;$J$9&amp;"]")&gt;0)),$I11)),"")</f>
        <v/>
      </c>
      <c r="L11" s="13">
        <f t="array" ref="L11">IFERROR(INDEX(INDIRECT("Evo[+ "&amp;$J$9&amp;"]"),_xlfn.AGGREGATE(15,6,(ROW(Evo[Evolution_Name])-MIN(ROW(Evo[Evolution_Name]))+1)/((INDIRECT("Evo[Max "&amp;$J$9&amp;"]")=$J11)*(INDIRECT("Evo[Max "&amp;$J$9&amp;"]")&gt;0)),$I11)),"")</f>
        <v/>
      </c>
      <c r="M11" s="13">
        <f t="array" ref="M11">IFERROR(INDEX(INDIRECT("Evo[+ OVR]"),_xlfn.AGGREGATE(15,6,(ROW(Evo[Evolution_Name])-MIN(ROW(Evo[Evolution_Name]))+1)/((INDIRECT("Evo[Max "&amp;$J$9&amp;"]")=$J11)*(INDIRECT("Evo[Max "&amp;$J$9&amp;"]")&gt;0)),$I11)),"")</f>
        <v/>
      </c>
      <c r="N11" s="13">
        <f t="array" ref="N11">IFERROR(INDEX(INDIRECT("Evo[Max OVR]"),_xlfn.AGGREGATE(15,6,(ROW(Evo[Evolution_Name])-MIN(ROW(Evo[Evolution_Name]))+1)/((INDIRECT("Evo[Max "&amp;$J$9&amp;"]")=$J11)*(INDIRECT("Evo[Max "&amp;$J$9&amp;"]")&gt;0)),$I11)),"")</f>
        <v/>
      </c>
      <c r="O11" s="13">
        <f t="array" ref="O11">IFERROR(INDEX(INDIRECT("Evo[Req_Position]"),_xlfn.AGGREGATE(15,6,(ROW(Evo[Evolution_Name])-MIN(ROW(Evo[Evolution_Name]))+1)/((INDIRECT("Evo[Max "&amp;$J$9&amp;"]")=$J11)*(INDIRECT("Evo[Max "&amp;$J$9&amp;"]")&gt;0)),$I11)),"")</f>
        <v/>
      </c>
      <c r="P11" s="13">
        <f t="array" ref="P11">IFERROR(INDEX(INDIRECT("Evo[Req_OVR_Max]"),_xlfn.AGGREGATE(15,6,(ROW(Evo[Evolution_Name])-MIN(ROW(Evo[Evolution_Name]))+1)/((INDIRECT("Evo[Max "&amp;$J$9&amp;"]")=$J11)*(INDIRECT("Evo[Max "&amp;$J$9&amp;"]")&gt;0)),$I11)),"")</f>
        <v/>
      </c>
      <c r="Q11" s="13">
        <f t="array" ref="Q11">IFERROR(INDEX(INDIRECT("Evo[Req_Other]"),_xlfn.AGGREGATE(15,6,(ROW(Evo[Evolution_Name])-MIN(ROW(Evo[Evolution_Name]))+1)/((INDIRECT("Evo[Max "&amp;$J$9&amp;"]")=$J11)*(INDIRECT("Evo[Max "&amp;$J$9&amp;"]")&gt;0)),$I11)),"")</f>
        <v/>
      </c>
    </row>
    <row r="12" hidden="1" ht="36" customHeight="1">
      <c r="H12" s="40" t="n"/>
      <c r="I12" s="12" t="n">
        <v>2</v>
      </c>
      <c r="J12" s="13">
        <f>_xlfn.MAXIFS(INDIRECT("Evo[Max "&amp;$J$9&amp;"]"),INDIRECT("Evo[Max "&amp;$J$9&amp;"]"),"&gt;0")</f>
        <v/>
      </c>
      <c r="K12" s="14">
        <f t="array" ref="K12">IFERROR(INDEX(Evo[Evolution_Name],_xlfn.AGGREGATE(15,6,(ROW(Evo[Evolution_Name])-MIN(ROW(Evo[Evolution_Name]))+1)/((INDIRECT("Evo[Max "&amp;$J$9&amp;"]")=$J12)*(INDIRECT("Evo[Max "&amp;$J$9&amp;"]")&gt;0)),$I12)),"")</f>
        <v/>
      </c>
      <c r="L12" s="13">
        <f t="array" ref="L12">IFERROR(INDEX(INDIRECT("Evo[+ "&amp;$J$9&amp;"]"),_xlfn.AGGREGATE(15,6,(ROW(Evo[Evolution_Name])-MIN(ROW(Evo[Evolution_Name]))+1)/((INDIRECT("Evo[Max "&amp;$J$9&amp;"]")=$J12)*(INDIRECT("Evo[Max "&amp;$J$9&amp;"]")&gt;0)),$I12)),"")</f>
        <v/>
      </c>
      <c r="M12" s="13">
        <f t="array" ref="M12">IFERROR(INDEX(INDIRECT("Evo[+ OVR]"),_xlfn.AGGREGATE(15,6,(ROW(Evo[Evolution_Name])-MIN(ROW(Evo[Evolution_Name]))+1)/((INDIRECT("Evo[Max "&amp;$J$9&amp;"]")=$J12)*(INDIRECT("Evo[Max "&amp;$J$9&amp;"]")&gt;0)),$I12)),"")</f>
        <v/>
      </c>
      <c r="N12" s="13">
        <f t="array" ref="N12">IFERROR(INDEX(INDIRECT("Evo[Max OVR]"),_xlfn.AGGREGATE(15,6,(ROW(Evo[Evolution_Name])-MIN(ROW(Evo[Evolution_Name]))+1)/((INDIRECT("Evo[Max "&amp;$J$9&amp;"]")=$J12)*(INDIRECT("Evo[Max "&amp;$J$9&amp;"]")&gt;0)),$I12)),"")</f>
        <v/>
      </c>
      <c r="O12" s="13">
        <f t="array" ref="O12">IFERROR(INDEX(INDIRECT("Evo[Req_Position]"),_xlfn.AGGREGATE(15,6,(ROW(Evo[Evolution_Name])-MIN(ROW(Evo[Evolution_Name]))+1)/((INDIRECT("Evo[Max "&amp;$J$9&amp;"]")=$J12)*(INDIRECT("Evo[Max "&amp;$J$9&amp;"]")&gt;0)),$I12)),"")</f>
        <v/>
      </c>
      <c r="P12" s="13">
        <f t="array" ref="P12">IFERROR(INDEX(INDIRECT("Evo[Req_OVR_Max]"),_xlfn.AGGREGATE(15,6,(ROW(Evo[Evolution_Name])-MIN(ROW(Evo[Evolution_Name]))+1)/((INDIRECT("Evo[Max "&amp;$J$9&amp;"]")=$J12)*(INDIRECT("Evo[Max "&amp;$J$9&amp;"]")&gt;0)),$I12)),"")</f>
        <v/>
      </c>
      <c r="Q12" s="13">
        <f t="array" ref="Q12">IFERROR(INDEX(INDIRECT("Evo[Req_Other]"),_xlfn.AGGREGATE(15,6,(ROW(Evo[Evolution_Name])-MIN(ROW(Evo[Evolution_Name]))+1)/((INDIRECT("Evo[Max "&amp;$J$9&amp;"]")=$J12)*(INDIRECT("Evo[Max "&amp;$J$9&amp;"]")&gt;0)),$I12)),"")</f>
        <v/>
      </c>
    </row>
    <row r="13" hidden="1">
      <c r="H13" s="40" t="n"/>
      <c r="I13" s="12" t="n">
        <v>3</v>
      </c>
      <c r="J13" s="13">
        <f>_xlfn.MAXIFS(INDIRECT("Evo[Max "&amp;$J$9&amp;"]"),INDIRECT("Evo[Max "&amp;$J$9&amp;"]"),"&gt;0")</f>
        <v/>
      </c>
      <c r="K13" s="14">
        <f t="array" ref="K13">IFERROR(INDEX(Evo[Evolution_Name],_xlfn.AGGREGATE(15,6,(ROW(Evo[Evolution_Name])-MIN(ROW(Evo[Evolution_Name]))+1)/((INDIRECT("Evo[Max "&amp;$J$9&amp;"]")=$J13)*(INDIRECT("Evo[Max "&amp;$J$9&amp;"]")&gt;0)),$I13)),"")</f>
        <v/>
      </c>
      <c r="L13" s="13">
        <f t="array" ref="L13">IFERROR(INDEX(INDIRECT("Evo[+ "&amp;$J$9&amp;"]"),_xlfn.AGGREGATE(15,6,(ROW(Evo[Evolution_Name])-MIN(ROW(Evo[Evolution_Name]))+1)/((INDIRECT("Evo[Max "&amp;$J$9&amp;"]")=$J13)*(INDIRECT("Evo[Max "&amp;$J$9&amp;"]")&gt;0)),$I13)),"")</f>
        <v/>
      </c>
      <c r="M13" s="13">
        <f t="array" ref="M13">IFERROR(INDEX(INDIRECT("Evo[+ OVR]"),_xlfn.AGGREGATE(15,6,(ROW(Evo[Evolution_Name])-MIN(ROW(Evo[Evolution_Name]))+1)/((INDIRECT("Evo[Max "&amp;$J$9&amp;"]")=$J13)*(INDIRECT("Evo[Max "&amp;$J$9&amp;"]")&gt;0)),$I13)),"")</f>
        <v/>
      </c>
      <c r="N13" s="13">
        <f t="array" ref="N13">IFERROR(INDEX(INDIRECT("Evo[Max OVR]"),_xlfn.AGGREGATE(15,6,(ROW(Evo[Evolution_Name])-MIN(ROW(Evo[Evolution_Name]))+1)/((INDIRECT("Evo[Max "&amp;$J$9&amp;"]")=$J13)*(INDIRECT("Evo[Max "&amp;$J$9&amp;"]")&gt;0)),$I13)),"")</f>
        <v/>
      </c>
      <c r="O13" s="13">
        <f t="array" ref="O13">IFERROR(INDEX(INDIRECT("Evo[Req_Position]"),_xlfn.AGGREGATE(15,6,(ROW(Evo[Evolution_Name])-MIN(ROW(Evo[Evolution_Name]))+1)/((INDIRECT("Evo[Max "&amp;$J$9&amp;"]")=$J13)*(INDIRECT("Evo[Max "&amp;$J$9&amp;"]")&gt;0)),$I13)),"")</f>
        <v/>
      </c>
      <c r="P13" s="13">
        <f t="array" ref="P13">IFERROR(INDEX(INDIRECT("Evo[Req_OVR_Max]"),_xlfn.AGGREGATE(15,6,(ROW(Evo[Evolution_Name])-MIN(ROW(Evo[Evolution_Name]))+1)/((INDIRECT("Evo[Max "&amp;$J$9&amp;"]")=$J13)*(INDIRECT("Evo[Max "&amp;$J$9&amp;"]")&gt;0)),$I13)),"")</f>
        <v/>
      </c>
      <c r="Q13" s="13">
        <f t="array" ref="Q13">IFERROR(INDEX(INDIRECT("Evo[Req_Other]"),_xlfn.AGGREGATE(15,6,(ROW(Evo[Evolution_Name])-MIN(ROW(Evo[Evolution_Name]))+1)/((INDIRECT("Evo[Max "&amp;$J$9&amp;"]")=$J13)*(INDIRECT("Evo[Max "&amp;$J$9&amp;"]")&gt;0)),$I13)),"")</f>
        <v/>
      </c>
    </row>
    <row r="14" hidden="1">
      <c r="H14" s="40" t="n"/>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H15" s="38" t="n"/>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6">
    <mergeCell ref="H11:H15"/>
    <mergeCell ref="H21:H25"/>
    <mergeCell ref="H4:H5"/>
    <mergeCell ref="H6:H7"/>
    <mergeCell ref="H16:H20"/>
    <mergeCell ref="H2:H3"/>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0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Lightning Wingback - EA SPORTS FC 26</t>
        </is>
      </c>
      <c r="D2" t="inlineStr">
        <is>
          <t>https://www.fut.gg/evolutions/1978-lightning-wingback/</t>
        </is>
      </c>
      <c r="G2" t="inlineStr">
        <is>
          <t>89</t>
        </is>
      </c>
      <c r="I2" t="inlineStr">
        <is>
          <t>LB</t>
        </is>
      </c>
      <c r="J2" t="inlineStr">
        <is>
          <t>CB</t>
        </is>
      </c>
      <c r="K2" t="inlineStr">
        <is>
          <t>World Tour Silver Stars</t>
        </is>
      </c>
      <c r="L2" t="inlineStr">
        <is>
          <t>World Tour Silver Stars</t>
        </is>
      </c>
      <c r="S2" t="inlineStr">
        <is>
          <t>10</t>
        </is>
      </c>
      <c r="T2" t="inlineStr">
        <is>
          <t>2</t>
        </is>
      </c>
      <c r="X2" t="n">
        <v>60</v>
      </c>
      <c r="Y2" t="n">
        <v>91</v>
      </c>
      <c r="AL2" t="n">
        <v>30</v>
      </c>
      <c r="AM2" t="n">
        <v>93</v>
      </c>
      <c r="AN2" t="n">
        <v>60</v>
      </c>
      <c r="AO2" t="n">
        <v>93</v>
      </c>
      <c r="AP2" t="n">
        <v>100</v>
      </c>
      <c r="AQ2" t="n">
        <v>90</v>
      </c>
      <c r="AT2" t="n">
        <v>50</v>
      </c>
      <c r="AU2" t="n">
        <v>94</v>
      </c>
      <c r="BD2" t="n">
        <v>30</v>
      </c>
      <c r="BE2" t="n">
        <v>94</v>
      </c>
      <c r="BH2" t="n">
        <v>30</v>
      </c>
      <c r="BI2" t="n">
        <v>92</v>
      </c>
      <c r="BJ2" t="n">
        <v>50</v>
      </c>
      <c r="BK2" t="n">
        <v>93</v>
      </c>
      <c r="BN2" t="n">
        <v>30</v>
      </c>
      <c r="BO2" t="n">
        <v>90</v>
      </c>
      <c r="BP2" t="n">
        <v>30</v>
      </c>
      <c r="BQ2" t="n">
        <v>90</v>
      </c>
      <c r="BR2" t="n">
        <v>30</v>
      </c>
      <c r="BS2" t="n">
        <v>93</v>
      </c>
      <c r="BT2" t="n">
        <v>30</v>
      </c>
      <c r="BU2" t="n">
        <v>90</v>
      </c>
      <c r="BV2" t="n">
        <v>30</v>
      </c>
      <c r="BW2" t="n">
        <v>89</v>
      </c>
      <c r="BX2" t="n">
        <v>30</v>
      </c>
      <c r="BY2" t="n">
        <v>89</v>
      </c>
      <c r="BZ2" t="n">
        <v>35</v>
      </c>
      <c r="CA2" t="n">
        <v>92</v>
      </c>
      <c r="CB2" t="n">
        <v>35</v>
      </c>
      <c r="CC2" t="n">
        <v>92</v>
      </c>
      <c r="CD2" t="n">
        <v>35</v>
      </c>
      <c r="CE2" t="n">
        <v>90</v>
      </c>
      <c r="CF2" t="n">
        <v>70</v>
      </c>
      <c r="CG2" t="n">
        <v>87</v>
      </c>
      <c r="CH2" t="n">
        <v>35</v>
      </c>
      <c r="CI2" t="n">
        <v>95</v>
      </c>
      <c r="CJ2" t="n">
        <v>20</v>
      </c>
      <c r="CK2" t="n">
        <v>90</v>
      </c>
      <c r="CL2" t="n">
        <v>20</v>
      </c>
      <c r="CM2" t="n">
        <v>94</v>
      </c>
      <c r="CN2" t="n">
        <v>25</v>
      </c>
      <c r="CO2" t="n">
        <v>91</v>
      </c>
      <c r="CP2" t="n">
        <v>50</v>
      </c>
      <c r="CQ2" t="n">
        <v>92</v>
      </c>
      <c r="CT2" t="n">
        <v>4</v>
      </c>
      <c r="CW2"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Kerkez 89 LB PAC 92 SHO 66 PAS 84 DRI 85 DEF 86 PHY 87 LM L 3 ★ 4 Kerkez 91 LB PAC 93 SHO 66 PAS 84 DRI 85 DEF 86 PHY 87 LM L 3 ★ 4 UPGRADES +30 OVR 91 +35 Standing Tackle 87 +25 Aggression 92 +30 Sprint Speed 93 +50 Positioning 90 7</t>
        </is>
      </c>
      <c r="CX2" t="inlineStr">
        <is>
          <t>Excluded Rarity World Tour Silver Stars Overall Max. 89 Position LB Excluded Position CB Max PS 10 Max PS+ 2 Details Submit by in 9 days Expiry in 16 days Coins Cost 50,000 Points Cost 300</t>
        </is>
      </c>
      <c r="CY2" t="inlineStr">
        <is>
          <t>Excluded Rarity World Tour Silver Stars Overall Max. 89 Position LB Excluded Position CB Max PS 10 Max PS+ 2 Details Submit by in 9 days Expiry in 16 days Coins Cost 50,000 Points Cost 300</t>
        </is>
      </c>
      <c r="CZ2" t="inlineStr">
        <is>
          <t>Lightning Wingback NEW 50,000 300</t>
        </is>
      </c>
      <c r="DA2" t="inlineStr">
        <is>
          <t>Lightning Wingback NEW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9 days in 16 days 90% 10%</t>
        </is>
      </c>
    </row>
    <row r="3">
      <c r="A3" t="inlineStr">
        <is>
          <t>Current</t>
        </is>
      </c>
      <c r="B3" t="inlineStr">
        <is>
          <t>Current Evolutions</t>
        </is>
      </c>
      <c r="C3" t="inlineStr">
        <is>
          <t>Curve Your Enthusiasm - EA SPORTS FC 26</t>
        </is>
      </c>
      <c r="D3" t="inlineStr">
        <is>
          <t>https://www.fut.gg/evolutions/1976-curve-your-enthusiasm/</t>
        </is>
      </c>
      <c r="G3" t="inlineStr">
        <is>
          <t>88</t>
        </is>
      </c>
      <c r="K3" t="inlineStr">
        <is>
          <t>World Tour Silver Stars</t>
        </is>
      </c>
      <c r="L3" t="inlineStr">
        <is>
          <t>World Tour Silver Stars</t>
        </is>
      </c>
      <c r="S3" t="inlineStr">
        <is>
          <t>10</t>
        </is>
      </c>
      <c r="AP3" t="n">
        <v>6</v>
      </c>
      <c r="AQ3" t="n">
        <v>90</v>
      </c>
      <c r="AR3" t="n">
        <v>10</v>
      </c>
      <c r="AS3" t="n">
        <v>92</v>
      </c>
      <c r="AT3" t="n">
        <v>3</v>
      </c>
      <c r="AU3" t="n">
        <v>90</v>
      </c>
      <c r="AV3" t="n">
        <v>5</v>
      </c>
      <c r="AW3" t="n">
        <v>92</v>
      </c>
      <c r="BL3" t="n">
        <v>8</v>
      </c>
      <c r="BM3" t="n">
        <v>95</v>
      </c>
      <c r="CW3" t="inlineStr">
        <is>
          <t>+3 Positioning 90 +5 Finishing 92 +5 Long Shots 92 +3 Shot Power 90 +8 Curve 95 8 Level 1 Yıldız 88 CAM PAC 90 SHO 87 PAS 83 DRI 91 DEF 47 PHY 76 CM LM LW R 5 ★ 5 Yıldız 88 CAM PAC 90 SHO 89 PAS 83 DRI 91 DEF 47 PHY 76 CM LM LW R 5 ★ 5 UPGRADES +3 Positioning 90 +5 Finishing 92 8</t>
        </is>
      </c>
      <c r="CX3" t="inlineStr">
        <is>
          <t>Excluded Rarity World Tour Silver Stars Overall Max. 88 Max PS 10 Details Submit by in 8 days Expiry in 15 days Coins Cost Free Points Cost Free</t>
        </is>
      </c>
      <c r="CY3" t="inlineStr">
        <is>
          <t>Excluded Rarity World Tour Silver Stars Overall Max. 88 Max PS 10 Details Submit by in 8 days Expiry in 15 days Coins Cost Free Points Cost Free</t>
        </is>
      </c>
      <c r="CZ3" t="inlineStr">
        <is>
          <t>Curve Your Enthusiasm 5</t>
        </is>
      </c>
      <c r="DA3"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8 days in 15 days 28% 72%</t>
        </is>
      </c>
    </row>
    <row r="4">
      <c r="A4" t="inlineStr">
        <is>
          <t>Current</t>
        </is>
      </c>
      <c r="B4" t="inlineStr">
        <is>
          <t>Current Evolutions</t>
        </is>
      </c>
      <c r="C4" t="inlineStr">
        <is>
          <t>Cut In, Say Less - EA SPORTS FC 26</t>
        </is>
      </c>
      <c r="D4" t="inlineStr">
        <is>
          <t>https://www.fut.gg/evolutions/1967-cut-in-say-less/</t>
        </is>
      </c>
      <c r="G4" t="inlineStr">
        <is>
          <t>90</t>
        </is>
      </c>
      <c r="I4" t="inlineStr">
        <is>
          <t>RM, RW</t>
        </is>
      </c>
      <c r="K4" t="inlineStr">
        <is>
          <t>World Tour Silver Stars</t>
        </is>
      </c>
      <c r="L4" t="inlineStr">
        <is>
          <t>World Tour Silver Stars</t>
        </is>
      </c>
      <c r="S4" t="inlineStr">
        <is>
          <t>10</t>
        </is>
      </c>
      <c r="T4" t="inlineStr">
        <is>
          <t>2</t>
        </is>
      </c>
      <c r="X4" t="n">
        <v>34</v>
      </c>
      <c r="Y4" t="n">
        <v>92</v>
      </c>
      <c r="AL4" t="n">
        <v>34</v>
      </c>
      <c r="AM4" t="n">
        <v>93</v>
      </c>
      <c r="AN4" t="n">
        <v>34</v>
      </c>
      <c r="AO4" t="n">
        <v>91</v>
      </c>
      <c r="AR4" t="n">
        <v>17</v>
      </c>
      <c r="AS4" t="n">
        <v>92</v>
      </c>
      <c r="AT4" t="n">
        <v>17</v>
      </c>
      <c r="AU4" t="n">
        <v>91</v>
      </c>
      <c r="AV4" t="n">
        <v>17</v>
      </c>
      <c r="AW4" t="n">
        <v>90</v>
      </c>
      <c r="AX4" t="n">
        <v>17</v>
      </c>
      <c r="AY4" t="n">
        <v>86</v>
      </c>
      <c r="BB4" t="n">
        <v>34</v>
      </c>
      <c r="BC4" t="n">
        <v>93</v>
      </c>
      <c r="BD4" t="n">
        <v>34</v>
      </c>
      <c r="BE4" t="n">
        <v>90</v>
      </c>
      <c r="BH4" t="n">
        <v>17</v>
      </c>
      <c r="BI4" t="n">
        <v>92</v>
      </c>
      <c r="BJ4" t="n">
        <v>17</v>
      </c>
      <c r="BK4" t="n">
        <v>91</v>
      </c>
      <c r="BL4" t="n">
        <v>17</v>
      </c>
      <c r="BM4" t="n">
        <v>94</v>
      </c>
      <c r="BN4" t="n">
        <v>17</v>
      </c>
      <c r="BO4" t="n">
        <v>94</v>
      </c>
      <c r="BP4" t="n">
        <v>17</v>
      </c>
      <c r="BQ4" t="n">
        <v>92</v>
      </c>
      <c r="BR4" t="n">
        <v>17</v>
      </c>
      <c r="BS4" t="n">
        <v>91</v>
      </c>
      <c r="BT4" t="n">
        <v>17</v>
      </c>
      <c r="BU4" t="n">
        <v>91</v>
      </c>
      <c r="BV4" t="n">
        <v>17</v>
      </c>
      <c r="BW4" t="n">
        <v>92</v>
      </c>
      <c r="BX4" t="n">
        <v>17</v>
      </c>
      <c r="BY4" t="n">
        <v>91</v>
      </c>
      <c r="CR4" t="n">
        <v>4</v>
      </c>
      <c r="CS4" t="n">
        <v>5</v>
      </c>
      <c r="CW4"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Cherki 90 RW PAC 88 SHO 87 PAS 91 DRI 94 DEF 33 PHY 76 RM CAM L 5 ★ 5 Cherki 92 RW PAC 92 SHO 87 PAS 92 DRI 94 DEF 33 PHY 76 RM CAM L 5 ★ 5 UPGRADES +17 OVR 92 +17 Acceleration 93 +17 Sprint Speed 91 +17 Vision 93 +17 Crossing 90 +17 Fk Accuracy 89 3</t>
        </is>
      </c>
      <c r="CX4" t="inlineStr">
        <is>
          <t>Excluded Rarity World Tour Silver Stars Overall Max. 90 Position RM, RW Max PS 10 Max PS+ 2 Details Submit by in 7 days Expiry in 14 days Coins Cost 100,000 Points Cost 500</t>
        </is>
      </c>
      <c r="CY4" t="inlineStr">
        <is>
          <t>Excluded Rarity World Tour Silver Stars Overall Max. 90 Position RM, RW Max PS 10 Max PS+ 2 Details Submit by in 7 days Expiry in 14 days Coins Cost 100,000 Points Cost 500</t>
        </is>
      </c>
      <c r="CZ4" t="inlineStr">
        <is>
          <t>Cut In, Say Less 100,000 500</t>
        </is>
      </c>
      <c r="DA4"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7 days in 14 days 63% 37%</t>
        </is>
      </c>
    </row>
    <row r="5">
      <c r="A5" t="inlineStr">
        <is>
          <t>Current</t>
        </is>
      </c>
      <c r="B5" t="inlineStr">
        <is>
          <t>Current Evolutions</t>
        </is>
      </c>
      <c r="C5" t="inlineStr">
        <is>
          <t>Chrome Finishers - EA SPORTS FC 26</t>
        </is>
      </c>
      <c r="D5" t="inlineStr">
        <is>
          <t>https://www.fut.gg/evolutions/1964-chrome-finishers/</t>
        </is>
      </c>
      <c r="G5" t="inlineStr">
        <is>
          <t>74</t>
        </is>
      </c>
      <c r="K5" t="inlineStr">
        <is>
          <t>World Tour Silver Stars</t>
        </is>
      </c>
      <c r="L5" t="inlineStr">
        <is>
          <t>World Tour Silver Stars</t>
        </is>
      </c>
      <c r="S5" t="inlineStr">
        <is>
          <t>10</t>
        </is>
      </c>
      <c r="T5" t="inlineStr">
        <is>
          <t>2</t>
        </is>
      </c>
      <c r="AL5" t="n">
        <v>1</v>
      </c>
      <c r="AM5" t="n">
        <v>85</v>
      </c>
      <c r="AN5" t="n">
        <v>1</v>
      </c>
      <c r="AO5" t="n">
        <v>85</v>
      </c>
      <c r="AR5" t="n">
        <v>3</v>
      </c>
      <c r="AS5" t="n">
        <v>77</v>
      </c>
      <c r="AT5" t="n">
        <v>3</v>
      </c>
      <c r="AU5" t="n">
        <v>75</v>
      </c>
      <c r="AV5" t="n">
        <v>3</v>
      </c>
      <c r="AW5" t="n">
        <v>78</v>
      </c>
      <c r="AX5" t="n">
        <v>4</v>
      </c>
      <c r="AY5" t="n">
        <v>73</v>
      </c>
      <c r="AZ5" t="n">
        <v>2</v>
      </c>
      <c r="BA5" t="n">
        <v>70</v>
      </c>
      <c r="BB5" t="n">
        <v>1</v>
      </c>
      <c r="BC5" t="n">
        <v>76</v>
      </c>
      <c r="BH5" t="n">
        <v>1</v>
      </c>
      <c r="BI5" t="n">
        <v>78</v>
      </c>
      <c r="BJ5" t="n">
        <v>1</v>
      </c>
      <c r="BK5" t="n">
        <v>75</v>
      </c>
      <c r="BL5" t="n">
        <v>1</v>
      </c>
      <c r="BM5" t="n">
        <v>71</v>
      </c>
      <c r="BN5" t="n">
        <v>2</v>
      </c>
      <c r="BO5" t="n">
        <v>74</v>
      </c>
      <c r="BP5" t="n">
        <v>2</v>
      </c>
      <c r="BQ5" t="n">
        <v>73</v>
      </c>
      <c r="BX5" t="n">
        <v>2</v>
      </c>
      <c r="BY5" t="n">
        <v>78</v>
      </c>
      <c r="CL5" t="n">
        <v>2</v>
      </c>
      <c r="CM5" t="n">
        <v>80</v>
      </c>
      <c r="CW5" t="inlineStr">
        <is>
          <t>+2 Volleys 73 +2 Finishing 77 +2 Long Shots 78 +2 Shot Power 75 +1 Short Pass 78 +2 Stamina 80 +1 Curve 71 +2 Penalties 70 +1 Acceleration 85 +1 Vision 76 +2 Balance 73 +1 Long Pass 75 +1 Sprint Speed 85 +2 Composure 78 +2 Agility 74 2 8 Level 1 Rybrink 74 CB PAC 63 SHO 48 PAS 56 DRI 67 DEF 76 PHY 74 R 2 ★ 3 Rybrink 74 CB PAC 63 SHO 49 PAS 56 DRI 67 DEF 76 PHY 74 R 2 ★ 3 UPGRADES +2 Volleys 73 +1 Finishing 77 +1 Long Shots 78 +1 Shot Power 75 2 8</t>
        </is>
      </c>
      <c r="CX5" t="inlineStr">
        <is>
          <t>Excluded Rarity World Tour Silver Stars Overall Max. 74 Max PS 10 Max PS+ 2 Details Submit by in 6 days Expiry in 13 days Coins Cost Free Points Cost Free</t>
        </is>
      </c>
      <c r="CY5" t="inlineStr">
        <is>
          <t>Excluded Rarity World Tour Silver Stars Overall Max. 74 Max PS 10 Max PS+ 2 Details Submit by in 6 days Expiry in 13 days Coins Cost Free Points Cost Free</t>
        </is>
      </c>
      <c r="CZ5" t="inlineStr">
        <is>
          <t>Chrome Finishers 3</t>
        </is>
      </c>
      <c r="DA5" t="inlineStr">
        <is>
          <t>Chrome Finishers 3 Sleek, polished, and built to shine under pressure. Clean strikes, smooth movement, and just enough flash to make every finish look better than it probably was. Aliseda 72 LM PAC 86 SHO 69 PAS 66 DRI 74 DEF 36 PHY 61 ST LW L 4 ★ 4 LM 71.1 Aliseda 72 LM PAC 86 SHO 70 PAS 67 DRI 74 DEF 36 PHY 61 ST LW L 4 ★ 4 LM 76.7 REQUIREMENTS Excluded Rarity World Tour Silver Stars Overall Max. 74 Max PS 10 Max PS+ 2 UPGRADES +2 Volleys 73 +2 Finishing 77 +2 Long Shots 78 +2 Shot Power 75 +1 Short Pass 78 +2 Stamina 80 +1 Curve 71 +2 Penalties 70 +1 Acceleration 85 +1 Vision 76 +2 Balance 73 +1 Long Pass 75 +1 Sprint Speed 85 +2 Composure 78 +2 Agility 74 2 8 in 6 days in 13 days 6% 94%</t>
        </is>
      </c>
    </row>
    <row r="6">
      <c r="A6" t="inlineStr">
        <is>
          <t>Current</t>
        </is>
      </c>
      <c r="B6" t="inlineStr">
        <is>
          <t>Current Evolutions</t>
        </is>
      </c>
      <c r="C6" t="inlineStr">
        <is>
          <t>Flint &amp; Steel - EA SPORTS FC 26</t>
        </is>
      </c>
      <c r="D6" t="inlineStr">
        <is>
          <t>https://www.fut.gg/evolutions/1963-flint-steel/</t>
        </is>
      </c>
      <c r="G6" t="inlineStr">
        <is>
          <t>88</t>
        </is>
      </c>
      <c r="I6" t="inlineStr">
        <is>
          <t>CB</t>
        </is>
      </c>
      <c r="K6" t="inlineStr">
        <is>
          <t>World Tour Silver Stars</t>
        </is>
      </c>
      <c r="L6" t="inlineStr">
        <is>
          <t>World Tour Silver Stars</t>
        </is>
      </c>
      <c r="M6" t="inlineStr">
        <is>
          <t>89</t>
        </is>
      </c>
      <c r="S6" t="inlineStr">
        <is>
          <t>10</t>
        </is>
      </c>
      <c r="T6" t="inlineStr">
        <is>
          <t>2</t>
        </is>
      </c>
      <c r="X6" t="n">
        <v>30</v>
      </c>
      <c r="Y6" t="n">
        <v>90</v>
      </c>
      <c r="AD6" t="n">
        <v>10</v>
      </c>
      <c r="AE6" t="n">
        <v>83</v>
      </c>
      <c r="AL6" t="n">
        <v>20</v>
      </c>
      <c r="AM6" t="n">
        <v>90</v>
      </c>
      <c r="AN6" t="n">
        <v>10</v>
      </c>
      <c r="AO6" t="n">
        <v>90</v>
      </c>
      <c r="BN6" t="n">
        <v>20</v>
      </c>
      <c r="BO6" t="n">
        <v>88</v>
      </c>
      <c r="BP6" t="n">
        <v>20</v>
      </c>
      <c r="BQ6" t="n">
        <v>90</v>
      </c>
      <c r="BR6" t="n">
        <v>20</v>
      </c>
      <c r="BS6" t="n">
        <v>90</v>
      </c>
      <c r="BX6" t="n">
        <v>20</v>
      </c>
      <c r="BY6" t="n">
        <v>90</v>
      </c>
      <c r="BZ6" t="n">
        <v>15</v>
      </c>
      <c r="CA6" t="n">
        <v>88</v>
      </c>
      <c r="CB6" t="n">
        <v>40</v>
      </c>
      <c r="CC6" t="n">
        <v>95</v>
      </c>
      <c r="CD6" t="n">
        <v>15</v>
      </c>
      <c r="CE6" t="n">
        <v>89</v>
      </c>
      <c r="CF6" t="n">
        <v>15</v>
      </c>
      <c r="CG6" t="n">
        <v>88</v>
      </c>
      <c r="CH6" t="n">
        <v>15</v>
      </c>
      <c r="CI6" t="n">
        <v>88</v>
      </c>
      <c r="CJ6" t="n">
        <v>60</v>
      </c>
      <c r="CK6" t="n">
        <v>95</v>
      </c>
      <c r="CL6" t="n">
        <v>30</v>
      </c>
      <c r="CM6" t="n">
        <v>87</v>
      </c>
      <c r="CN6" t="n">
        <v>50</v>
      </c>
      <c r="CO6" t="n">
        <v>95</v>
      </c>
      <c r="CP6" t="n">
        <v>60</v>
      </c>
      <c r="CQ6" t="n">
        <v>92</v>
      </c>
      <c r="CT6" t="n">
        <v>3</v>
      </c>
      <c r="CU6" t="n">
        <v>4</v>
      </c>
      <c r="CW6" t="inlineStr">
        <is>
          <t>+15 OVR 90 +10 PAS 83 +3 WF 4 +40 Jumping 95 +40 Aggression 92 +10 Acceleration 90 +15 Defensive Awareness 89 +40 Heading Acc. 95 +15 Standing Tackle 88 +20 Agility 88 +20 Balance 90 +20 Composure 90 +20 Reactions 90 +50 Strength 95 +10 Sprint Speed 90 +30 Stamina 87 +15 Sliding Tackle 88 +15 Interceptions 88 2 8 Level 1 Carles Puyol 88 CB PAC 88 SHO 45 PAS 75 DRI 80 DEF 88 PHY 89 RB R 3 ★ 4 Carles Puyol 90 CB PAC 89 SHO 45 PAS 75 DRI 80 DEF 88 PHY 90 RB R 3 ★ 4 UPGRADES +15 OVR 90 +20 Jumping 95 +20 Aggression 92 +10 Acceleration 90 2 8</t>
        </is>
      </c>
      <c r="CX6" t="inlineStr">
        <is>
          <t>Excluded Rarity World Tour Silver Stars Overall Max. 88 Position CB Max PS 10 Max PS+ 2 Pace Max. 89 Details Submit by in 5 days Expiry in 12 days Coins Cost Free Points Cost Free</t>
        </is>
      </c>
      <c r="CY6" t="inlineStr">
        <is>
          <t>Excluded Rarity World Tour Silver Stars Overall Max. 88 Position CB Max PS 10 Max PS+ 2 Pace Max. 89 Details Submit by in 5 days Expiry in 12 days Coins Cost Free Points Cost Free</t>
        </is>
      </c>
      <c r="CZ6" t="inlineStr">
        <is>
          <t>Flint &amp; Steel</t>
        </is>
      </c>
      <c r="DA6" t="inlineStr">
        <is>
          <t>Flint &amp; Steel Forged in fire, built to dominate. A relentless force in every duel and a constant danger in the box. Burn 86 CB PAC 82 SHO 65 PAS 74 DRI 76 DEF 86 PHY 88 L 2 ★ 3 CB 81.1 Burn 90 CB PAC 88 SHO 65 PAS 83 DRI 80 DEF 89 PHY 92 L 2 ★ 4 CB 92.2 REQUIREMENTS Excluded Rarity World Tour Silver Stars Overall Max. 88 Position CB Max PS 10 Max PS+ 2 Pace Max. 89 UPGRADES +15 OVR 90 +10 PAS 83 +3 WF 4 +40 Jumping 95 +40 Aggression 92 +10 Acceleration 90 +15 Defensive Awareness 89 +40 Heading Acc. 95 +15 Standing Tackle 88 +20 Agility 88 +20 Balance 90 +20 Composure 90 +20 Reactions 90 +50 Strength 95 +10 Sprint Speed 90 +30 Stamina 87 +15 Sliding Tackle 88 +15 Interceptions 88 2 8 Show less in 5 days in 12 days 18% 82%</t>
        </is>
      </c>
    </row>
    <row r="7">
      <c r="A7" t="inlineStr">
        <is>
          <t>Current</t>
        </is>
      </c>
      <c r="B7" t="inlineStr">
        <is>
          <t>Current Evolutions</t>
        </is>
      </c>
      <c r="C7" t="inlineStr">
        <is>
          <t>Rapid Gains - EA SPORTS FC 26</t>
        </is>
      </c>
      <c r="D7" t="inlineStr">
        <is>
          <t>https://www.fut.gg/evolutions/1962-rapid-gains/</t>
        </is>
      </c>
      <c r="G7" t="inlineStr">
        <is>
          <t>88</t>
        </is>
      </c>
      <c r="K7" t="inlineStr">
        <is>
          <t>World Tour Silver Stars</t>
        </is>
      </c>
      <c r="L7" t="inlineStr">
        <is>
          <t>World Tour Silver Stars</t>
        </is>
      </c>
      <c r="S7" t="inlineStr">
        <is>
          <t>10</t>
        </is>
      </c>
      <c r="BN7" t="n">
        <v>20</v>
      </c>
      <c r="BO7" t="n">
        <v>90</v>
      </c>
      <c r="CN7" t="n">
        <v>20</v>
      </c>
      <c r="CO7" t="n">
        <v>95</v>
      </c>
      <c r="CW7" t="inlineStr">
        <is>
          <t>+10 Agility 90 +10 Strength 95 8 Level 1 Yeremy Pino 88 RM PAC 95 SHO 88 PAS 89 DRI 89 DEF 49 PHY 66 LM RW LW R 3 ★ 4 Yeremy Pino 88 RM PAC 95 SHO 88 PAS 89 DRI 90 DEF 49 PHY 71 LM RW LW R 3 ★ 4 UPGRADES +10 Agility 90 +10 Strength 95 8</t>
        </is>
      </c>
      <c r="CX7" t="inlineStr">
        <is>
          <t>Excluded Rarity World Tour Silver Stars Overall Max. 88 Max PS 10 Details Submit by in 4 days Expiry in 11 days Coins Cost Free Points Cost Free</t>
        </is>
      </c>
      <c r="CY7" t="inlineStr">
        <is>
          <t>Excluded Rarity World Tour Silver Stars Overall Max. 88 Max PS 10 Details Submit by in 4 days Expiry in 11 days Coins Cost Free Points Cost Free</t>
        </is>
      </c>
      <c r="CZ7" t="inlineStr">
        <is>
          <t>Rapid Gains 3</t>
        </is>
      </c>
      <c r="DA7" t="inlineStr">
        <is>
          <t>Rapid Gains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4 days in 11 days 70% 30%</t>
        </is>
      </c>
    </row>
    <row r="8">
      <c r="A8" t="inlineStr">
        <is>
          <t>Current</t>
        </is>
      </c>
      <c r="B8" t="inlineStr">
        <is>
          <t>Current Evolutions</t>
        </is>
      </c>
      <c r="C8" t="inlineStr">
        <is>
          <t>Tie Interceptor - EA SPORTS FC 26</t>
        </is>
      </c>
      <c r="D8" t="inlineStr">
        <is>
          <t>https://www.fut.gg/evolutions/1954-tie-interceptor/</t>
        </is>
      </c>
      <c r="G8" t="inlineStr">
        <is>
          <t>88</t>
        </is>
      </c>
      <c r="K8" t="inlineStr">
        <is>
          <t>World Tour Silver Stars</t>
        </is>
      </c>
      <c r="L8" t="inlineStr">
        <is>
          <t>World Tour Silver Stars</t>
        </is>
      </c>
      <c r="S8" t="inlineStr">
        <is>
          <t>10</t>
        </is>
      </c>
      <c r="T8" t="inlineStr">
        <is>
          <t>2</t>
        </is>
      </c>
      <c r="X8" t="n">
        <v>2</v>
      </c>
      <c r="BB8" t="n">
        <v>10</v>
      </c>
      <c r="BC8" t="n">
        <v>91</v>
      </c>
      <c r="BH8" t="n">
        <v>4</v>
      </c>
      <c r="BI8" t="n">
        <v>90</v>
      </c>
      <c r="BJ8" t="n">
        <v>4</v>
      </c>
      <c r="BK8" t="n">
        <v>93</v>
      </c>
      <c r="BN8" t="n">
        <v>10</v>
      </c>
      <c r="BO8" t="n">
        <v>88</v>
      </c>
      <c r="BZ8" t="n">
        <v>10</v>
      </c>
      <c r="CA8" t="n">
        <v>93</v>
      </c>
      <c r="CD8" t="n">
        <v>5</v>
      </c>
      <c r="CE8" t="n">
        <v>92</v>
      </c>
      <c r="CN8" t="n">
        <v>2</v>
      </c>
      <c r="CO8" t="n">
        <v>92</v>
      </c>
      <c r="CP8" t="n">
        <v>2</v>
      </c>
      <c r="CQ8" t="n">
        <v>93</v>
      </c>
      <c r="CW8" t="inlineStr">
        <is>
          <t>+1 OVR +5 Vision 91 +2 Short Pass 90 +2 Long Pass 93 +5 Agility 88 +5 Interceptions 93 +5 Defensive Awareness 92 +2 Strength 92 +2 Aggression 93 2 8 Level 1 Rodman 88 ST PAC 91 SHO 88 PAS 81 DRI 86 DEF 70 PHY 86 RM RW R 4 ★ 5 Rodman 89 ST PAC 91 SHO 88 PAS 83 DRI 86 DEF 71 PHY 86 RM RW R 4 ★ 5 UPGRADES +1 OVR +5 Vision 91 +2 Short Pass 90 +2 Long Pass 93 +5 Agility 88 +5 Interceptions 93</t>
        </is>
      </c>
      <c r="CX8" t="inlineStr">
        <is>
          <t>Excluded Rarity World Tour Silver Stars Overall Max. 88 Max PS 10 Max PS+ 2 Details Submit by in 3 days Expiry in 10 days Coins Cost Free Points Cost Free</t>
        </is>
      </c>
      <c r="CY8" t="inlineStr">
        <is>
          <t>Excluded Rarity World Tour Silver Stars Overall Max. 88 Max PS 10 Max PS+ 2 Details Submit by in 3 days Expiry in 10 days Coins Cost Free Points Cost Free</t>
        </is>
      </c>
      <c r="CZ8" t="inlineStr">
        <is>
          <t>Tie Interceptor 3</t>
        </is>
      </c>
      <c r="DA8" t="inlineStr">
        <is>
          <t>Tie Interceptor 3 Make key defensive stops and drive the ball forward in the moments that define the match. Matheus Dias 87 CDM PAC 85 SHO 75 PAS 85 DRI 85 DEF 86 PHY 87 CB CM R 5 ★ 4 CM 86.4 Matheus Dias 88 CDM PAC 85 SHO 75 PAS 86 DRI 86 DEF 89 PHY 88 CB CM R 5 ★ 4 CDM 90.9 REQUIREMENTS Excluded Rarity World Tour Silver Stars Overall Max. 88 Max PS 10 Max PS+ 2 UPGRADES +1 OVR +5 Vision 91 +2 Short Pass 90 +2 Long Pass 93 +5 Agility 88 +5 Interceptions 93 +5 Defensive Awareness 92 +2 Strength 92 +2 Aggression 93 2 8 in 3 days in 10 days 60% 40%</t>
        </is>
      </c>
    </row>
    <row r="9">
      <c r="A9" t="inlineStr">
        <is>
          <t>Current</t>
        </is>
      </c>
      <c r="B9" t="inlineStr">
        <is>
          <t>Current Evolutions</t>
        </is>
      </c>
      <c r="C9" t="inlineStr">
        <is>
          <t>The Trailblazer - EA SPORTS FC 26</t>
        </is>
      </c>
      <c r="D9" t="inlineStr">
        <is>
          <t>https://www.fut.gg/evolutions/1953-the-trailblazer/</t>
        </is>
      </c>
      <c r="G9" t="inlineStr">
        <is>
          <t>89</t>
        </is>
      </c>
      <c r="I9" t="inlineStr">
        <is>
          <t>RB</t>
        </is>
      </c>
      <c r="J9" t="inlineStr">
        <is>
          <t>CB</t>
        </is>
      </c>
      <c r="K9" t="inlineStr">
        <is>
          <t>World Tour Silver Stars</t>
        </is>
      </c>
      <c r="L9" t="inlineStr">
        <is>
          <t>World Tour Silver Stars</t>
        </is>
      </c>
      <c r="S9" t="inlineStr">
        <is>
          <t>10</t>
        </is>
      </c>
      <c r="T9" t="inlineStr">
        <is>
          <t>2</t>
        </is>
      </c>
      <c r="X9" t="n">
        <v>30</v>
      </c>
      <c r="Y9" t="n">
        <v>91</v>
      </c>
      <c r="AL9" t="n">
        <v>50</v>
      </c>
      <c r="AM9" t="n">
        <v>92</v>
      </c>
      <c r="AN9" t="n">
        <v>25</v>
      </c>
      <c r="AO9" t="n">
        <v>91</v>
      </c>
      <c r="BB9" t="n">
        <v>15</v>
      </c>
      <c r="BC9" t="n">
        <v>87</v>
      </c>
      <c r="BD9" t="n">
        <v>20</v>
      </c>
      <c r="BE9" t="n">
        <v>89</v>
      </c>
      <c r="BH9" t="n">
        <v>50</v>
      </c>
      <c r="BI9" t="n">
        <v>93</v>
      </c>
      <c r="BJ9" t="n">
        <v>50</v>
      </c>
      <c r="BK9" t="n">
        <v>89</v>
      </c>
      <c r="BL9" t="n">
        <v>30</v>
      </c>
      <c r="BM9" t="n">
        <v>88</v>
      </c>
      <c r="BN9" t="n">
        <v>20</v>
      </c>
      <c r="BO9" t="n">
        <v>91</v>
      </c>
      <c r="BP9" t="n">
        <v>20</v>
      </c>
      <c r="BQ9" t="n">
        <v>88</v>
      </c>
      <c r="BR9" t="n">
        <v>20</v>
      </c>
      <c r="BS9" t="n">
        <v>89</v>
      </c>
      <c r="BT9" t="n">
        <v>20</v>
      </c>
      <c r="BU9" t="n">
        <v>90</v>
      </c>
      <c r="BV9" t="n">
        <v>20</v>
      </c>
      <c r="BW9" t="n">
        <v>90</v>
      </c>
      <c r="BX9" t="n">
        <v>20</v>
      </c>
      <c r="BY9" t="n">
        <v>91</v>
      </c>
      <c r="BZ9" t="n">
        <v>15</v>
      </c>
      <c r="CA9" t="n">
        <v>92</v>
      </c>
      <c r="CB9" t="n">
        <v>10</v>
      </c>
      <c r="CC9" t="n">
        <v>88</v>
      </c>
      <c r="CD9" t="n">
        <v>10</v>
      </c>
      <c r="CE9" t="n">
        <v>90</v>
      </c>
      <c r="CF9" t="n">
        <v>15</v>
      </c>
      <c r="CG9" t="n">
        <v>94</v>
      </c>
      <c r="CH9" t="n">
        <v>15</v>
      </c>
      <c r="CI9" t="n">
        <v>90</v>
      </c>
      <c r="CJ9" t="n">
        <v>10</v>
      </c>
      <c r="CK9" t="n">
        <v>85</v>
      </c>
      <c r="CL9" t="n">
        <v>10</v>
      </c>
      <c r="CM9" t="n">
        <v>90</v>
      </c>
      <c r="CN9" t="n">
        <v>10</v>
      </c>
      <c r="CO9" t="n">
        <v>89</v>
      </c>
      <c r="CP9" t="n">
        <v>10</v>
      </c>
      <c r="CQ9" t="n">
        <v>89</v>
      </c>
      <c r="CT9" t="n">
        <v>4</v>
      </c>
      <c r="CW9" t="inlineStr">
        <is>
          <t>+15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Level 1 Lamptey 89 RB PAC 93 SHO 75 PAS 85 DRI 90 DEF 89 PHY 80 LB RM R 4 ★ 4 Lamptey 91 RB PAC 93 SHO 75 PAS 87 DRI 90 DEF 89 PHY 80 LB RM R 4 ★ 4 UPGRADES +15 OVR 91 +25 Acceleration 92 +25 Short Pass 93 +25 Long Pass 89 +15 Curve 88 3 7</t>
        </is>
      </c>
      <c r="CX9" t="inlineStr">
        <is>
          <t>Excluded Rarity World Tour Silver Stars Overall Max. 89 Position RB Excluded Position CB Max PS 10 Max PS+ 2 Details Submit by in 2 days Expiry in 9 days Coins Cost 30,000 Points Cost 300</t>
        </is>
      </c>
      <c r="CY9" t="inlineStr">
        <is>
          <t>Excluded Rarity World Tour Silver Stars Overall Max. 89 Position RB Excluded Position CB Max PS 10 Max PS+ 2 Details Submit by in 2 days Expiry in 9 days Coins Cost 30,000 Points Cost 300</t>
        </is>
      </c>
      <c r="CZ9" t="inlineStr">
        <is>
          <t>The Trailblazer 30,000 300</t>
        </is>
      </c>
      <c r="DA9" t="inlineStr">
        <is>
          <t>The Trailblazer 30,000 300 Right‑side brilliance meets big‑game pedigree. A trophy‑winning Lioness with fearless overlaps and pinpoint delivery, redefining what a modern full‑back can be. Wan-Bissaka 80 RB PAC 80 SHO 51 PAS 69 DRI 77 DEF 78 PHY 73 RM R 3 ★ 2 RB 73.5 Wan-Bissaka 91 RB PAC 91 SHO 51 PAS 87 DRI 90 DEF 89 PHY 83 RM R 3 ★ 5 RB 92.4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2 days in 9 days 83% 17%</t>
        </is>
      </c>
    </row>
    <row r="10">
      <c r="A10" t="inlineStr">
        <is>
          <t>Current</t>
        </is>
      </c>
      <c r="B10" t="inlineStr">
        <is>
          <t>Current Evolutions</t>
        </is>
      </c>
      <c r="C10" t="inlineStr">
        <is>
          <t>Fountain of Youth - EA SPORTS FC 26</t>
        </is>
      </c>
      <c r="D10" t="inlineStr">
        <is>
          <t>https://www.fut.gg/evolutions/1951-fountain-of-youth/</t>
        </is>
      </c>
      <c r="G10" t="inlineStr">
        <is>
          <t>88</t>
        </is>
      </c>
      <c r="K10" t="inlineStr">
        <is>
          <t>World Tour Silver Stars</t>
        </is>
      </c>
      <c r="L10" t="inlineStr">
        <is>
          <t>World Tour Silver Stars</t>
        </is>
      </c>
      <c r="V10" t="inlineStr">
        <is>
          <t>1996-04-25</t>
        </is>
      </c>
      <c r="AL10" t="n">
        <v>6</v>
      </c>
      <c r="AM10" t="n">
        <v>91</v>
      </c>
      <c r="AN10" t="n">
        <v>6</v>
      </c>
      <c r="AO10" t="n">
        <v>90</v>
      </c>
      <c r="BN10" t="n">
        <v>10</v>
      </c>
      <c r="BO10" t="n">
        <v>94</v>
      </c>
      <c r="BP10" t="n">
        <v>10</v>
      </c>
      <c r="BQ10" t="n">
        <v>94</v>
      </c>
      <c r="CL10" t="n">
        <v>20</v>
      </c>
      <c r="CM10" t="n">
        <v>95</v>
      </c>
      <c r="CW10" t="inlineStr">
        <is>
          <t>+3 Acceleration 91 +3 Sprint Speed 90 +5 Agility 94 +5 Balance 94 +10 Stamina 95 Level 1 Pablo Fornals 88 RM PAC 88 SHO 89 PAS 88 DRI 90 DEF 86 PHY 84 CDM CM RW R 4 ★ 4 Pablo Fornals 88 RM PAC 90 SHO 89 PAS 88 DRI 91 DEF 86 PHY 85 CDM CM RW R 4 ★ 4 UPGRADES +3 Acceleration 91 +3 Sprint Speed 90 +5 Agility 94 +5 Balance 94 +10 Stamina 95</t>
        </is>
      </c>
      <c r="CX10" t="inlineStr">
        <is>
          <t>Excluded Rarity World Tour Silver Stars Overall Max. 88 Born Before 1996-04-25 Details Submit by in 1 day Expiry in 8 days Coins Cost Free Points Cost Free</t>
        </is>
      </c>
      <c r="CY10" t="inlineStr">
        <is>
          <t>Excluded Rarity World Tour Silver Stars Overall Max. 88 Born Before 1996-04-25 Details Submit by in 1 day Expiry in 8 days Coins Cost Free Points Cost Free</t>
        </is>
      </c>
      <c r="CZ10" t="inlineStr">
        <is>
          <t>Fountain of Youth 3</t>
        </is>
      </c>
      <c r="DA10"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1 day in 8 days 25% 75%</t>
        </is>
      </c>
    </row>
    <row r="11">
      <c r="A11" t="inlineStr">
        <is>
          <t>Current</t>
        </is>
      </c>
      <c r="B11" t="inlineStr">
        <is>
          <t>Current Evolutions</t>
        </is>
      </c>
      <c r="C11" t="inlineStr">
        <is>
          <t>The King of Highbury - EA SPORTS FC 26</t>
        </is>
      </c>
      <c r="D11" t="inlineStr">
        <is>
          <t>https://www.fut.gg/evolutions/1939-the-king-of-highbury/</t>
        </is>
      </c>
      <c r="G11" t="inlineStr">
        <is>
          <t>90</t>
        </is>
      </c>
      <c r="I11" t="inlineStr">
        <is>
          <t>ST, LW</t>
        </is>
      </c>
      <c r="K11" t="inlineStr">
        <is>
          <t>World Tour Silver Stars</t>
        </is>
      </c>
      <c r="L11" t="inlineStr">
        <is>
          <t>World Tour Silver Stars</t>
        </is>
      </c>
      <c r="M11" t="inlineStr">
        <is>
          <t>95</t>
        </is>
      </c>
      <c r="S11" t="inlineStr">
        <is>
          <t>10</t>
        </is>
      </c>
      <c r="T11" t="inlineStr">
        <is>
          <t>2</t>
        </is>
      </c>
      <c r="X11" t="n">
        <v>60</v>
      </c>
      <c r="Y11" t="n">
        <v>91</v>
      </c>
      <c r="AL11" t="n">
        <v>60</v>
      </c>
      <c r="AM11" t="n">
        <v>92</v>
      </c>
      <c r="AN11" t="n">
        <v>30</v>
      </c>
      <c r="AO11" t="n">
        <v>92</v>
      </c>
      <c r="AP11" t="n">
        <v>30</v>
      </c>
      <c r="AQ11" t="n">
        <v>92</v>
      </c>
      <c r="AR11" t="n">
        <v>30</v>
      </c>
      <c r="AS11" t="n">
        <v>94</v>
      </c>
      <c r="AT11" t="n">
        <v>30</v>
      </c>
      <c r="AU11" t="n">
        <v>91</v>
      </c>
      <c r="AV11" t="n">
        <v>30</v>
      </c>
      <c r="AW11" t="n">
        <v>91</v>
      </c>
      <c r="AX11" t="n">
        <v>30</v>
      </c>
      <c r="AY11" t="n">
        <v>89</v>
      </c>
      <c r="AZ11" t="n">
        <v>30</v>
      </c>
      <c r="BA11" t="n">
        <v>85</v>
      </c>
      <c r="BB11" t="n">
        <v>30</v>
      </c>
      <c r="BC11" t="n">
        <v>85</v>
      </c>
      <c r="BD11" t="n">
        <v>30</v>
      </c>
      <c r="BE11" t="n">
        <v>85</v>
      </c>
      <c r="BH11" t="n">
        <v>30</v>
      </c>
      <c r="BI11" t="n">
        <v>88</v>
      </c>
      <c r="BJ11" t="n">
        <v>30</v>
      </c>
      <c r="BK11" t="n">
        <v>85</v>
      </c>
      <c r="BL11" t="n">
        <v>30</v>
      </c>
      <c r="BM11" t="n">
        <v>95</v>
      </c>
      <c r="BN11" t="n">
        <v>60</v>
      </c>
      <c r="BO11" t="n">
        <v>90</v>
      </c>
      <c r="BP11" t="n">
        <v>60</v>
      </c>
      <c r="BQ11" t="n">
        <v>88</v>
      </c>
      <c r="BR11" t="n">
        <v>60</v>
      </c>
      <c r="BS11" t="n">
        <v>93</v>
      </c>
      <c r="BT11" t="n">
        <v>60</v>
      </c>
      <c r="BU11" t="n">
        <v>89</v>
      </c>
      <c r="BV11" t="n">
        <v>30</v>
      </c>
      <c r="BW11" t="n">
        <v>90</v>
      </c>
      <c r="BX11" t="n">
        <v>30</v>
      </c>
      <c r="BY11" t="n">
        <v>92</v>
      </c>
      <c r="CB11" t="n">
        <v>25</v>
      </c>
      <c r="CC11" t="n">
        <v>87</v>
      </c>
      <c r="CR11" t="n">
        <v>4</v>
      </c>
      <c r="CT11" t="n">
        <v>3</v>
      </c>
      <c r="CU11" t="n">
        <v>4</v>
      </c>
      <c r="CW11" t="inlineStr">
        <is>
          <t>+30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Level 1 Russo 90 ST PAC 87 SHO 90 PAS 73 DRI 90 DEF 40 PHY 80 CM CAM R 4 ★ 4 Russo 91 ST PAC 89 SHO 90 PAS 73 DRI 91 DEF 40 PHY 80 CM CAM R 4 ★ 4 UPGRADES +30 OVR 91 +30 Acceleration 92 +30 Agility 90 +30 Balance 88 +30 Reactions 93 +30 Ball Control 89 3</t>
        </is>
      </c>
      <c r="CX11" t="inlineStr">
        <is>
          <t>Excluded Rarity World Tour Silver Stars Overall Max. 90 Position ST, LW Max PS 10 Max PS+ 2 Strength Max. 91 Pace Max. 95 Details Submit by in 9 hours Expiry in 7 days Coins Cost 125,000 Points Cost 1,000</t>
        </is>
      </c>
      <c r="CY11" t="inlineStr">
        <is>
          <t>Excluded Rarity World Tour Silver Stars Overall Max. 90 Position ST, LW Max PS 10 Max PS+ 2 Strength Max. 91 Pace Max. 95 Details Submit by in 9 hours Expiry in 7 days Coins Cost 125,000 Points Cost 1,000</t>
        </is>
      </c>
      <c r="CZ11" t="inlineStr">
        <is>
          <t>The King of Highbury 125,000 1,000</t>
        </is>
      </c>
      <c r="DA11"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9 hours in 7 days 68% 32%</t>
        </is>
      </c>
    </row>
    <row r="12">
      <c r="A12" t="inlineStr">
        <is>
          <t>Current</t>
        </is>
      </c>
      <c r="B12" t="inlineStr">
        <is>
          <t>Current Evolutions</t>
        </is>
      </c>
      <c r="C12" t="inlineStr">
        <is>
          <t>Power Up - EA SPORTS FC 26</t>
        </is>
      </c>
      <c r="D12" t="inlineStr">
        <is>
          <t>https://www.fut.gg/evolutions/1938-power-up/</t>
        </is>
      </c>
      <c r="G12" t="inlineStr">
        <is>
          <t>88</t>
        </is>
      </c>
      <c r="K12" t="inlineStr">
        <is>
          <t>World Tour Silver Stars</t>
        </is>
      </c>
      <c r="L12" t="inlineStr">
        <is>
          <t>World Tour Silver Stars</t>
        </is>
      </c>
      <c r="S12" t="inlineStr">
        <is>
          <t>10</t>
        </is>
      </c>
      <c r="AT12" t="n">
        <v>8</v>
      </c>
      <c r="AU12" t="n">
        <v>93</v>
      </c>
      <c r="CB12" t="n">
        <v>4</v>
      </c>
      <c r="CC12" t="n">
        <v>93</v>
      </c>
      <c r="CJ12" t="n">
        <v>8</v>
      </c>
      <c r="CK12" t="n">
        <v>93</v>
      </c>
      <c r="CL12" t="n">
        <v>3</v>
      </c>
      <c r="CM12" t="n">
        <v>91</v>
      </c>
      <c r="CN12" t="n">
        <v>4</v>
      </c>
      <c r="CO12" t="n">
        <v>91</v>
      </c>
      <c r="CP12" t="n">
        <v>6</v>
      </c>
      <c r="CQ12" t="n">
        <v>91</v>
      </c>
      <c r="CW12" t="inlineStr">
        <is>
          <t>+4 Shot Power 93 +4 Jumping 93 +3 Aggression 91 +4 Heading Acc. 93 +3 Stamina 91 +4 Strength 91 8 Level 1 Claudia Pina 88 LW PAC 85 SHO 89 PAS 87 DRI 90 DEF 48 PHY 74 LM ST R 5 ★ 5 Claudia Pina 88 LW PAC 85 SHO 90 PAS 87 DRI 90 DEF 48 PHY 75 LM ST R 5 ★ 5 UPGRADES +4 Shot Power 93 +4 Jumping 93 +3 Aggression 91 8</t>
        </is>
      </c>
      <c r="CX12" t="inlineStr">
        <is>
          <t>Excluded Rarity World Tour Silver Stars Overall Max. 88 Max PS 10 Details Submit by in 9 hours Expiry in 7 days Coins Cost Free Points Cost Free</t>
        </is>
      </c>
      <c r="CY12" t="inlineStr">
        <is>
          <t>Excluded Rarity World Tour Silver Stars Overall Max. 88 Max PS 10 Details Submit by in 9 hours Expiry in 7 days Coins Cost Free Points Cost Free</t>
        </is>
      </c>
      <c r="CZ12" t="inlineStr">
        <is>
          <t>Power Up 5</t>
        </is>
      </c>
      <c r="DA12"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9 hours in 7 days 37% 63%</t>
        </is>
      </c>
    </row>
    <row r="13">
      <c r="A13" t="inlineStr">
        <is>
          <t>Current</t>
        </is>
      </c>
      <c r="B13" t="inlineStr">
        <is>
          <t>Current Evolutions</t>
        </is>
      </c>
      <c r="C13" t="inlineStr">
        <is>
          <t>Star in Motion - EA SPORTS FC 26</t>
        </is>
      </c>
      <c r="D13" t="inlineStr">
        <is>
          <t>https://www.fut.gg/evolutions/1280-star-in-motion/</t>
        </is>
      </c>
      <c r="G13" t="inlineStr">
        <is>
          <t>85</t>
        </is>
      </c>
      <c r="I13" t="inlineStr">
        <is>
          <t>CAM</t>
        </is>
      </c>
      <c r="K13" t="inlineStr">
        <is>
          <t>World Tour Silver Stars</t>
        </is>
      </c>
      <c r="L13" t="inlineStr">
        <is>
          <t>World Tour Silver Stars</t>
        </is>
      </c>
      <c r="M13" t="inlineStr">
        <is>
          <t>85</t>
        </is>
      </c>
      <c r="S13" t="inlineStr">
        <is>
          <t>10</t>
        </is>
      </c>
      <c r="T13" t="inlineStr">
        <is>
          <t>1</t>
        </is>
      </c>
      <c r="X13" t="n">
        <v>20</v>
      </c>
      <c r="Y13" t="n">
        <v>86</v>
      </c>
      <c r="Z13" t="n">
        <v>35</v>
      </c>
      <c r="AA13" t="n">
        <v>80</v>
      </c>
      <c r="AB13" t="n">
        <v>15</v>
      </c>
      <c r="AC13" t="n">
        <v>82</v>
      </c>
      <c r="AD13" t="n">
        <v>10</v>
      </c>
      <c r="AE13" t="n">
        <v>82</v>
      </c>
      <c r="AF13" t="n">
        <v>15</v>
      </c>
      <c r="AG13" t="n">
        <v>88</v>
      </c>
      <c r="AH13" t="n">
        <v>5</v>
      </c>
      <c r="AI13" t="n">
        <v>60</v>
      </c>
      <c r="CJ13" t="n">
        <v>15</v>
      </c>
      <c r="CK13" t="n">
        <v>80</v>
      </c>
      <c r="CL13" t="n">
        <v>20</v>
      </c>
      <c r="CM13" t="n">
        <v>80</v>
      </c>
      <c r="CN13" t="n">
        <v>15</v>
      </c>
      <c r="CO13" t="n">
        <v>70</v>
      </c>
      <c r="CP13" t="n">
        <v>15</v>
      </c>
      <c r="CQ13" t="n">
        <v>65</v>
      </c>
      <c r="CR13" t="n">
        <v>6</v>
      </c>
      <c r="CS13" t="n">
        <v>6</v>
      </c>
      <c r="CV13" t="inlineStr">
        <is>
          <t>CAM Shadow Striker ++; CAM Half Winger +</t>
        </is>
      </c>
      <c r="CW13"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13" t="inlineStr">
        <is>
          <t>Excluded Rarity World Tour Silver Stars Overall Max. 85 Position CAM Max PS 10 Max PS+ 1 Pace Max. 85 Details Submit by in 5 months Expiry in 5 months Coins Cost Free Points Cost Free</t>
        </is>
      </c>
      <c r="CY13" t="inlineStr">
        <is>
          <t>Excluded Rarity World Tour Silver Stars Overall Max. 85 Position CAM Max PS 10 Max PS+ 1 Pace Max. 85 Details Submit by in 5 months Expiry in 5 months Coins Cost Free Points Cost Free</t>
        </is>
      </c>
      <c r="CZ13" t="inlineStr">
        <is>
          <t>Star in Motion</t>
        </is>
      </c>
      <c r="DA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4">
      <c r="A14" t="inlineStr">
        <is>
          <t>Current</t>
        </is>
      </c>
      <c r="B14" t="inlineStr">
        <is>
          <t>Current Evolutions</t>
        </is>
      </c>
      <c r="C14" t="inlineStr">
        <is>
          <t>Intro to Training Camp EVOs I - EA SPORTS FC 26</t>
        </is>
      </c>
      <c r="D14" t="inlineStr">
        <is>
          <t>https://www.fut.gg/evolutions/1213-intro-to-training-camp-evos-i/</t>
        </is>
      </c>
      <c r="G14" t="inlineStr">
        <is>
          <t>82</t>
        </is>
      </c>
      <c r="I14" t="inlineStr">
        <is>
          <t>GK Details Submit by in 5 months Expiry in 5 months Coins Cost Free Points Cost Free</t>
        </is>
      </c>
      <c r="K14" t="inlineStr">
        <is>
          <t>World Tour Silver Stars</t>
        </is>
      </c>
      <c r="L14" t="inlineStr">
        <is>
          <t>World Tour Silver Stars</t>
        </is>
      </c>
      <c r="CV14" t="inlineStr">
        <is>
          <t>GK Sweeper Keeper +</t>
        </is>
      </c>
      <c r="CW14"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Provedel 82 GK DIV 83 HAN 79 KIC 80 REF 84 SPD 42 POS 83 R 1 ★ 2 Provedel 82 GK DIV 83 HAN 79 KIC 80 REF 84 SPD 42 POS 83 R 1 ★ 2 UPGRADES GK Sweeper Keeper +</t>
        </is>
      </c>
      <c r="CX14" t="inlineStr">
        <is>
          <t>Excluded Rarity World Tour Silver Stars Overall Max. 82 Position GK Details Submit by in 5 months Expiry in 5 months Coins Cost Free Points Cost Free</t>
        </is>
      </c>
      <c r="CY14" t="inlineStr">
        <is>
          <t>Excluded Rarity World Tour Silver Stars Overall Max. 82 Position GK Details Submit by in 5 months Expiry in 5 months Coins Cost Free Points Cost Free</t>
        </is>
      </c>
      <c r="CZ14" t="inlineStr">
        <is>
          <t>Intro to Training Camp EVOs I</t>
        </is>
      </c>
      <c r="DA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Intro to Training Camp EVOs II - EA SPORTS FC 26</t>
        </is>
      </c>
      <c r="D15" t="inlineStr">
        <is>
          <t>https://www.fut.gg/evolutions/1212-intro-to-training-camp-evos-ii/</t>
        </is>
      </c>
      <c r="G15" t="inlineStr">
        <is>
          <t>82</t>
        </is>
      </c>
      <c r="K15" t="inlineStr">
        <is>
          <t>World Tour Silver Stars</t>
        </is>
      </c>
      <c r="L15" t="inlineStr">
        <is>
          <t>World Tour Silver Stars</t>
        </is>
      </c>
      <c r="S15" t="inlineStr">
        <is>
          <t>3</t>
        </is>
      </c>
      <c r="CW15" t="inlineStr">
        <is>
          <t>. OVERVIEW ELIGIBLE PLAYERS EVOLVED PLAYERS TRENDING EVOLVED PLAYERS Community Verdict Solid Evo 77% of GG users upvoted this Evolution. Vote Now! 77% 23%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Saelemaekers 82 RB PAC 84 SHO 73 PAS 78 DRI 84 DEF 71 PHY 70 RM LM RW R 4 ★ 4 Saelemaekers 82 RB PAC 84 SHO 73 PAS 78 DRI 84 DEF 71 PHY 70 RM LM RW R 4 ★ 4 UPGRADES 4</t>
        </is>
      </c>
      <c r="CX15" t="inlineStr">
        <is>
          <t>Excluded Rarity World Tour Silver Stars Overall Max. 82 Max PS 3 Details Submit by in 5 months Expiry in 5 months Coins Cost Free Points Cost Free</t>
        </is>
      </c>
      <c r="CY15" t="inlineStr">
        <is>
          <t>Excluded Rarity World Tour Silver Stars Overall Max. 82 Max PS 3 Details Submit by in 5 months Expiry in 5 months Coins Cost Free Points Cost Free</t>
        </is>
      </c>
      <c r="CZ15" t="inlineStr">
        <is>
          <t>Intro to Training Camp EVOs II</t>
        </is>
      </c>
      <c r="DA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Intro to Evolutions - EA SPORTS FC 26</t>
        </is>
      </c>
      <c r="D16" t="inlineStr">
        <is>
          <t>https://www.fut.gg/evolutions/1211-intro-to-evolutions/</t>
        </is>
      </c>
      <c r="G16" t="inlineStr">
        <is>
          <t>81</t>
        </is>
      </c>
      <c r="K16" t="inlineStr">
        <is>
          <t>World Tour Silver Stars</t>
        </is>
      </c>
      <c r="L16" t="inlineStr">
        <is>
          <t>World Tour Silver Stars</t>
        </is>
      </c>
      <c r="X16" t="n">
        <v>2</v>
      </c>
      <c r="Y16" t="n">
        <v>82</v>
      </c>
      <c r="Z16" t="n">
        <v>2</v>
      </c>
      <c r="AA16" t="n">
        <v>83</v>
      </c>
      <c r="AB16" t="n">
        <v>2</v>
      </c>
      <c r="AC16" t="n">
        <v>83</v>
      </c>
      <c r="CW16" t="inlineStr">
        <is>
          <t>+1 OVR 82 +1 PAC 83 +1 SHO 83 Level 1 Zelem 81 CDM PAC 68 SHO 78 PAS 82 DRI 79 DEF 78 PHY 82 CM R 4 ★ 3 Zelem 82 CDM PAC 69 SHO 79 PAS 82 DRI 79 DEF 78 PHY 82 CM R 4 ★ 3 UPGRADES +1 OVR 82 +1 PAC 83 +1 SHO 83</t>
        </is>
      </c>
      <c r="CX16" t="inlineStr">
        <is>
          <t>Excluded Rarity World Tour Silver Stars Overall Max. 81 Details Submit by in 5 months Expiry in 5 months Coins Cost Free Points Cost Free</t>
        </is>
      </c>
      <c r="CY16" t="inlineStr">
        <is>
          <t>Excluded Rarity World Tour Silver Stars Overall Max. 81 Details Submit by in 5 months Expiry in 5 months Coins Cost Free Points Cost Free</t>
        </is>
      </c>
      <c r="CZ16" t="inlineStr">
        <is>
          <t>Intro to Evolutions 2</t>
        </is>
      </c>
      <c r="DA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SBC</t>
        </is>
      </c>
      <c r="C17" t="inlineStr">
        <is>
          <t>Tiki Taka+ - EA SPORTS FC 26</t>
        </is>
      </c>
      <c r="D17" t="inlineStr">
        <is>
          <t>https://www.fut.gg/evolutions/1979-tiki-taka/</t>
        </is>
      </c>
      <c r="G17" t="inlineStr">
        <is>
          <t>89</t>
        </is>
      </c>
      <c r="K17" t="inlineStr">
        <is>
          <t>World Tour Silver Stars</t>
        </is>
      </c>
      <c r="L17" t="inlineStr">
        <is>
          <t>World Tour Silver Stars</t>
        </is>
      </c>
      <c r="T17" t="inlineStr">
        <is>
          <t>2</t>
        </is>
      </c>
      <c r="CW17" t="inlineStr">
        <is>
          <t>3 Level 1 Francisco Conceição 89 RM PAC 93 SHO 86 PAS 87 DRI 91 DEF 45 PHY 70 CAM RW L 4 ★ 3 Francisco Conceição 89 RM PAC 93 SHO 86 PAS 87 DRI 91 DEF 45 PHY 70 CAM RW L 4 ★ 3 UPGRADES 3</t>
        </is>
      </c>
      <c r="CX17" t="inlineStr">
        <is>
          <t>Excluded Rarity World Tour Silver Stars Overall Max. 89 Max PS+ 2 Details Submit by in 16 days Expiry in 16 days Coins Cost Free Points Cost Free</t>
        </is>
      </c>
      <c r="CY17" t="inlineStr">
        <is>
          <t>Excluded Rarity World Tour Silver Stars Overall Max. 89 Max PS+ 2 Details Submit by in 16 days Expiry in 16 days Coins Cost Free Points Cost Free</t>
        </is>
      </c>
      <c r="CZ17" t="inlineStr">
        <is>
          <t>Tiki Taka+ NEW</t>
        </is>
      </c>
      <c r="DA17" t="inlineStr">
        <is>
          <t>Tiki Taka+ NEW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16 days in 16 days 83% 17%</t>
        </is>
      </c>
    </row>
    <row r="18">
      <c r="A18" t="inlineStr">
        <is>
          <t>Reward</t>
        </is>
      </c>
      <c r="B18" t="inlineStr">
        <is>
          <t>Objective</t>
        </is>
      </c>
      <c r="C18" t="inlineStr">
        <is>
          <t>Far Reach - EA SPORTS FC 26</t>
        </is>
      </c>
      <c r="D18" t="inlineStr">
        <is>
          <t>https://www.fut.gg/evolutions/1977-far-reach/</t>
        </is>
      </c>
      <c r="G18" t="inlineStr">
        <is>
          <t>89</t>
        </is>
      </c>
      <c r="I18" t="inlineStr">
        <is>
          <t>GK</t>
        </is>
      </c>
      <c r="K18" t="inlineStr">
        <is>
          <t>World Tour Silver Stars</t>
        </is>
      </c>
      <c r="L18" t="inlineStr">
        <is>
          <t>World Tour Silver Stars</t>
        </is>
      </c>
      <c r="S18" t="inlineStr">
        <is>
          <t>7</t>
        </is>
      </c>
      <c r="CW18" t="inlineStr">
        <is>
          <t>8 Level 1 Donnarumma 89 GK DIV 90 HAN 84 KIC 75 REF 90 SPD 55 POS 88 R 1 ★ 3 Donnarumma 89 GK DIV 90 HAN 84 KIC 75 REF 90 SPD 55 POS 88 R 1 ★ 3 UPGRADES 8</t>
        </is>
      </c>
      <c r="CX18" t="inlineStr">
        <is>
          <t>Excluded Rarity World Tour Silver Stars Overall Max. 89 Position GK Max PS 7 Details Submit by in 5 days Expiry in 5 days Coins Cost Free Points Cost Free</t>
        </is>
      </c>
      <c r="CY18" t="inlineStr">
        <is>
          <t>Excluded Rarity World Tour Silver Stars Overall Max. 89 Position GK Max PS 7 Details Submit by in 5 days Expiry in 5 days Coins Cost Free Points Cost Free</t>
        </is>
      </c>
      <c r="CZ18" t="inlineStr">
        <is>
          <t>Far Reach</t>
        </is>
      </c>
      <c r="DA18" t="inlineStr">
        <is>
          <t>Far Reach Unlocked by completing the Score 5 task in the Double TOTS Bundesliga Flash Rush objective Hrádecký 85 GK DIV 86 HAN 84 KIC 70 REF 86 SPD 45 POS 84 R 1 ★ 3 GK 81.8 Hrádecký 85 GK DIV 86 HAN 84 KIC 70 REF 86 SPD 45 POS 84 R 1 ★ 3 GK 83.8 REQUIREMENTS Excluded Rarity World Tour Silver Stars Overall Max. 89 Position GK Max PS 7 UPGRADES 8 in 5 days in 5 days 13% 87%</t>
        </is>
      </c>
    </row>
    <row r="19">
      <c r="A19" t="inlineStr">
        <is>
          <t>Reward</t>
        </is>
      </c>
      <c r="B19" t="inlineStr">
        <is>
          <t>Objective</t>
        </is>
      </c>
      <c r="C19" t="inlineStr">
        <is>
          <t>Turbo Strength - EA SPORTS FC 26</t>
        </is>
      </c>
      <c r="D19" t="inlineStr">
        <is>
          <t>https://www.fut.gg/evolutions/1975-turbo-strength/</t>
        </is>
      </c>
      <c r="G19" t="inlineStr">
        <is>
          <t>89</t>
        </is>
      </c>
      <c r="K19" t="inlineStr">
        <is>
          <t>World Tour Silver Stars</t>
        </is>
      </c>
      <c r="L19" t="inlineStr">
        <is>
          <t>World Tour Silver Stars</t>
        </is>
      </c>
      <c r="X19" t="n">
        <v>2</v>
      </c>
      <c r="Z19" t="n">
        <v>8</v>
      </c>
      <c r="AA19" t="n">
        <v>91</v>
      </c>
      <c r="AJ19" t="n">
        <v>6</v>
      </c>
      <c r="AK19" t="n">
        <v>92</v>
      </c>
      <c r="CW19" t="inlineStr">
        <is>
          <t>+1 OVR +4 PAC 91 +3 PHY 92 Level 1 Amaiur Sarriegi 89 ST PAC 94 SHO 88 PAS 86 DRI 92 DEF 56 PHY 89 RM RW LW R 4 ★ 4 Amaiur Sarriegi 90 ST PAC 94 SHO 88 PAS 86 DRI 92 DEF 56 PHY 92 RM RW LW R 4 ★ 4 UPGRADES +1 OVR +4 PAC 91 +3 PHY 92</t>
        </is>
      </c>
      <c r="CX19" t="inlineStr">
        <is>
          <t>Excluded Rarity World Tour Silver Stars Overall Max. 89 Details Submit by in 8 days Expiry in 8 days Coins Cost Free Points Cost Free</t>
        </is>
      </c>
      <c r="CY19" t="inlineStr">
        <is>
          <t>Excluded Rarity World Tour Silver Stars Overall Max. 89 Details Submit by in 8 days Expiry in 8 days Coins Cost Free Points Cost Free</t>
        </is>
      </c>
      <c r="CZ19" t="inlineStr">
        <is>
          <t>Turbo Strength</t>
        </is>
      </c>
      <c r="DA19"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8 days in 8 days 87% 13%</t>
        </is>
      </c>
    </row>
    <row r="20">
      <c r="A20" t="inlineStr">
        <is>
          <t>Reward</t>
        </is>
      </c>
      <c r="B20" t="inlineStr">
        <is>
          <t>Objective</t>
        </is>
      </c>
      <c r="C20" t="inlineStr">
        <is>
          <t>Pass IQ - EA SPORTS FC 26</t>
        </is>
      </c>
      <c r="D20" t="inlineStr">
        <is>
          <t>https://www.fut.gg/evolutions/1974-pass-iq/</t>
        </is>
      </c>
      <c r="G20" t="inlineStr">
        <is>
          <t>89</t>
        </is>
      </c>
      <c r="K20" t="inlineStr">
        <is>
          <t>World Tour Silver Stars</t>
        </is>
      </c>
      <c r="L20" t="inlineStr">
        <is>
          <t>World Tour Silver Stars</t>
        </is>
      </c>
      <c r="BB20" t="n">
        <v>6</v>
      </c>
      <c r="BC20" t="n">
        <v>93</v>
      </c>
      <c r="BH20" t="n">
        <v>6</v>
      </c>
      <c r="BI20" t="n">
        <v>93</v>
      </c>
      <c r="CW20" t="inlineStr">
        <is>
          <t>+3 Vision 93 +3 Short Pass 93 Level 1 Matsukubo 89 CAM PAC 88 SHO 90 PAS 89 DRI 91 DEF 70 PHY 78 CM ST R 3 ★ 4 Matsukubo 89 CAM PAC 88 SHO 90 PAS 90 DRI 91 DEF 70 PHY 78 CM ST R 3 ★ 4 UPGRADES +3 Vision 93 +3 Short Pass 93</t>
        </is>
      </c>
      <c r="CX20" t="inlineStr">
        <is>
          <t>Excluded Rarity World Tour Silver Stars Overall Max. 89 Details Submit by in 8 days Expiry in 8 days Coins Cost Free Points Cost Free</t>
        </is>
      </c>
      <c r="CY20" t="inlineStr">
        <is>
          <t>Excluded Rarity World Tour Silver Stars Overall Max. 89 Details Submit by in 8 days Expiry in 8 days Coins Cost Free Points Cost Free</t>
        </is>
      </c>
      <c r="CZ20" t="inlineStr">
        <is>
          <t>Pass IQ 5</t>
        </is>
      </c>
      <c r="DA20"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8 days in 8 days 87% 13%</t>
        </is>
      </c>
    </row>
    <row r="21">
      <c r="A21" t="inlineStr">
        <is>
          <t>Reward</t>
        </is>
      </c>
      <c r="B21" t="inlineStr">
        <is>
          <t>Objective</t>
        </is>
      </c>
      <c r="C21" t="inlineStr">
        <is>
          <t>From Distance - EA SPORTS FC 26</t>
        </is>
      </c>
      <c r="D21" t="inlineStr">
        <is>
          <t>https://www.fut.gg/evolutions/1973-from-distance/</t>
        </is>
      </c>
      <c r="G21" t="inlineStr">
        <is>
          <t>89</t>
        </is>
      </c>
      <c r="K21" t="inlineStr">
        <is>
          <t>World Tour Silver Stars</t>
        </is>
      </c>
      <c r="L21" t="inlineStr">
        <is>
          <t>World Tour Silver Stars</t>
        </is>
      </c>
      <c r="S21" t="inlineStr">
        <is>
          <t>10</t>
        </is>
      </c>
      <c r="AT21" t="n">
        <v>16</v>
      </c>
      <c r="AU21" t="n">
        <v>93</v>
      </c>
      <c r="AV21" t="n">
        <v>16</v>
      </c>
      <c r="AW21" t="n">
        <v>93</v>
      </c>
      <c r="CW21" t="inlineStr">
        <is>
          <t>+8 Shot Power 93 +8 Long Shots 93 8 Level 1 Bahoya 89 LM PAC 98 SHO 84 PAS 86 DRI 89 DEF 63 PHY 75 CAM ST LW R 5 ★ 5 Bahoya 89 LM PAC 98 SHO 87 PAS 86 DRI 89 DEF 63 PHY 75 CAM ST LW R 5 ★ 5 UPGRADES +8 Shot Power 93 +8 Long Shots 93 8</t>
        </is>
      </c>
      <c r="CX21" t="inlineStr">
        <is>
          <t>Excluded Rarity World Tour Silver Stars Overall Max. 89 Max PS 10 Details Submit by in 8 days Expiry in 8 days Coins Cost Free Points Cost Free</t>
        </is>
      </c>
      <c r="CY21" t="inlineStr">
        <is>
          <t>Excluded Rarity World Tour Silver Stars Overall Max. 89 Max PS 10 Details Submit by in 8 days Expiry in 8 days Coins Cost Free Points Cost Free</t>
        </is>
      </c>
      <c r="CZ21" t="inlineStr">
        <is>
          <t>From Distance</t>
        </is>
      </c>
      <c r="DA21"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8 days in 8 days 86% 14%</t>
        </is>
      </c>
    </row>
    <row r="22">
      <c r="A22" t="inlineStr">
        <is>
          <t>Reward</t>
        </is>
      </c>
      <c r="B22" t="inlineStr">
        <is>
          <t>Objective</t>
        </is>
      </c>
      <c r="C22" t="inlineStr">
        <is>
          <t>Intercept &amp; Aerial Fortress - EA SPORTS FC 26</t>
        </is>
      </c>
      <c r="D22" t="inlineStr">
        <is>
          <t>https://www.fut.gg/evolutions/1972-intercept-aerial-fortress/</t>
        </is>
      </c>
      <c r="G22" t="inlineStr">
        <is>
          <t>89</t>
        </is>
      </c>
      <c r="K22" t="inlineStr">
        <is>
          <t>World Tour Silver Stars</t>
        </is>
      </c>
      <c r="L22" t="inlineStr">
        <is>
          <t>World Tour Silver Stars</t>
        </is>
      </c>
      <c r="S22" t="inlineStr">
        <is>
          <t>7</t>
        </is>
      </c>
      <c r="CW22" t="inlineStr">
        <is>
          <t>8 Level 1 Harder 89 CAM PAC 90 SHO 87 PAS 88 DRI 91 DEF 30 PHY 82 RM ST R 5 ★ 5 Harder 89 CAM PAC 90 SHO 87 PAS 88 DRI 91 DEF 30 PHY 82 RM ST R 5 ★ 5 UPGRADES 8</t>
        </is>
      </c>
      <c r="CX22" t="inlineStr">
        <is>
          <t>Excluded Rarity World Tour Silver Stars Overall Max. 89 Max PS 7 Details Submit by in 8 days Expiry in 8 days Coins Cost Free Points Cost Free</t>
        </is>
      </c>
      <c r="CY22" t="inlineStr">
        <is>
          <t>Excluded Rarity World Tour Silver Stars Overall Max. 89 Max PS 7 Details Submit by in 8 days Expiry in 8 days Coins Cost Free Points Cost Free</t>
        </is>
      </c>
      <c r="CZ22" t="inlineStr">
        <is>
          <t>Intercept &amp; Aerial Fortress</t>
        </is>
      </c>
      <c r="DA22"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8 days in 8 days 32% 68%</t>
        </is>
      </c>
    </row>
    <row r="23">
      <c r="A23" t="inlineStr">
        <is>
          <t>Reward</t>
        </is>
      </c>
      <c r="B23" t="inlineStr">
        <is>
          <t>Objective</t>
        </is>
      </c>
      <c r="C23" t="inlineStr">
        <is>
          <t>Speed to Finish - EA SPORTS FC 26</t>
        </is>
      </c>
      <c r="D23" t="inlineStr">
        <is>
          <t>https://www.fut.gg/evolutions/1971-speed-to-finish/</t>
        </is>
      </c>
      <c r="G23" t="inlineStr">
        <is>
          <t>89</t>
        </is>
      </c>
      <c r="K23" t="inlineStr">
        <is>
          <t>World Tour Silver Stars</t>
        </is>
      </c>
      <c r="L23" t="inlineStr">
        <is>
          <t>World Tour Silver Stars</t>
        </is>
      </c>
      <c r="S23" t="inlineStr">
        <is>
          <t>7</t>
        </is>
      </c>
      <c r="CW23" t="inlineStr">
        <is>
          <t>8 Level 1 James 89 ST PAC 91 SHO 86 PAS 82 DRI 91 DEF 44 PHY 86 CAM R 4 ★ 5 James 89 ST PAC 91 SHO 86 PAS 82 DRI 91 DEF 44 PHY 86 CAM R 4 ★ 5 UPGRADES 8</t>
        </is>
      </c>
      <c r="CX23" t="inlineStr">
        <is>
          <t>Excluded Rarity World Tour Silver Stars Overall Max. 89 Max PS 7 Details Submit by in 14 days Expiry in 14 days Coins Cost Free Points Cost Free</t>
        </is>
      </c>
      <c r="CY23" t="inlineStr">
        <is>
          <t>Excluded Rarity World Tour Silver Stars Overall Max. 89 Max PS 7 Details Submit by in 14 days Expiry in 14 days Coins Cost Free Points Cost Free</t>
        </is>
      </c>
      <c r="CZ23" t="inlineStr">
        <is>
          <t>Speed to Finish</t>
        </is>
      </c>
      <c r="DA23"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14 days in 14 days 63% 38%</t>
        </is>
      </c>
    </row>
    <row r="24">
      <c r="A24" t="inlineStr">
        <is>
          <t>Reward</t>
        </is>
      </c>
      <c r="B24" t="inlineStr">
        <is>
          <t>Objective</t>
        </is>
      </c>
      <c r="C24" t="inlineStr">
        <is>
          <t>Creative Playmaker - EA SPORTS FC 26</t>
        </is>
      </c>
      <c r="D24" t="inlineStr">
        <is>
          <t>https://www.fut.gg/evolutions/1970-creative-playmaker/</t>
        </is>
      </c>
      <c r="G24" t="inlineStr">
        <is>
          <t>89</t>
        </is>
      </c>
      <c r="K24" t="inlineStr">
        <is>
          <t>World Tour Silver Stars</t>
        </is>
      </c>
      <c r="L24" t="inlineStr">
        <is>
          <t>World Tour Silver Stars</t>
        </is>
      </c>
      <c r="S24" t="inlineStr">
        <is>
          <t>7</t>
        </is>
      </c>
      <c r="CW24" t="inlineStr">
        <is>
          <t>8 Level 1 Francisco Conceição 89 RM PAC 93 SHO 86 PAS 87 DRI 91 DEF 45 PHY 70 CAM RW L 4 ★ 3 Francisco Conceição 89 RM PAC 93 SHO 86 PAS 87 DRI 91 DEF 45 PHY 70 CAM RW L 4 ★ 3 UPGRADES 8</t>
        </is>
      </c>
      <c r="CX24" t="inlineStr">
        <is>
          <t>Excluded Rarity World Tour Silver Stars Overall Max. 89 Max PS 7 Details Submit by in 14 days Expiry in 14 days Coins Cost Free Points Cost Free</t>
        </is>
      </c>
      <c r="CY24" t="inlineStr">
        <is>
          <t>Excluded Rarity World Tour Silver Stars Overall Max. 89 Max PS 7 Details Submit by in 14 days Expiry in 14 days Coins Cost Free Points Cost Free</t>
        </is>
      </c>
      <c r="CZ24" t="inlineStr">
        <is>
          <t>Creative Playmaker</t>
        </is>
      </c>
      <c r="DA24"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14 days in 14 days 32% 68%</t>
        </is>
      </c>
    </row>
    <row r="25">
      <c r="A25" t="inlineStr">
        <is>
          <t>Reward</t>
        </is>
      </c>
      <c r="B25" t="inlineStr">
        <is>
          <t>Objective</t>
        </is>
      </c>
      <c r="C25" t="inlineStr">
        <is>
          <t>Long Ball Pass+ &amp; Pinged Pass - EA SPORTS FC 26</t>
        </is>
      </c>
      <c r="D25" t="inlineStr">
        <is>
          <t>https://www.fut.gg/evolutions/1969-long-ball-pass-pinged-pass/</t>
        </is>
      </c>
      <c r="G25" t="inlineStr">
        <is>
          <t>89</t>
        </is>
      </c>
      <c r="K25" t="inlineStr">
        <is>
          <t>World Tour Silver Stars</t>
        </is>
      </c>
      <c r="L25" t="inlineStr">
        <is>
          <t>World Tour Silver Stars</t>
        </is>
      </c>
      <c r="S25" t="inlineStr">
        <is>
          <t>10</t>
        </is>
      </c>
      <c r="T25" t="inlineStr">
        <is>
          <t>2</t>
        </is>
      </c>
      <c r="CW25" t="inlineStr">
        <is>
          <t>2 8 Level 1 Harder 89 CAM PAC 90 SHO 87 PAS 88 DRI 91 DEF 30 PHY 82 RM ST R 5 ★ 5 Harder 89 CAM PAC 90 SHO 87 PAS 88 DRI 91 DEF 30 PHY 82 RM ST R 5 ★ 5 UPGRADES 2 8</t>
        </is>
      </c>
      <c r="CX25" t="inlineStr">
        <is>
          <t>Excluded Rarity World Tour Silver Stars Overall Max. 89 Max PS 10 Max PS+ 2 Details Submit by in 8 days Expiry in 8 days Coins Cost Free Points Cost Free</t>
        </is>
      </c>
      <c r="CY25" t="inlineStr">
        <is>
          <t>Excluded Rarity World Tour Silver Stars Overall Max. 89 Max PS 10 Max PS+ 2 Details Submit by in 8 days Expiry in 8 days Coins Cost Free Points Cost Free</t>
        </is>
      </c>
      <c r="CZ25" t="inlineStr">
        <is>
          <t>Long Ball Pass+ &amp; Pinged Pass</t>
        </is>
      </c>
      <c r="DA25"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8 days in 8 days 9% 91%</t>
        </is>
      </c>
    </row>
    <row r="26">
      <c r="A26" t="inlineStr">
        <is>
          <t>Reward</t>
        </is>
      </c>
      <c r="B26" t="inlineStr">
        <is>
          <t>Objective</t>
        </is>
      </c>
      <c r="C26" t="inlineStr">
        <is>
          <t>Finesse Shot+ - EA SPORTS FC 26</t>
        </is>
      </c>
      <c r="D26" t="inlineStr">
        <is>
          <t>https://www.fut.gg/evolutions/1968-finesse-shot/</t>
        </is>
      </c>
      <c r="G26" t="inlineStr">
        <is>
          <t>89</t>
        </is>
      </c>
      <c r="K26" t="inlineStr">
        <is>
          <t>World Tour Silver Stars</t>
        </is>
      </c>
      <c r="L26" t="inlineStr">
        <is>
          <t>World Tour Silver Stars</t>
        </is>
      </c>
      <c r="T26" t="inlineStr">
        <is>
          <t>1</t>
        </is>
      </c>
      <c r="CW26" t="inlineStr">
        <is>
          <t>2 Level 1 Hancko 89 CB PAC 87 SHO 72 PAS 81 DRI 85 DEF 90 PHY 89 LB LM L 5 ★ 5 Hancko 89 CB PAC 87 SHO 72 PAS 81 DRI 85 DEF 90 PHY 89 LB LM L 5 ★ 5 UPGRADES 2</t>
        </is>
      </c>
      <c r="CX26" t="inlineStr">
        <is>
          <t>Excluded Rarity World Tour Silver Stars Overall Max. 89 Max PS+ 1 Details Submit by in 8 days Expiry in 8 days Coins Cost Free Points Cost Free</t>
        </is>
      </c>
      <c r="CY26" t="inlineStr">
        <is>
          <t>Excluded Rarity World Tour Silver Stars Overall Max. 89 Max PS+ 1 Details Submit by in 8 days Expiry in 8 days Coins Cost Free Points Cost Free</t>
        </is>
      </c>
      <c r="CZ26" t="inlineStr">
        <is>
          <t>Finesse Shot+</t>
        </is>
      </c>
      <c r="DA26"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8 days in 8 days 68% 32%</t>
        </is>
      </c>
    </row>
    <row r="27">
      <c r="A27" t="inlineStr">
        <is>
          <t>Reward</t>
        </is>
      </c>
      <c r="B27" t="inlineStr">
        <is>
          <t>Objective</t>
        </is>
      </c>
      <c r="C27" t="inlineStr">
        <is>
          <t>Inventive - EA SPORTS FC 26</t>
        </is>
      </c>
      <c r="D27" t="inlineStr">
        <is>
          <t>https://www.fut.gg/evolutions/1966-inventive/</t>
        </is>
      </c>
      <c r="G27" t="inlineStr">
        <is>
          <t>89</t>
        </is>
      </c>
      <c r="K27" t="inlineStr">
        <is>
          <t>World Tour Silver Stars</t>
        </is>
      </c>
      <c r="L27" t="inlineStr">
        <is>
          <t>World Tour Silver Stars</t>
        </is>
      </c>
      <c r="S27" t="inlineStr">
        <is>
          <t>7</t>
        </is>
      </c>
      <c r="CW27" t="inlineStr">
        <is>
          <t>8 Level 1 Kerolin Nicoli 89 RM PAC 91 SHO 86 PAS 85 DRI 90 DEF 52 PHY 86 RW ST R 5 ★ 5 Kerolin Nicoli 89 RM PAC 91 SHO 86 PAS 85 DRI 90 DEF 52 PHY 86 RW ST R 5 ★ 5 UPGRADES 8</t>
        </is>
      </c>
      <c r="CX27" t="inlineStr">
        <is>
          <t>Excluded Rarity World Tour Silver Stars Overall Max. 89 Max PS 7 Details Submit by in 3 days Expiry in 3 days Coins Cost Free Points Cost Free</t>
        </is>
      </c>
      <c r="CY27" t="inlineStr">
        <is>
          <t>Excluded Rarity World Tour Silver Stars Overall Max. 89 Max PS 7 Details Submit by in 3 days Expiry in 3 days Coins Cost Free Points Cost Free</t>
        </is>
      </c>
      <c r="CZ27" t="inlineStr">
        <is>
          <t>Inventive</t>
        </is>
      </c>
      <c r="DA27" t="inlineStr">
        <is>
          <t>Inventive Unlocked by completing the Score 5 task in the TOTS EFL Flash Rush objective Kutesa 73 LM PAC 89 SHO 70 PAS 66 DRI 73 DEF 40 PHY 67 CAM ST LW R 4 ★ 3 LM 73.9 Kutesa 73 LM PAC 89 SHO 70 PAS 66 DRI 73 DEF 40 PHY 67 CAM ST LW R 4 ★ 3 LM 74.2 REQUIREMENTS Excluded Rarity World Tour Silver Stars Overall Max. 89 Max PS 7 UPGRADES 8 in 3 days in 3 days 7% 93%</t>
        </is>
      </c>
    </row>
    <row r="28">
      <c r="A28" t="inlineStr">
        <is>
          <t>Reward</t>
        </is>
      </c>
      <c r="B28" t="inlineStr">
        <is>
          <t>Objective</t>
        </is>
      </c>
      <c r="C28" t="inlineStr">
        <is>
          <t>Anticipate - EA SPORTS FC 26</t>
        </is>
      </c>
      <c r="D28" t="inlineStr">
        <is>
          <t>https://www.fut.gg/evolutions/1965-anticipate/</t>
        </is>
      </c>
      <c r="G28" t="inlineStr">
        <is>
          <t>89</t>
        </is>
      </c>
      <c r="K28" t="inlineStr">
        <is>
          <t>World Tour Silver Stars</t>
        </is>
      </c>
      <c r="L28" t="inlineStr">
        <is>
          <t>World Tour Silver Stars</t>
        </is>
      </c>
      <c r="S28" t="inlineStr">
        <is>
          <t>7</t>
        </is>
      </c>
      <c r="CW28" t="inlineStr">
        <is>
          <t>8 Level 1 Harder 89 CAM PAC 90 SHO 87 PAS 88 DRI 91 DEF 30 PHY 82 RM ST R 5 ★ 5 Harder 89 CAM PAC 90 SHO 87 PAS 88 DRI 91 DEF 30 PHY 82 RM ST R 5 ★ 5 UPGRADES 8</t>
        </is>
      </c>
      <c r="CX28" t="inlineStr">
        <is>
          <t>Excluded Rarity World Tour Silver Stars Overall Max. 89 Max PS 7 Details Submit by in 3 days Expiry in 3 days Coins Cost Free Points Cost Free</t>
        </is>
      </c>
      <c r="CY28" t="inlineStr">
        <is>
          <t>Excluded Rarity World Tour Silver Stars Overall Max. 89 Max PS 7 Details Submit by in 3 days Expiry in 3 days Coins Cost Free Points Cost Free</t>
        </is>
      </c>
      <c r="CZ28" t="inlineStr">
        <is>
          <t>Anticipate</t>
        </is>
      </c>
      <c r="DA28" t="inlineStr">
        <is>
          <t>Anticipate Unlocked by completing the Win 3 task in the TOTS EFL Flash Rush objective Olaru 73 CM PAC 81 SHO 75 PAS 73 DRI 75 DEF 66 PHY 80 CAM R 3 ★ 5 CM 71.2 Olaru 73 CM PAC 81 SHO 75 PAS 73 DRI 75 DEF 66 PHY 80 CAM R 3 ★ 5 CM 72.1 REQUIREMENTS Excluded Rarity World Tour Silver Stars Overall Max. 89 Max PS 7 UPGRADES 8 in 3 days in 3 days 12% 88%</t>
        </is>
      </c>
    </row>
    <row r="29">
      <c r="A29" t="inlineStr">
        <is>
          <t>Reward</t>
        </is>
      </c>
      <c r="B29" t="inlineStr">
        <is>
          <t>Reward</t>
        </is>
      </c>
      <c r="C29" t="inlineStr">
        <is>
          <t>Welsh Wonder Strike [Store] - EA SPORTS FC 26</t>
        </is>
      </c>
      <c r="D29" t="inlineStr">
        <is>
          <t>https://www.fut.gg/evolutions/1960-welsh-wonder-strike-store/</t>
        </is>
      </c>
      <c r="G29" t="inlineStr">
        <is>
          <t>87</t>
        </is>
      </c>
      <c r="K29" t="inlineStr">
        <is>
          <t>World Tour Silver Stars</t>
        </is>
      </c>
      <c r="L29" t="inlineStr">
        <is>
          <t>World Tour Silver Stars</t>
        </is>
      </c>
      <c r="S29" t="inlineStr">
        <is>
          <t>10</t>
        </is>
      </c>
      <c r="T29" t="inlineStr">
        <is>
          <t>2</t>
        </is>
      </c>
      <c r="X29" t="n">
        <v>30</v>
      </c>
      <c r="Y29" t="n">
        <v>89</v>
      </c>
      <c r="AL29" t="n">
        <v>50</v>
      </c>
      <c r="AM29" t="n">
        <v>90</v>
      </c>
      <c r="AN29" t="n">
        <v>25</v>
      </c>
      <c r="AO29" t="n">
        <v>93</v>
      </c>
      <c r="AP29" t="n">
        <v>20</v>
      </c>
      <c r="AQ29" t="n">
        <v>89</v>
      </c>
      <c r="AR29" t="n">
        <v>20</v>
      </c>
      <c r="AS29" t="n">
        <v>90</v>
      </c>
      <c r="AT29" t="n">
        <v>40</v>
      </c>
      <c r="AU29" t="n">
        <v>90</v>
      </c>
      <c r="AV29" t="n">
        <v>20</v>
      </c>
      <c r="AW29" t="n">
        <v>90</v>
      </c>
      <c r="AX29" t="n">
        <v>20</v>
      </c>
      <c r="AY29" t="n">
        <v>93</v>
      </c>
      <c r="AZ29" t="n">
        <v>20</v>
      </c>
      <c r="BA29" t="n">
        <v>87</v>
      </c>
      <c r="BB29" t="n">
        <v>20</v>
      </c>
      <c r="BC29" t="n">
        <v>87</v>
      </c>
      <c r="BD29" t="n">
        <v>10</v>
      </c>
      <c r="BE29" t="n">
        <v>86</v>
      </c>
      <c r="BH29" t="n">
        <v>15</v>
      </c>
      <c r="BI29" t="n">
        <v>88</v>
      </c>
      <c r="BJ29" t="n">
        <v>10</v>
      </c>
      <c r="BK29" t="n">
        <v>87</v>
      </c>
      <c r="BL29" t="n">
        <v>15</v>
      </c>
      <c r="BM29" t="n">
        <v>89</v>
      </c>
      <c r="BN29" t="n">
        <v>25</v>
      </c>
      <c r="BO29" t="n">
        <v>88</v>
      </c>
      <c r="BP29" t="n">
        <v>25</v>
      </c>
      <c r="BQ29" t="n">
        <v>87</v>
      </c>
      <c r="BR29" t="n">
        <v>25</v>
      </c>
      <c r="BS29" t="n">
        <v>90</v>
      </c>
      <c r="BT29" t="n">
        <v>25</v>
      </c>
      <c r="BU29" t="n">
        <v>89</v>
      </c>
      <c r="BV29" t="n">
        <v>25</v>
      </c>
      <c r="BW29" t="n">
        <v>90</v>
      </c>
      <c r="BX29" t="n">
        <v>50</v>
      </c>
      <c r="BY29" t="n">
        <v>88</v>
      </c>
      <c r="CB29" t="n">
        <v>20</v>
      </c>
      <c r="CC29" t="n">
        <v>87</v>
      </c>
      <c r="CJ29" t="n">
        <v>30</v>
      </c>
      <c r="CK29" t="n">
        <v>92</v>
      </c>
      <c r="CW29"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Saibari 87 CM PAC 87 SHO 85 PAS 84 DRI 90 DEF 60 PHY 86 CAM R 4 ★ 4 Saibari 89 CM PAC 87 SHO 85 PAS 84 DRI 90 DEF 60 PHY 86 CAM R 4 ★ 4 UPGRADES +15 OVR 89 +25 Acceleration 90 +20 Shot Power 90 +10 Vision 87 +25 Composure 88 8</t>
        </is>
      </c>
      <c r="CX29" t="inlineStr">
        <is>
          <t>Excluded Rarity World Tour Silver Stars Overall Max. 87 Max PS 10 Max PS+ 2 Details Submit by in 9 days Expiry in 9 days Coins Cost Free Points Cost Free</t>
        </is>
      </c>
      <c r="CY29" t="inlineStr">
        <is>
          <t>Excluded Rarity World Tour Silver Stars Overall Max. 87 Max PS 10 Max PS+ 2 Details Submit by in 9 days Expiry in 9 days Coins Cost Free Points Cost Free</t>
        </is>
      </c>
      <c r="CZ29" t="inlineStr">
        <is>
          <t>Welsh Wonder Strike [Store]</t>
        </is>
      </c>
      <c r="DA29"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9 days in 9 days 18% 82%</t>
        </is>
      </c>
    </row>
    <row r="30">
      <c r="A30" t="inlineStr">
        <is>
          <t>Reward</t>
        </is>
      </c>
      <c r="B30" t="inlineStr">
        <is>
          <t>Reward</t>
        </is>
      </c>
      <c r="C30" t="inlineStr">
        <is>
          <t>Il Capitano [Store] - EA SPORTS FC 26</t>
        </is>
      </c>
      <c r="D30" t="inlineStr">
        <is>
          <t>https://www.fut.gg/evolutions/1961-il-capitano-store/</t>
        </is>
      </c>
      <c r="G30" t="inlineStr">
        <is>
          <t>89</t>
        </is>
      </c>
      <c r="I30" t="inlineStr">
        <is>
          <t>CB</t>
        </is>
      </c>
      <c r="J30" t="inlineStr">
        <is>
          <t>CM</t>
        </is>
      </c>
      <c r="K30" t="inlineStr">
        <is>
          <t>World Tour Silver Stars</t>
        </is>
      </c>
      <c r="L30" t="inlineStr">
        <is>
          <t>World Tour Silver Stars</t>
        </is>
      </c>
      <c r="M30" t="inlineStr">
        <is>
          <t>90</t>
        </is>
      </c>
      <c r="S30" t="inlineStr">
        <is>
          <t>10</t>
        </is>
      </c>
      <c r="T30" t="inlineStr">
        <is>
          <t>2</t>
        </is>
      </c>
      <c r="X30" t="n">
        <v>60</v>
      </c>
      <c r="Y30" t="n">
        <v>91</v>
      </c>
      <c r="AL30" t="n">
        <v>60</v>
      </c>
      <c r="AM30" t="n">
        <v>87</v>
      </c>
      <c r="AN30" t="n">
        <v>30</v>
      </c>
      <c r="AO30" t="n">
        <v>88</v>
      </c>
      <c r="BB30" t="n">
        <v>30</v>
      </c>
      <c r="BC30" t="n">
        <v>70</v>
      </c>
      <c r="BH30" t="n">
        <v>60</v>
      </c>
      <c r="BI30" t="n">
        <v>90</v>
      </c>
      <c r="BJ30" t="n">
        <v>30</v>
      </c>
      <c r="BK30" t="n">
        <v>85</v>
      </c>
      <c r="BN30" t="n">
        <v>30</v>
      </c>
      <c r="BO30" t="n">
        <v>73</v>
      </c>
      <c r="BP30" t="n">
        <v>30</v>
      </c>
      <c r="BQ30" t="n">
        <v>80</v>
      </c>
      <c r="BR30" t="n">
        <v>30</v>
      </c>
      <c r="BS30" t="n">
        <v>95</v>
      </c>
      <c r="BT30" t="n">
        <v>30</v>
      </c>
      <c r="BU30" t="n">
        <v>75</v>
      </c>
      <c r="BV30" t="n">
        <v>30</v>
      </c>
      <c r="BW30" t="n">
        <v>75</v>
      </c>
      <c r="BX30" t="n">
        <v>30</v>
      </c>
      <c r="BY30" t="n">
        <v>91</v>
      </c>
      <c r="BZ30" t="n">
        <v>30</v>
      </c>
      <c r="CA30" t="n">
        <v>93</v>
      </c>
      <c r="CB30" t="n">
        <v>60</v>
      </c>
      <c r="CC30" t="n">
        <v>92</v>
      </c>
      <c r="CD30" t="n">
        <v>60</v>
      </c>
      <c r="CE30" t="n">
        <v>95</v>
      </c>
      <c r="CF30" t="n">
        <v>30</v>
      </c>
      <c r="CG30" t="n">
        <v>92</v>
      </c>
      <c r="CH30" t="n">
        <v>30</v>
      </c>
      <c r="CI30" t="n">
        <v>92</v>
      </c>
      <c r="CJ30" t="n">
        <v>30</v>
      </c>
      <c r="CK30" t="n">
        <v>90</v>
      </c>
      <c r="CL30" t="n">
        <v>30</v>
      </c>
      <c r="CM30" t="n">
        <v>90</v>
      </c>
      <c r="CN30" t="n">
        <v>30</v>
      </c>
      <c r="CO30" t="n">
        <v>92</v>
      </c>
      <c r="CP30" t="n">
        <v>30</v>
      </c>
      <c r="CQ30" t="n">
        <v>85</v>
      </c>
      <c r="CV30" t="inlineStr">
        <is>
          <t>CB Defender ++; CB Stopper ++; CB Wideback ++</t>
        </is>
      </c>
      <c r="CW30"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Hancko 89 CB PAC 87 SHO 72 PAS 81 DRI 85 DEF 90 PHY 89 LB LM L 5 ★ 5 Hancko 91 CB PAC 87 SHO 72 PAS 82 DRI 85 DEF 91 PHY 89 LB LM L 5 ★ 5 UPGRADES +30 OVR 91 +30 Acceleration 87 +30 Short Pass 90 +30 Heading Acc. 92 +30 Defensive Awareness 95 2</t>
        </is>
      </c>
      <c r="CX30" t="inlineStr">
        <is>
          <t>Excluded Rarity World Tour Silver Stars Overall Max. 89 Position CB Excluded Position CM Max PS 10 Max PS+ 2 Pace Max. 90 Details Submit by in 9 days Expiry in 9 days Coins Cost Free Points Cost Free</t>
        </is>
      </c>
      <c r="CY30" t="inlineStr">
        <is>
          <t>Excluded Rarity World Tour Silver Stars Overall Max. 89 Position CB Excluded Position CM Max PS 10 Max PS+ 2 Pace Max. 90 Details Submit by in 9 days Expiry in 9 days Coins Cost Free Points Cost Free</t>
        </is>
      </c>
      <c r="CZ30" t="inlineStr">
        <is>
          <t>Il Capitano [Store]</t>
        </is>
      </c>
      <c r="DA30"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9 days in 9 days 19% 81%</t>
        </is>
      </c>
    </row>
    <row r="31">
      <c r="A31" t="inlineStr">
        <is>
          <t>Reward</t>
        </is>
      </c>
      <c r="B31" t="inlineStr">
        <is>
          <t>Objective</t>
        </is>
      </c>
      <c r="C31" t="inlineStr">
        <is>
          <t>Gamechanger - EA SPORTS FC 26</t>
        </is>
      </c>
      <c r="D31" t="inlineStr">
        <is>
          <t>https://www.fut.gg/evolutions/1959-gamechanger/</t>
        </is>
      </c>
      <c r="G31" t="inlineStr">
        <is>
          <t>89</t>
        </is>
      </c>
      <c r="K31" t="inlineStr">
        <is>
          <t>World Tour Silver Stars</t>
        </is>
      </c>
      <c r="L31" t="inlineStr">
        <is>
          <t>World Tour Silver Stars</t>
        </is>
      </c>
      <c r="S31" t="inlineStr">
        <is>
          <t>7</t>
        </is>
      </c>
      <c r="CW31" t="inlineStr">
        <is>
          <t>8 Level 1 Francisco Conceição 89 RM PAC 93 SHO 86 PAS 87 DRI 91 DEF 45 PHY 70 CAM RW L 4 ★ 3 Francisco Conceição 89 RM PAC 93 SHO 86 PAS 87 DRI 91 DEF 45 PHY 70 CAM RW L 4 ★ 3 UPGRADES 8</t>
        </is>
      </c>
      <c r="CX31" t="inlineStr">
        <is>
          <t>Excluded Rarity World Tour Silver Stars Overall Max. 89 Max PS 7 Details Submit by in 4 days Expiry in 4 days Coins Cost Free Points Cost Free</t>
        </is>
      </c>
      <c r="CY31" t="inlineStr">
        <is>
          <t>Excluded Rarity World Tour Silver Stars Overall Max. 89 Max PS 7 Details Submit by in 4 days Expiry in 4 days Coins Cost Free Points Cost Free</t>
        </is>
      </c>
      <c r="CZ31" t="inlineStr">
        <is>
          <t>Gamechanger</t>
        </is>
      </c>
      <c r="DA31" t="inlineStr">
        <is>
          <t>Gamechanger Unlocked by completing the Score 5 task in the TOTS BWSL Flash Rush objective Coman 87 LM PAC 90 SHO 83 PAS 85 DRI 90 DEF 35 PHY 70 RM LW R 5 ★ 5 LM 86.4 Coman 87 LM PAC 90 SHO 83 PAS 85 DRI 90 DEF 35 PHY 70 RM LW R 5 ★ 5 RM 87.6 REQUIREMENTS Excluded Rarity World Tour Silver Stars Overall Max. 89 Max PS 7 UPGRADES 8 in 4 days in 4 days 30% 70%</t>
        </is>
      </c>
    </row>
    <row r="32">
      <c r="A32" t="inlineStr">
        <is>
          <t>Reward</t>
        </is>
      </c>
      <c r="B32" t="inlineStr">
        <is>
          <t>Objective</t>
        </is>
      </c>
      <c r="C32" t="inlineStr">
        <is>
          <t>Intercept - EA SPORTS FC 26</t>
        </is>
      </c>
      <c r="D32" t="inlineStr">
        <is>
          <t>https://www.fut.gg/evolutions/1958-intercept/</t>
        </is>
      </c>
      <c r="G32" t="inlineStr">
        <is>
          <t>89</t>
        </is>
      </c>
      <c r="K32" t="inlineStr">
        <is>
          <t>World Tour Silver Stars</t>
        </is>
      </c>
      <c r="L32" t="inlineStr">
        <is>
          <t>World Tour Silver Stars</t>
        </is>
      </c>
      <c r="S32" t="inlineStr">
        <is>
          <t>7</t>
        </is>
      </c>
      <c r="CW32" t="inlineStr">
        <is>
          <t>8 Level 1 Harder 89 CAM PAC 90 SHO 87 PAS 88 DRI 91 DEF 30 PHY 82 RM ST R 5 ★ 5 Harder 89 CAM PAC 90 SHO 87 PAS 88 DRI 91 DEF 30 PHY 82 RM ST R 5 ★ 5 UPGRADES 8</t>
        </is>
      </c>
      <c r="CX32" t="inlineStr">
        <is>
          <t>Excluded Rarity World Tour Silver Stars Overall Max. 89 Max PS 7 Details Submit by in 4 days Expiry in 4 days Coins Cost Free Points Cost Free</t>
        </is>
      </c>
      <c r="CY32" t="inlineStr">
        <is>
          <t>Excluded Rarity World Tour Silver Stars Overall Max. 89 Max PS 7 Details Submit by in 4 days Expiry in 4 days Coins Cost Free Points Cost Free</t>
        </is>
      </c>
      <c r="CZ32" t="inlineStr">
        <is>
          <t>Intercept</t>
        </is>
      </c>
      <c r="DA32" t="inlineStr">
        <is>
          <t>Intercept Unlocked by completing the Win 3 task in the TOTS BWSL Flash Rush objective António Silva 87 CB PAC 89 SHO 46 PAS 75 DRI 78 DEF 87 PHY 89 R 3 ★ 3 CB 86.6 António Silva 87 CB PAC 89 SHO 46 PAS 75 DRI 78 DEF 87 PHY 89 R 3 ★ 3 CB 88.8 REQUIREMENTS Excluded Rarity World Tour Silver Stars Overall Max. 89 Max PS 7 UPGRADES 8 in 4 days in 4 days 56% 44%</t>
        </is>
      </c>
    </row>
    <row r="33">
      <c r="A33" t="inlineStr">
        <is>
          <t>Reward</t>
        </is>
      </c>
      <c r="B33" t="inlineStr">
        <is>
          <t>Objective</t>
        </is>
      </c>
      <c r="C33" t="inlineStr">
        <is>
          <t>Defensive Awareness - EA SPORTS FC 26</t>
        </is>
      </c>
      <c r="D33" t="inlineStr">
        <is>
          <t>https://www.fut.gg/evolutions/1957-defensive-awareness/</t>
        </is>
      </c>
      <c r="G33" t="inlineStr">
        <is>
          <t>89</t>
        </is>
      </c>
      <c r="K33" t="inlineStr">
        <is>
          <t>World Tour Silver Stars</t>
        </is>
      </c>
      <c r="L33" t="inlineStr">
        <is>
          <t>World Tour Silver Stars</t>
        </is>
      </c>
      <c r="S33" t="inlineStr">
        <is>
          <t>7</t>
        </is>
      </c>
      <c r="CW33" t="inlineStr">
        <is>
          <t>8 Level 1 Bahoya 89 LM PAC 98 SHO 84 PAS 86 DRI 89 DEF 63 PHY 75 CAM ST LW R 5 ★ 5 Bahoya 89 LM PAC 98 SHO 84 PAS 86 DRI 89 DEF 63 PHY 75 CAM ST LW R 5 ★ 5 UPGRADES 8</t>
        </is>
      </c>
      <c r="CX33" t="inlineStr">
        <is>
          <t>Excluded Rarity World Tour Silver Stars Overall Max. 89 Max PS 7 Details Submit by in 4 days Expiry in 4 days Coins Cost Free Points Cost Free</t>
        </is>
      </c>
      <c r="CY33" t="inlineStr">
        <is>
          <t>Excluded Rarity World Tour Silver Stars Overall Max. 89 Max PS 7 Details Submit by in 4 days Expiry in 4 days Coins Cost Free Points Cost Free</t>
        </is>
      </c>
      <c r="CZ33" t="inlineStr">
        <is>
          <t>Defensive Awareness</t>
        </is>
      </c>
      <c r="DA33" t="inlineStr">
        <is>
          <t>Defensive Awareness Unlocked by completing the Win 4 task in the Ultimate Gauntlet 16 objective Nmecha 86 CDM PAC 86 SHO 80 PAS 80 DRI 85 DEF 84 PHY 89 CM R 4 ★ 3 CDM 82.1 Nmecha 86 CDM PAC 86 SHO 80 PAS 80 DRI 85 DEF 84 PHY 89 CM R 4 ★ 3 CDM 87.1 REQUIREMENTS Excluded Rarity World Tour Silver Stars Overall Max. 89 Max PS 7 UPGRADES 8 in 4 days in 4 days 26% 74%</t>
        </is>
      </c>
    </row>
    <row r="34">
      <c r="A34" t="inlineStr">
        <is>
          <t>Reward</t>
        </is>
      </c>
      <c r="B34" t="inlineStr">
        <is>
          <t>Objective</t>
        </is>
      </c>
      <c r="C34" t="inlineStr">
        <is>
          <t>In Form - EA SPORTS FC 26</t>
        </is>
      </c>
      <c r="D34" t="inlineStr">
        <is>
          <t>https://www.fut.gg/evolutions/1956-in-form/</t>
        </is>
      </c>
      <c r="G34" t="inlineStr">
        <is>
          <t>89</t>
        </is>
      </c>
      <c r="K34" t="inlineStr">
        <is>
          <t>World Tour Silver Stars</t>
        </is>
      </c>
      <c r="L34" t="inlineStr">
        <is>
          <t>World Tour Silver Stars</t>
        </is>
      </c>
      <c r="X34" t="n">
        <v>4</v>
      </c>
      <c r="Z34" t="n">
        <v>4</v>
      </c>
      <c r="AA34" t="n">
        <v>91</v>
      </c>
      <c r="AB34" t="n">
        <v>4</v>
      </c>
      <c r="AC34" t="n">
        <v>90</v>
      </c>
      <c r="AD34" t="n">
        <v>4</v>
      </c>
      <c r="AE34" t="n">
        <v>91</v>
      </c>
      <c r="AF34" t="n">
        <v>4</v>
      </c>
      <c r="AG34" t="n">
        <v>90</v>
      </c>
      <c r="AH34" t="n">
        <v>4</v>
      </c>
      <c r="AI34" t="n">
        <v>90</v>
      </c>
      <c r="AJ34" t="n">
        <v>4</v>
      </c>
      <c r="AK34" t="n">
        <v>91</v>
      </c>
      <c r="CW34" t="inlineStr">
        <is>
          <t>+2 OVR +2 PAC 91 +2 SHO 90 +2 PAS 91 +2 DRI 90 +2 DEF 90 +2 PHY 91 Level 1 Uzun 89 CAM PAC 88 SHO 90 PAS 88 DRI 92 DEF 40 PHY 83 CM ST R 4 ★ 4 Uzun 91 CAM PAC 90 SHO 90 PAS 90 DRI 92 DEF 42 PHY 85 CM ST R 4 ★ 4 UPGRADES +2 OVR +2 PAC 91 +2 SHO 90 +2 PAS 91 +2 DRI 90 +2 DEF 90 +2 PHY 91</t>
        </is>
      </c>
      <c r="CX34" t="inlineStr">
        <is>
          <t>Excluded Rarity World Tour Silver Stars Overall Max. 89 Details Submit by in 4 days Expiry in 4 days Coins Cost Free Points Cost Free</t>
        </is>
      </c>
      <c r="CY34" t="inlineStr">
        <is>
          <t>Excluded Rarity World Tour Silver Stars Overall Max. 89 Details Submit by in 4 days Expiry in 4 days Coins Cost Free Points Cost Free</t>
        </is>
      </c>
      <c r="CZ34" t="inlineStr">
        <is>
          <t>In Form</t>
        </is>
      </c>
      <c r="DA34" t="inlineStr">
        <is>
          <t>In Form Unlocked by completing the Score in 6 task in the Ultimate Gauntlet 16 objective O'Reilly 87 LB PAC 89 SHO 82 PAS 86 DRI 87 DEF 85 PHY 85 CM CAM L 3 ★ 3 LB 87.2 O'Reilly 89 LB PAC 91 SHO 84 PAS 88 DRI 89 DEF 87 PHY 87 CM CAM L 3 ★ 3 LB 89.0 REQUIREMENTS Excluded Rarity World Tour Silver Stars Overall Max. 89 UPGRADES +2 OVR +2 PAC 91 +2 SHO 90 +2 PAS 91 +2 DRI 90 +2 DEF 90 +2 PHY 91 in 4 days in 4 days 23% 77%</t>
        </is>
      </c>
    </row>
    <row r="35">
      <c r="A35" t="inlineStr">
        <is>
          <t>Reward</t>
        </is>
      </c>
      <c r="B35" t="inlineStr">
        <is>
          <t>Objective</t>
        </is>
      </c>
      <c r="C35" t="inlineStr">
        <is>
          <t>Gamechanger+ - EA SPORTS FC 26</t>
        </is>
      </c>
      <c r="D35" t="inlineStr">
        <is>
          <t>https://www.fut.gg/evolutions/1955-gamechanger/</t>
        </is>
      </c>
      <c r="G35" t="inlineStr">
        <is>
          <t>89</t>
        </is>
      </c>
      <c r="K35" t="inlineStr">
        <is>
          <t>World Tour Silver Stars</t>
        </is>
      </c>
      <c r="L35" t="inlineStr">
        <is>
          <t>World Tour Silver Stars</t>
        </is>
      </c>
      <c r="S35" t="inlineStr">
        <is>
          <t>1</t>
        </is>
      </c>
      <c r="CW35" t="inlineStr">
        <is>
          <t>2 Level 1 Bahoya 89 LM PAC 98 SHO 84 PAS 86 DRI 89 DEF 63 PHY 75 CAM ST LW R 5 ★ 5 Bahoya 89 LM PAC 98 SHO 84 PAS 86 DRI 89 DEF 63 PHY 75 CAM ST LW R 5 ★ 5 UPGRADES 2</t>
        </is>
      </c>
      <c r="CX35" t="inlineStr">
        <is>
          <t>Excluded Rarity World Tour Silver Stars Overall Max. 89 Max PS 1 Details Submit by in 4 days Expiry in 4 days Coins Cost Free Points Cost Free</t>
        </is>
      </c>
      <c r="CY35" t="inlineStr">
        <is>
          <t>Excluded Rarity World Tour Silver Stars Overall Max. 89 Max PS 1 Details Submit by in 4 days Expiry in 4 days Coins Cost Free Points Cost Free</t>
        </is>
      </c>
      <c r="CZ35" t="inlineStr">
        <is>
          <t>Gamechanger+</t>
        </is>
      </c>
      <c r="DA35" t="inlineStr">
        <is>
          <t>Gamechanger+ Unlocked by completing the Score in 3 task in the Ultimate Gauntlet 16 objective Cláudio Braga 87 ST PAC 86 SHO 87 PAS 80 DRI 87 DEF 45 PHY 76 RW LW R 5 ★ 5 LW 78.2 Cláudio Braga 87 ST PAC 86 SHO 87 PAS 80 DRI 87 DEF 45 PHY 76 RW LW R 5 ★ 5 RW 79.5 REQUIREMENTS Excluded Rarity World Tour Silver Stars Overall Max. 89 Max PS 1 UPGRADES 2 in 4 days in 4 days 7% 93%</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Bühl 89 LM PAC 88 SHO 87 PAS 86 DRI 89 DEF 70 PHY 80 LB RM CAM RW ST LW R 4 ★ 5 Bühl 89 LM PAC 88 SHO 87 PAS 86 DRI 89 DEF 70 PHY 80 LB RM CAM RW ST LW R 4 ★ 5 UPGRADES 2</t>
        </is>
      </c>
      <c r="CX36" t="inlineStr">
        <is>
          <t>Excluded Rarity World Tour Silver Stars Overall Max. 89 Max PS+ 1 Details Submit by in 1 month Expiry in 1 month Coins Cost Free Points Cost Free</t>
        </is>
      </c>
      <c r="CY36" t="inlineStr">
        <is>
          <t>Excluded Rarity World Tour Silver Stars Overall Max. 89 Max PS+ 1 Details Submit by in 1 month Expiry in 1 month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10</v>
      </c>
      <c r="Y37" t="n">
        <v>74</v>
      </c>
      <c r="BP37" t="n">
        <v>2</v>
      </c>
      <c r="BR37" t="n">
        <v>2</v>
      </c>
      <c r="BX37" t="n">
        <v>6</v>
      </c>
      <c r="BZ37" t="n">
        <v>4</v>
      </c>
      <c r="CB37" t="n">
        <v>2</v>
      </c>
      <c r="CD37" t="n">
        <v>3</v>
      </c>
      <c r="CF37" t="n">
        <v>2</v>
      </c>
      <c r="CH37" t="n">
        <v>4</v>
      </c>
      <c r="CJ37" t="n">
        <v>4</v>
      </c>
      <c r="CL37" t="n">
        <v>3</v>
      </c>
      <c r="CN37" t="n">
        <v>2</v>
      </c>
      <c r="CP37" t="n">
        <v>2</v>
      </c>
      <c r="CQ37" t="n">
        <v>3</v>
      </c>
      <c r="CW37" t="inlineStr">
        <is>
          <t>+5 OVR 74 +3 Composure +2 Interceptions +2 Sliding Tackle +2 Jumping +2 Balance +2 Heading Acc. +2 Standing Tackle +3 Stamina +2 Reactions +3 Defensive Awareness +2 Strength +2 Aggression 3 Level 1 Xabi Alonso 74 CM PAC 67 SHO 64 PAS 83 DRI 73 DEF 80 PHY 78 CDM R 3 ★ 4 Xabi Alonso 74 CM PAC 67 SHO 64 PAS 83 DRI 73 DEF 81 PHY 78 CDM R 3 ★ 4 UPGRADES +5 OVR 74 +3 Composure +2 Interceptions +2 Sliding Tackle +2 Jumping</t>
        </is>
      </c>
      <c r="CX37" t="inlineStr">
        <is>
          <t>Rarity World Tour Silver Stars Overall Max. 74 Max PS+ 1 Details Submit by in 1 month Expiry in 1 month Coins Cost Free Points Cost Free</t>
        </is>
      </c>
      <c r="CY37" t="inlineStr">
        <is>
          <t>Rarity World Tour Silver Stars Overall Max. 74 Max PS+ 1 Details Submit by in 1 month Expiry in 1 month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10</v>
      </c>
      <c r="Y38" t="n">
        <v>74</v>
      </c>
      <c r="AL38" t="n">
        <v>2</v>
      </c>
      <c r="AN38" t="n">
        <v>2</v>
      </c>
      <c r="AP38" t="n">
        <v>4</v>
      </c>
      <c r="AR38" t="n">
        <v>3</v>
      </c>
      <c r="AT38" t="n">
        <v>2</v>
      </c>
      <c r="AV38" t="n">
        <v>2</v>
      </c>
      <c r="AX38" t="n">
        <v>4</v>
      </c>
      <c r="AZ38" t="n">
        <v>4</v>
      </c>
      <c r="BP38" t="n">
        <v>4</v>
      </c>
      <c r="BX38" t="n">
        <v>3</v>
      </c>
      <c r="CL38" t="n">
        <v>3</v>
      </c>
      <c r="CM38" t="n">
        <v>3</v>
      </c>
      <c r="CW38"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38" t="inlineStr">
        <is>
          <t>Rarity World Tour Silver Stars Overall Max. 74 Max PS+ 1 Details Submit by in 1 month Expiry in 1 month Coins Cost Free Points Cost Free</t>
        </is>
      </c>
      <c r="CY38" t="inlineStr">
        <is>
          <t>Rarity World Tour Silver Stars Overall Max. 74 Max PS+ 1 Details Submit by in 1 month Expiry in 1 month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78% 22%</t>
        </is>
      </c>
    </row>
    <row r="39">
      <c r="A39" t="inlineStr">
        <is>
          <t>Reward</t>
        </is>
      </c>
      <c r="B39" t="inlineStr">
        <is>
          <t>Objective</t>
        </is>
      </c>
      <c r="C39" t="inlineStr">
        <is>
          <t>Jockey - EA SPORTS FC 26</t>
        </is>
      </c>
      <c r="D39" t="inlineStr">
        <is>
          <t>https://www.fut.gg/evolutions/1948-jockey/</t>
        </is>
      </c>
      <c r="G39" t="inlineStr">
        <is>
          <t>89</t>
        </is>
      </c>
      <c r="K39" t="inlineStr">
        <is>
          <t>World Tour Silver Stars</t>
        </is>
      </c>
      <c r="L39" t="inlineStr">
        <is>
          <t>World Tour Silver Stars</t>
        </is>
      </c>
      <c r="S39" t="inlineStr">
        <is>
          <t>7</t>
        </is>
      </c>
      <c r="CW39" t="inlineStr">
        <is>
          <t>8 Level 1 James 89 ST PAC 91 SHO 86 PAS 82 DRI 91 DEF 44 PHY 86 CAM R 4 ★ 5 James 89 ST PAC 91 SHO 86 PAS 82 DRI 91 DEF 44 PHY 86 CAM R 4 ★ 5 UPGRADES 8</t>
        </is>
      </c>
      <c r="CX39" t="inlineStr">
        <is>
          <t>Excluded Rarity World Tour Silver Stars Overall Max. 89 Max PS 7 Details Submit by in 1 day Expiry in 1 day Coins Cost Free Points Cost Free</t>
        </is>
      </c>
      <c r="CY39" t="inlineStr">
        <is>
          <t>Excluded Rarity World Tour Silver Stars Overall Max. 89 Max PS 7 Details Submit by in 1 day Expiry in 1 day Coins Cost Free Points Cost Free</t>
        </is>
      </c>
      <c r="CZ39" t="inlineStr">
        <is>
          <t>Jockey</t>
        </is>
      </c>
      <c r="DA39"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1 day in 1 day 32% 68%</t>
        </is>
      </c>
    </row>
    <row r="40">
      <c r="A40" t="inlineStr">
        <is>
          <t>Reward</t>
        </is>
      </c>
      <c r="B40" t="inlineStr">
        <is>
          <t>Objective</t>
        </is>
      </c>
      <c r="C40" t="inlineStr">
        <is>
          <t>Pinged Pass - EA SPORTS FC 26</t>
        </is>
      </c>
      <c r="D40" t="inlineStr">
        <is>
          <t>https://www.fut.gg/evolutions/1947-pinged-pass/</t>
        </is>
      </c>
      <c r="G40" t="inlineStr">
        <is>
          <t>89</t>
        </is>
      </c>
      <c r="K40" t="inlineStr">
        <is>
          <t>World Tour Silver Stars</t>
        </is>
      </c>
      <c r="L40" t="inlineStr">
        <is>
          <t>World Tour Silver Stars</t>
        </is>
      </c>
      <c r="S40" t="inlineStr">
        <is>
          <t>7</t>
        </is>
      </c>
      <c r="CW40" t="inlineStr">
        <is>
          <t>8 Level 1 Uzun 89 CAM PAC 88 SHO 90 PAS 88 DRI 92 DEF 40 PHY 83 CM ST R 4 ★ 4 Uzun 89 CAM PAC 88 SHO 90 PAS 88 DRI 92 DEF 40 PHY 83 CM ST R 4 ★ 4 UPGRADES 8</t>
        </is>
      </c>
      <c r="CX40" t="inlineStr">
        <is>
          <t>Excluded Rarity World Tour Silver Stars Overall Max. 89 Max PS 7 Details Submit by in 1 day Expiry in 1 day Coins Cost Free Points Cost Free</t>
        </is>
      </c>
      <c r="CY40" t="inlineStr">
        <is>
          <t>Excluded Rarity World Tour Silver Stars Overall Max. 89 Max PS 7 Details Submit by in 1 day Expiry in 1 day Coins Cost Free Points Cost Free</t>
        </is>
      </c>
      <c r="CZ40" t="inlineStr">
        <is>
          <t>Pinged Pass</t>
        </is>
      </c>
      <c r="DA40"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1 day in 1 day 54% 46%</t>
        </is>
      </c>
    </row>
    <row r="41">
      <c r="A41" t="inlineStr">
        <is>
          <t>Reward</t>
        </is>
      </c>
      <c r="B41" t="inlineStr">
        <is>
          <t>Objective</t>
        </is>
      </c>
      <c r="C41" t="inlineStr">
        <is>
          <t>Quick Step - EA SPORTS FC 26</t>
        </is>
      </c>
      <c r="D41" t="inlineStr">
        <is>
          <t>https://www.fut.gg/evolutions/1946-quick-step/</t>
        </is>
      </c>
      <c r="G41" t="inlineStr">
        <is>
          <t>89</t>
        </is>
      </c>
      <c r="K41" t="inlineStr">
        <is>
          <t>World Tour Silver Stars</t>
        </is>
      </c>
      <c r="L41" t="inlineStr">
        <is>
          <t>World Tour Silver Stars</t>
        </is>
      </c>
      <c r="S41" t="inlineStr">
        <is>
          <t>7</t>
        </is>
      </c>
      <c r="CW41" t="inlineStr">
        <is>
          <t>8 Level 1 Prinz 89 ST PAC 91 SHO 90 PAS 80 DRI 88 DEF 53 PHY 91 R 4 ★ 4 Prinz 89 ST PAC 91 SHO 90 PAS 80 DRI 88 DEF 53 PHY 91 R 4 ★ 4 UPGRADES 8</t>
        </is>
      </c>
      <c r="CX41" t="inlineStr">
        <is>
          <t>Excluded Rarity World Tour Silver Stars Overall Max. 89 Max PS 7 Details Submit by in 1 day Expiry in 1 day Coins Cost Free Points Cost Free</t>
        </is>
      </c>
      <c r="CY41" t="inlineStr">
        <is>
          <t>Excluded Rarity World Tour Silver Stars Overall Max. 89 Max PS 7 Details Submit by in 1 day Expiry in 1 day Coins Cost Free Points Cost Free</t>
        </is>
      </c>
      <c r="CZ41" t="inlineStr">
        <is>
          <t>Quick Step</t>
        </is>
      </c>
      <c r="DA41"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1 day in 1 day 58% 42%</t>
        </is>
      </c>
    </row>
    <row r="42">
      <c r="A42" t="inlineStr">
        <is>
          <t>Reward</t>
        </is>
      </c>
      <c r="B42" t="inlineStr">
        <is>
          <t>Objective</t>
        </is>
      </c>
      <c r="C42" t="inlineStr">
        <is>
          <t>Technical - EA SPORTS FC 26</t>
        </is>
      </c>
      <c r="D42" t="inlineStr">
        <is>
          <t>https://www.fut.gg/evolutions/1945-technical/</t>
        </is>
      </c>
      <c r="G42" t="inlineStr">
        <is>
          <t>89</t>
        </is>
      </c>
      <c r="K42" t="inlineStr">
        <is>
          <t>World Tour Silver Stars</t>
        </is>
      </c>
      <c r="L42" t="inlineStr">
        <is>
          <t>World Tour Silver Stars</t>
        </is>
      </c>
      <c r="S42" t="inlineStr">
        <is>
          <t>7</t>
        </is>
      </c>
      <c r="CW42" t="inlineStr">
        <is>
          <t>8 Level 1 Uzun 89 CAM PAC 88 SHO 90 PAS 88 DRI 92 DEF 40 PHY 83 CM ST R 4 ★ 4 Uzun 89 CAM PAC 88 SHO 90 PAS 88 DRI 92 DEF 40 PHY 83 CM ST R 4 ★ 4 UPGRADES 8</t>
        </is>
      </c>
      <c r="CX42" t="inlineStr">
        <is>
          <t>Excluded Rarity World Tour Silver Stars Overall Max. 89 Max PS 7 Details Submit by in 1 day Expiry in 1 day Coins Cost Free Points Cost Free</t>
        </is>
      </c>
      <c r="CY42" t="inlineStr">
        <is>
          <t>Excluded Rarity World Tour Silver Stars Overall Max. 89 Max PS 7 Details Submit by in 1 day Expiry in 1 day Coins Cost Free Points Cost Free</t>
        </is>
      </c>
      <c r="CZ42" t="inlineStr">
        <is>
          <t>Technical</t>
        </is>
      </c>
      <c r="DA42"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1 day in 1 day 29% 71%</t>
        </is>
      </c>
    </row>
    <row r="43">
      <c r="A43" t="inlineStr">
        <is>
          <t>Reward</t>
        </is>
      </c>
      <c r="B43" t="inlineStr">
        <is>
          <t>Objective</t>
        </is>
      </c>
      <c r="C43" t="inlineStr">
        <is>
          <t>First Touch - EA SPORTS FC 26</t>
        </is>
      </c>
      <c r="D43" t="inlineStr">
        <is>
          <t>https://www.fut.gg/evolutions/1944-first-touch/</t>
        </is>
      </c>
      <c r="G43" t="inlineStr">
        <is>
          <t>89</t>
        </is>
      </c>
      <c r="K43" t="inlineStr">
        <is>
          <t>World Tour Silver Stars</t>
        </is>
      </c>
      <c r="L43" t="inlineStr">
        <is>
          <t>World Tour Silver Stars</t>
        </is>
      </c>
      <c r="S43" t="inlineStr">
        <is>
          <t>7</t>
        </is>
      </c>
      <c r="CW43" t="inlineStr">
        <is>
          <t>8 Level 1 Prinz 89 ST PAC 91 SHO 90 PAS 80 DRI 88 DEF 53 PHY 91 R 4 ★ 4 Prinz 89 ST PAC 91 SHO 90 PAS 80 DRI 88 DEF 53 PHY 91 R 4 ★ 4 UPGRADES 8</t>
        </is>
      </c>
      <c r="CX43" t="inlineStr">
        <is>
          <t>Excluded Rarity World Tour Silver Stars Overall Max. 89 Max PS 7 Details Submit by in 1 day Expiry in 1 day Coins Cost Free Points Cost Free</t>
        </is>
      </c>
      <c r="CY43" t="inlineStr">
        <is>
          <t>Excluded Rarity World Tour Silver Stars Overall Max. 89 Max PS 7 Details Submit by in 1 day Expiry in 1 day Coins Cost Free Points Cost Free</t>
        </is>
      </c>
      <c r="CZ43" t="inlineStr">
        <is>
          <t>First Touch</t>
        </is>
      </c>
      <c r="DA43"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1 day in 1 day 28% 72%</t>
        </is>
      </c>
    </row>
    <row r="44">
      <c r="A44" t="inlineStr">
        <is>
          <t>Reward</t>
        </is>
      </c>
      <c r="B44" t="inlineStr">
        <is>
          <t>Objective</t>
        </is>
      </c>
      <c r="C44" t="inlineStr">
        <is>
          <t>Incisive Pass+ &amp; Tiki Taka - EA SPORTS FC 26</t>
        </is>
      </c>
      <c r="D44" t="inlineStr">
        <is>
          <t>https://www.fut.gg/evolutions/1941-incisive-pass-tiki-taka/</t>
        </is>
      </c>
      <c r="G44" t="inlineStr">
        <is>
          <t>89</t>
        </is>
      </c>
      <c r="K44" t="inlineStr">
        <is>
          <t>World Tour Silver Stars</t>
        </is>
      </c>
      <c r="L44" t="inlineStr">
        <is>
          <t>World Tour Silver Stars</t>
        </is>
      </c>
      <c r="S44" t="inlineStr">
        <is>
          <t>10</t>
        </is>
      </c>
      <c r="T44" t="inlineStr">
        <is>
          <t>2</t>
        </is>
      </c>
      <c r="CW44" t="inlineStr">
        <is>
          <t>2 8 Level 1 James 89 ST PAC 91 SHO 86 PAS 82 DRI 91 DEF 44 PHY 86 CAM R 4 ★ 5 James 89 ST PAC 91 SHO 86 PAS 82 DRI 91 DEF 44 PHY 86 CAM R 4 ★ 5 UPGRADES 2 8</t>
        </is>
      </c>
      <c r="CX44" t="inlineStr">
        <is>
          <t>Excluded Rarity World Tour Silver Stars Overall Max. 89 Max PS 10 Max PS+ 2 Details Submit by in 1 day Expiry in 1 day Coins Cost Free Points Cost Free</t>
        </is>
      </c>
      <c r="CY44" t="inlineStr">
        <is>
          <t>Excluded Rarity World Tour Silver Stars Overall Max. 89 Max PS 10 Max PS+ 2 Details Submit by in 1 day Expiry in 1 day Coins Cost Free Points Cost Free</t>
        </is>
      </c>
      <c r="CZ44" t="inlineStr">
        <is>
          <t>Incisive Pass+ &amp; Tiki Taka</t>
        </is>
      </c>
      <c r="DA4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1 day in 1 day 75% 25%</t>
        </is>
      </c>
    </row>
    <row r="45">
      <c r="A45" t="inlineStr">
        <is>
          <t>Reward</t>
        </is>
      </c>
      <c r="B45" t="inlineStr">
        <is>
          <t>Objective</t>
        </is>
      </c>
      <c r="C45" t="inlineStr">
        <is>
          <t>Tiki Taka+ &amp; Incisive Pass - EA SPORTS FC 26</t>
        </is>
      </c>
      <c r="D45" t="inlineStr">
        <is>
          <t>https://www.fut.gg/evolutions/1940-tiki-taka-incisive-pass/</t>
        </is>
      </c>
      <c r="G45" t="inlineStr">
        <is>
          <t>89</t>
        </is>
      </c>
      <c r="K45" t="inlineStr">
        <is>
          <t>World Tour Silver Stars</t>
        </is>
      </c>
      <c r="L45" t="inlineStr">
        <is>
          <t>World Tour Silver Stars</t>
        </is>
      </c>
      <c r="S45" t="inlineStr">
        <is>
          <t>10</t>
        </is>
      </c>
      <c r="T45" t="inlineStr">
        <is>
          <t>2</t>
        </is>
      </c>
      <c r="CW45" t="inlineStr">
        <is>
          <t>2 8 Level 1 Uzun 89 CAM PAC 88 SHO 90 PAS 88 DRI 92 DEF 40 PHY 83 CM ST R 4 ★ 4 Uzun 89 CAM PAC 88 SHO 90 PAS 88 DRI 92 DEF 40 PHY 83 CM ST R 4 ★ 4 UPGRADES 2 8</t>
        </is>
      </c>
      <c r="CX45" t="inlineStr">
        <is>
          <t>Excluded Rarity World Tour Silver Stars Overall Max. 89 Max PS 10 Max PS+ 2 Details Submit by in 1 day Expiry in 1 day Coins Cost Free Points Cost Free</t>
        </is>
      </c>
      <c r="CY45" t="inlineStr">
        <is>
          <t>Excluded Rarity World Tour Silver Stars Overall Max. 89 Max PS 10 Max PS+ 2 Details Submit by in 1 day Expiry in 1 day Coins Cost Free Points Cost Free</t>
        </is>
      </c>
      <c r="CZ45" t="inlineStr">
        <is>
          <t>Tiki Taka+ &amp; Incisive Pass</t>
        </is>
      </c>
      <c r="DA4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1 day in 1 day 38% 63%</t>
        </is>
      </c>
    </row>
    <row r="46">
      <c r="A46" t="inlineStr">
        <is>
          <t>Reward</t>
        </is>
      </c>
      <c r="B46" t="inlineStr">
        <is>
          <t>Standard Season Pass</t>
        </is>
      </c>
      <c r="C46" t="inlineStr">
        <is>
          <t>WTSS Journey 3 - Midfielder [SP 21] - EA SPORTS FC 26</t>
        </is>
      </c>
      <c r="D46" t="inlineStr">
        <is>
          <t>https://www.fut.gg/evolutions/1936-wtss-journey-3-midfielder-sp-21/</t>
        </is>
      </c>
      <c r="G46" t="inlineStr">
        <is>
          <t>90</t>
        </is>
      </c>
      <c r="H46" t="inlineStr">
        <is>
          <t>90</t>
        </is>
      </c>
      <c r="I46" t="inlineStr">
        <is>
          <t>CAM, CM, CDM</t>
        </is>
      </c>
      <c r="K46" t="inlineStr">
        <is>
          <t>World Tour Silver Stars</t>
        </is>
      </c>
      <c r="S46" t="inlineStr">
        <is>
          <t>10</t>
        </is>
      </c>
      <c r="T46" t="inlineStr">
        <is>
          <t>2</t>
        </is>
      </c>
      <c r="X46" t="n">
        <v>4</v>
      </c>
      <c r="Y46" t="n">
        <v>92</v>
      </c>
      <c r="AD46" t="n">
        <v>4</v>
      </c>
      <c r="AE46" t="n">
        <v>93</v>
      </c>
      <c r="AL46" t="n">
        <v>5</v>
      </c>
      <c r="AM46" t="n">
        <v>90</v>
      </c>
      <c r="AN46" t="n">
        <v>5</v>
      </c>
      <c r="AO46" t="n">
        <v>90</v>
      </c>
      <c r="AP46" t="n">
        <v>5</v>
      </c>
      <c r="AQ46" t="n">
        <v>90</v>
      </c>
      <c r="AR46" t="n">
        <v>10</v>
      </c>
      <c r="AS46" t="n">
        <v>90</v>
      </c>
      <c r="AT46" t="n">
        <v>5</v>
      </c>
      <c r="AU46" t="n">
        <v>91</v>
      </c>
      <c r="AV46" t="n">
        <v>5</v>
      </c>
      <c r="AW46" t="n">
        <v>91</v>
      </c>
      <c r="AX46" t="n">
        <v>5</v>
      </c>
      <c r="AY46" t="n">
        <v>88</v>
      </c>
      <c r="AZ46" t="n">
        <v>5</v>
      </c>
      <c r="BA46" t="n">
        <v>88</v>
      </c>
      <c r="BN46" t="n">
        <v>10</v>
      </c>
      <c r="BO46" t="n">
        <v>92</v>
      </c>
      <c r="BP46" t="n">
        <v>10</v>
      </c>
      <c r="BQ46" t="n">
        <v>92</v>
      </c>
      <c r="BR46" t="n">
        <v>20</v>
      </c>
      <c r="BS46" t="n">
        <v>91</v>
      </c>
      <c r="BT46" t="n">
        <v>10</v>
      </c>
      <c r="BU46" t="n">
        <v>92</v>
      </c>
      <c r="BV46" t="n">
        <v>10</v>
      </c>
      <c r="BW46" t="n">
        <v>93</v>
      </c>
      <c r="BX46" t="n">
        <v>10</v>
      </c>
      <c r="BY46" t="n">
        <v>90</v>
      </c>
      <c r="CT46" t="n">
        <v>4</v>
      </c>
      <c r="CU46" t="n">
        <v>5</v>
      </c>
      <c r="CW46"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87 DEF 79 PHY 88 RM CM CAM R 4 ★ 4 CM 86.0 Park Ji Sung 92 RW PAC 88 SHO 88 PAS 93 DRI 88 DEF 79 PHY 88 RM CM CAM R 4 ★ 4 CM 86.0 UPGRADES +2 OVR 92 +2 PAS 93 +5 Finishing 90 +10 Reactions 91 3</t>
        </is>
      </c>
      <c r="CX46" t="inlineStr">
        <is>
          <t>Rarity World Tour Silver Stars Overall Min. 90 Overall Max. 90 Position CAM, CM, CDM Max PS 10 Max PS+ 2 Details Submit by in 2 months Expiry in 2 months Coins Cost Free Points Cost Free</t>
        </is>
      </c>
      <c r="CY46" t="inlineStr">
        <is>
          <t>Rarity World Tour Silver Stars Overall Min. 90 Overall Max. 90 Position CAM, CM, CDM Max PS 10 Max PS+ 2 Details Submit by in 2 months Expiry in 2 months Coins Cost Free Points Cost Free</t>
        </is>
      </c>
      <c r="CZ46" t="inlineStr">
        <is>
          <t>WTSS Journey 3 - Midfielder [SP 21]</t>
        </is>
      </c>
      <c r="DA4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47">
      <c r="A47" t="inlineStr">
        <is>
          <t>Reward</t>
        </is>
      </c>
      <c r="B47" t="inlineStr">
        <is>
          <t>Premium Season Pass</t>
        </is>
      </c>
      <c r="C47" t="inlineStr">
        <is>
          <t>Bruiser+ [SP+ 28] - EA SPORTS FC 26</t>
        </is>
      </c>
      <c r="D47" t="inlineStr">
        <is>
          <t>https://www.fut.gg/evolutions/1935-bruiser-sp-28/</t>
        </is>
      </c>
      <c r="G47" t="inlineStr">
        <is>
          <t>91</t>
        </is>
      </c>
      <c r="K47" t="inlineStr">
        <is>
          <t>World Tour Silver Stars</t>
        </is>
      </c>
      <c r="L47" t="inlineStr">
        <is>
          <t>World Tour Silver Stars</t>
        </is>
      </c>
      <c r="T47" t="inlineStr">
        <is>
          <t>2</t>
        </is>
      </c>
      <c r="CW47" t="inlineStr">
        <is>
          <t>3 Level 1 Nwaneri 91 RW PAC 93 SHO 90 PAS 91 DRI 92 DEF 66 PHY 76 RM CM L 4 ★ 4 Nwaneri 91 RW PAC 93 SHO 90 PAS 91 DRI 92 DEF 66 PHY 76 RM CM L 4 ★ 4 UPGRADES 3</t>
        </is>
      </c>
      <c r="CX47" t="inlineStr">
        <is>
          <t>Excluded Rarity World Tour Silver Stars Overall Max. 91 Max PS+ 2 Details Submit by in 2 months Expiry in 2 months Coins Cost Free Points Cost Free</t>
        </is>
      </c>
      <c r="CY47" t="inlineStr">
        <is>
          <t>Excluded Rarity World Tour Silver Stars Overall Max. 91 Max PS+ 2 Details Submit by in 2 months Expiry in 2 months Coins Cost Free Points Cost Free</t>
        </is>
      </c>
      <c r="CZ47" t="inlineStr">
        <is>
          <t>Bruiser+ [SP+ 28]</t>
        </is>
      </c>
      <c r="DA4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48">
      <c r="A48" t="inlineStr">
        <is>
          <t>Reward</t>
        </is>
      </c>
      <c r="B48" t="inlineStr">
        <is>
          <t>Standard Season Pass</t>
        </is>
      </c>
      <c r="C48" t="inlineStr">
        <is>
          <t>Incisive Pass+ [SP 27] - EA SPORTS FC 26</t>
        </is>
      </c>
      <c r="D48" t="inlineStr">
        <is>
          <t>https://www.fut.gg/evolutions/1934-incisive-pass-sp-27/</t>
        </is>
      </c>
      <c r="G48" t="inlineStr">
        <is>
          <t>90</t>
        </is>
      </c>
      <c r="K48" t="inlineStr">
        <is>
          <t>World Tour Silver Stars</t>
        </is>
      </c>
      <c r="L48" t="inlineStr">
        <is>
          <t>World Tour Silver Stars</t>
        </is>
      </c>
      <c r="T48" t="inlineStr">
        <is>
          <t>2</t>
        </is>
      </c>
      <c r="CW48" t="inlineStr">
        <is>
          <t>3 Level 1 Vitinha 90 CM PAC 80 SHO 84 PAS 87 DRI 91 DEF 77 PHY 72 CDM CAM R 4 ★ 4 Vitinha 90 CM PAC 80 SHO 84 PAS 87 DRI 91 DEF 77 PHY 72 CDM CAM R 4 ★ 4 UPGRADES 3</t>
        </is>
      </c>
      <c r="CX48" t="inlineStr">
        <is>
          <t>Excluded Rarity World Tour Silver Stars Overall Max. 90 Max PS+ 2 Details Submit by in 2 months Expiry in 2 months Coins Cost Free Points Cost Free</t>
        </is>
      </c>
      <c r="CY48" t="inlineStr">
        <is>
          <t>Excluded Rarity World Tour Silver Stars Overall Max. 90 Max PS+ 2 Details Submit by in 2 months Expiry in 2 months Coins Cost Free Points Cost Free</t>
        </is>
      </c>
      <c r="CZ48" t="inlineStr">
        <is>
          <t>Incisive Pass+ [SP 27]</t>
        </is>
      </c>
      <c r="DA4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49">
      <c r="A49" t="inlineStr">
        <is>
          <t>Reward</t>
        </is>
      </c>
      <c r="B49" t="inlineStr">
        <is>
          <t>Standard Season Pass</t>
        </is>
      </c>
      <c r="C49" t="inlineStr">
        <is>
          <t>Defender Round Out [SP 1] - EA SPORTS FC 26</t>
        </is>
      </c>
      <c r="D49" t="inlineStr">
        <is>
          <t>https://www.fut.gg/evolutions/1933-defender-round-out-sp-1/</t>
        </is>
      </c>
      <c r="G49" t="inlineStr">
        <is>
          <t>89</t>
        </is>
      </c>
      <c r="K49" t="inlineStr">
        <is>
          <t>World Tour Silver Stars</t>
        </is>
      </c>
      <c r="L49" t="inlineStr">
        <is>
          <t>World Tour Silver Stars</t>
        </is>
      </c>
      <c r="S49" t="inlineStr">
        <is>
          <t>10</t>
        </is>
      </c>
      <c r="X49" t="n">
        <v>2</v>
      </c>
      <c r="AL49" t="n">
        <v>10</v>
      </c>
      <c r="AM49" t="n">
        <v>91</v>
      </c>
      <c r="AN49" t="n">
        <v>10</v>
      </c>
      <c r="AO49" t="n">
        <v>92</v>
      </c>
      <c r="BR49" t="n">
        <v>5</v>
      </c>
      <c r="BS49" t="n">
        <v>93</v>
      </c>
      <c r="BX49" t="n">
        <v>5</v>
      </c>
      <c r="BY49" t="n">
        <v>93</v>
      </c>
      <c r="BZ49" t="n">
        <v>2</v>
      </c>
      <c r="CA49" t="n">
        <v>93</v>
      </c>
      <c r="CB49" t="n">
        <v>2</v>
      </c>
      <c r="CC49" t="n">
        <v>94</v>
      </c>
      <c r="CD49" t="n">
        <v>2</v>
      </c>
      <c r="CE49" t="n">
        <v>93</v>
      </c>
      <c r="CF49" t="n">
        <v>5</v>
      </c>
      <c r="CG49" t="n">
        <v>91</v>
      </c>
      <c r="CH49" t="n">
        <v>5</v>
      </c>
      <c r="CI49" t="n">
        <v>92</v>
      </c>
      <c r="CJ49" t="n">
        <v>2</v>
      </c>
      <c r="CK49" t="n">
        <v>93</v>
      </c>
      <c r="CL49" t="n">
        <v>2</v>
      </c>
      <c r="CM49" t="n">
        <v>92</v>
      </c>
      <c r="CN49" t="n">
        <v>2</v>
      </c>
      <c r="CO49" t="n">
        <v>93</v>
      </c>
      <c r="CP49" t="n">
        <v>5</v>
      </c>
      <c r="CQ49" t="n">
        <v>92</v>
      </c>
      <c r="CW49" t="inlineStr">
        <is>
          <t>+1 OVR +5 Acceleration 91 +5 Sprint Speed 92 +1 Interceptions 93 +1 Heading Acc. 94 +1 Defensive Awareness 93 +5 Reactions 93 +5 Composure 93 +5 Standing Tackle 91 +5 Sliding Tackle 92 +2 Jumping 93 +2 Stamina 92 +2 Strength 93 +5 Aggression 92 8 Level 1 Francisco Conceição 89 RM PAC 93 SHO 86 PAS 87 DRI 91 DEF 45 PHY 70 CAM RW L 4 ★ 3 Francisco Conceição 90 RM PAC 93 SHO 86 PAS 87 DRI 91 DEF 46 PHY 70 CAM RW L 4 ★ 3 UPGRADES +1 OVR +5 Acceleration 91 +5 Sprint Speed 92 +1 Interceptions 93 +1 Heading Acc. 94 +1 Defensive Awareness 93</t>
        </is>
      </c>
      <c r="CX49" t="inlineStr">
        <is>
          <t>Excluded Rarity World Tour Silver Stars Overall Max. 89 Max PS 10 Details Submit by in 2 months Expiry in 2 months Coins Cost Free Points Cost Free</t>
        </is>
      </c>
      <c r="CY49" t="inlineStr">
        <is>
          <t>Excluded Rarity World Tour Silver Stars Overall Max. 89 Max PS 10 Details Submit by in 2 months Expiry in 2 months Coins Cost Free Points Cost Free</t>
        </is>
      </c>
      <c r="CZ49" t="inlineStr">
        <is>
          <t>Defender Round Out [SP 1] 10</t>
        </is>
      </c>
      <c r="DA4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50">
      <c r="A50" t="inlineStr">
        <is>
          <t>Reward</t>
        </is>
      </c>
      <c r="B50" t="inlineStr">
        <is>
          <t>Premium Season Pass</t>
        </is>
      </c>
      <c r="C50" t="inlineStr">
        <is>
          <t>Attacker Round Out [SP+ 1] - EA SPORTS FC 26</t>
        </is>
      </c>
      <c r="D50" t="inlineStr">
        <is>
          <t>https://www.fut.gg/evolutions/1932-attacker-round-out-sp-1/</t>
        </is>
      </c>
      <c r="G50" t="inlineStr">
        <is>
          <t>89</t>
        </is>
      </c>
      <c r="I50" t="inlineStr">
        <is>
          <t>CB</t>
        </is>
      </c>
      <c r="J50" t="inlineStr">
        <is>
          <t>CB</t>
        </is>
      </c>
      <c r="K50" t="inlineStr">
        <is>
          <t>World Tour Silver Stars</t>
        </is>
      </c>
      <c r="L50" t="inlineStr">
        <is>
          <t>World Tour Silver Stars</t>
        </is>
      </c>
      <c r="S50" t="inlineStr">
        <is>
          <t>10</t>
        </is>
      </c>
      <c r="X50" t="n">
        <v>4</v>
      </c>
      <c r="Y50" t="n">
        <v>91</v>
      </c>
      <c r="AL50" t="n">
        <v>6</v>
      </c>
      <c r="AM50" t="n">
        <v>93</v>
      </c>
      <c r="AN50" t="n">
        <v>3</v>
      </c>
      <c r="AO50" t="n">
        <v>94</v>
      </c>
      <c r="AP50" t="n">
        <v>5</v>
      </c>
      <c r="AQ50" t="n">
        <v>93</v>
      </c>
      <c r="AR50" t="n">
        <v>5</v>
      </c>
      <c r="AS50" t="n">
        <v>94</v>
      </c>
      <c r="AT50" t="n">
        <v>3</v>
      </c>
      <c r="AU50" t="n">
        <v>93</v>
      </c>
      <c r="AV50" t="n">
        <v>3</v>
      </c>
      <c r="AW50" t="n">
        <v>92</v>
      </c>
      <c r="AX50" t="n">
        <v>3</v>
      </c>
      <c r="AY50" t="n">
        <v>94</v>
      </c>
      <c r="AZ50" t="n">
        <v>3</v>
      </c>
      <c r="BA50" t="n">
        <v>94</v>
      </c>
      <c r="BB50" t="n">
        <v>5</v>
      </c>
      <c r="BC50" t="n">
        <v>93</v>
      </c>
      <c r="BD50" t="n">
        <v>2</v>
      </c>
      <c r="BE50" t="n">
        <v>94</v>
      </c>
      <c r="BH50" t="n">
        <v>5</v>
      </c>
      <c r="BI50" t="n">
        <v>95</v>
      </c>
      <c r="BJ50" t="n">
        <v>5</v>
      </c>
      <c r="BK50" t="n">
        <v>94</v>
      </c>
      <c r="BL50" t="n">
        <v>2</v>
      </c>
      <c r="BM50" t="n">
        <v>92</v>
      </c>
      <c r="BN50" t="n">
        <v>10</v>
      </c>
      <c r="BO50" t="n">
        <v>94</v>
      </c>
      <c r="BP50" t="n">
        <v>10</v>
      </c>
      <c r="BQ50" t="n">
        <v>93</v>
      </c>
      <c r="BR50" t="n">
        <v>2</v>
      </c>
      <c r="BS50" t="n">
        <v>92</v>
      </c>
      <c r="BT50" t="n">
        <v>5</v>
      </c>
      <c r="BU50" t="n">
        <v>94</v>
      </c>
      <c r="BV50" t="n">
        <v>5</v>
      </c>
      <c r="BW50" t="n">
        <v>95</v>
      </c>
      <c r="BX50" t="n">
        <v>2</v>
      </c>
      <c r="BY50" t="n">
        <v>95</v>
      </c>
      <c r="CW5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Amaiur Sarriegi 89 ST PAC 94 SHO 88 PAS 86 DRI 92 DEF 56 PHY 89 RM RW LW R 4 ★ 4 Amaiur Sarriegi 91 ST PAC 94 SHO 88 PAS 86 DRI 92 DEF 56 PHY 89 RM RW LW R 4 ★ 4 UPGRADES +2 OVR 91 +3 Acceleration 93 +5 Agility 94 +5 Balance 93 8</t>
        </is>
      </c>
      <c r="CX50" t="inlineStr">
        <is>
          <t>Excluded Rarity World Tour Silver Stars Overall Max. 89 Excluded Position CB Max PS 10 Details Submit by in 2 months Expiry in 2 months Coins Cost Free Points Cost Free</t>
        </is>
      </c>
      <c r="CY50" t="inlineStr">
        <is>
          <t>Excluded Rarity World Tour Silver Stars Overall Max. 89 Excluded Position CB Max PS 10 Details Submit by in 2 months Expiry in 2 months Coins Cost Free Points Cost Free</t>
        </is>
      </c>
      <c r="CZ50" t="inlineStr">
        <is>
          <t>Attacker Round Out [SP+ 1] 20</t>
        </is>
      </c>
      <c r="DA5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93% 7%</t>
        </is>
      </c>
    </row>
    <row r="51">
      <c r="A51" t="inlineStr">
        <is>
          <t>Reward</t>
        </is>
      </c>
      <c r="B51" t="inlineStr">
        <is>
          <t>Standard Season Pass</t>
        </is>
      </c>
      <c r="C51" t="inlineStr">
        <is>
          <t>WTSS Journey 2 - Attacker [SP 8] - EA SPORTS FC 26</t>
        </is>
      </c>
      <c r="D51" t="inlineStr">
        <is>
          <t>https://www.fut.gg/evolutions/1931-wtss-journey-2-attacker-sp-8/</t>
        </is>
      </c>
      <c r="G51" t="inlineStr">
        <is>
          <t>88</t>
        </is>
      </c>
      <c r="H51" t="inlineStr">
        <is>
          <t>88</t>
        </is>
      </c>
      <c r="I51" t="inlineStr">
        <is>
          <t>ST, RW, LW</t>
        </is>
      </c>
      <c r="K51" t="inlineStr">
        <is>
          <t>World Tour Silver Stars</t>
        </is>
      </c>
      <c r="S51" t="inlineStr">
        <is>
          <t>10</t>
        </is>
      </c>
      <c r="T51" t="inlineStr">
        <is>
          <t>1</t>
        </is>
      </c>
      <c r="X51" t="n">
        <v>4</v>
      </c>
      <c r="Y51" t="n">
        <v>90</v>
      </c>
      <c r="AL51" t="n">
        <v>20</v>
      </c>
      <c r="AM51" t="n">
        <v>90</v>
      </c>
      <c r="AN51" t="n">
        <v>20</v>
      </c>
      <c r="AO51" t="n">
        <v>90</v>
      </c>
      <c r="AP51" t="n">
        <v>20</v>
      </c>
      <c r="AQ51" t="n">
        <v>90</v>
      </c>
      <c r="AR51" t="n">
        <v>20</v>
      </c>
      <c r="AS51" t="n">
        <v>90</v>
      </c>
      <c r="AT51" t="n">
        <v>10</v>
      </c>
      <c r="AU51" t="n">
        <v>91</v>
      </c>
      <c r="AV51" t="n">
        <v>10</v>
      </c>
      <c r="AW51" t="n">
        <v>90</v>
      </c>
      <c r="AX51" t="n">
        <v>10</v>
      </c>
      <c r="AY51" t="n">
        <v>89</v>
      </c>
      <c r="AZ51" t="n">
        <v>10</v>
      </c>
      <c r="BA51" t="n">
        <v>90</v>
      </c>
      <c r="BL51" t="n">
        <v>10</v>
      </c>
      <c r="BM51" t="n">
        <v>90</v>
      </c>
      <c r="BN51" t="n">
        <v>15</v>
      </c>
      <c r="BO51" t="n">
        <v>92</v>
      </c>
      <c r="BP51" t="n">
        <v>15</v>
      </c>
      <c r="BQ51" t="n">
        <v>89</v>
      </c>
      <c r="BR51" t="n">
        <v>15</v>
      </c>
      <c r="BS51" t="n">
        <v>89</v>
      </c>
      <c r="BT51" t="n">
        <v>15</v>
      </c>
      <c r="BU51" t="n">
        <v>88</v>
      </c>
      <c r="BV51" t="n">
        <v>15</v>
      </c>
      <c r="BW51" t="n">
        <v>89</v>
      </c>
      <c r="BX51" t="n">
        <v>15</v>
      </c>
      <c r="BY51" t="n">
        <v>88</v>
      </c>
      <c r="CT51" t="n">
        <v>3</v>
      </c>
      <c r="CU51" t="n">
        <v>4</v>
      </c>
      <c r="CW5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85.0 Ronaldinho 90 CAM PAC 90 SHO 89 PAS 89 DRI 88 DEF 60 PHY 84 LW R 5 ★ 4 LW 85.0 UPGRADES +2 OVR 90 +10 Acceleration 90 +10 Sprint Speed 90 +10 Finishing 90 +10 Positioning 90 8</t>
        </is>
      </c>
      <c r="CX51" t="inlineStr">
        <is>
          <t>Rarity World Tour Silver Stars Overall Min. 88 Overall Max. 88 Position ST, RW, LW Max PS 10 Max PS+ 1 Details Submit by in 2 months Expiry in 2 months Coins Cost Free Points Cost Free</t>
        </is>
      </c>
      <c r="CY51" t="inlineStr">
        <is>
          <t>Rarity World Tour Silver Stars Overall Min. 88 Overall Max. 88 Position ST, RW, LW Max PS 10 Max PS+ 1 Details Submit by in 2 months Expiry in 2 months Coins Cost Free Points Cost Free</t>
        </is>
      </c>
      <c r="CZ51" t="inlineStr">
        <is>
          <t>WTSS Journey 2 - Attacker [SP 8]</t>
        </is>
      </c>
      <c r="DA5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52">
      <c r="A52" t="inlineStr">
        <is>
          <t>Reward</t>
        </is>
      </c>
      <c r="B52" t="inlineStr">
        <is>
          <t>Standard Season Pass</t>
        </is>
      </c>
      <c r="C52" t="inlineStr">
        <is>
          <t>WTSS Journey 2 - Defender [SP 8] - EA SPORTS FC 26</t>
        </is>
      </c>
      <c r="D52" t="inlineStr">
        <is>
          <t>https://www.fut.gg/evolutions/1930-wtss-journey-2-defender-sp-8/</t>
        </is>
      </c>
      <c r="G52" t="inlineStr">
        <is>
          <t>88</t>
        </is>
      </c>
      <c r="H52" t="inlineStr">
        <is>
          <t>88</t>
        </is>
      </c>
      <c r="I52" t="inlineStr">
        <is>
          <t>CB, LB, RB</t>
        </is>
      </c>
      <c r="K52" t="inlineStr">
        <is>
          <t>World Tour Silver Stars</t>
        </is>
      </c>
      <c r="S52" t="inlineStr">
        <is>
          <t>10</t>
        </is>
      </c>
      <c r="T52" t="inlineStr">
        <is>
          <t>1</t>
        </is>
      </c>
      <c r="X52" t="n">
        <v>4</v>
      </c>
      <c r="Y52" t="n">
        <v>90</v>
      </c>
      <c r="Z52" t="n">
        <v>4</v>
      </c>
      <c r="AA52" t="n">
        <v>87</v>
      </c>
      <c r="BN52" t="n">
        <v>10</v>
      </c>
      <c r="BO52" t="n">
        <v>88</v>
      </c>
      <c r="BP52" t="n">
        <v>5</v>
      </c>
      <c r="BQ52" t="n">
        <v>88</v>
      </c>
      <c r="BR52" t="n">
        <v>5</v>
      </c>
      <c r="BS52" t="n">
        <v>90</v>
      </c>
      <c r="BX52" t="n">
        <v>5</v>
      </c>
      <c r="BY52" t="n">
        <v>90</v>
      </c>
      <c r="BZ52" t="n">
        <v>10</v>
      </c>
      <c r="CA52" t="n">
        <v>93</v>
      </c>
      <c r="CB52" t="n">
        <v>10</v>
      </c>
      <c r="CC52" t="n">
        <v>94</v>
      </c>
      <c r="CD52" t="n">
        <v>10</v>
      </c>
      <c r="CE52" t="n">
        <v>90</v>
      </c>
      <c r="CF52" t="n">
        <v>10</v>
      </c>
      <c r="CG52" t="n">
        <v>92</v>
      </c>
      <c r="CH52" t="n">
        <v>10</v>
      </c>
      <c r="CI52" t="n">
        <v>92</v>
      </c>
      <c r="CW52" t="inlineStr">
        <is>
          <t>+2 OVR 90 +2 PAC 87 +5 Agility 88 +5 Balance 88 +5 Reactions 90 +5 Composure 90 +10 Standing Tackle 92 +10 Sliding Tackle 92 +10 Interceptions 93 +10 Heading Acc. 94 +10 Defensive Awareness 90 2 8 Level 1 Matthäus 88 CM PAC 85 SHO 87 PAS 87 DRI 87 DEF 88 PHY 87 CB CDM R 4 ★ 4 CM 85.0 Matthäus 90 CM PAC 87 SHO 87 PAS 87 DRI 87 DEF 88 PHY 87 CB CDM R 4 ★ 4 CM 85.0 UPGRADES +2 OVR 90 +2 PAC 87 +5 Agility 88 2 8</t>
        </is>
      </c>
      <c r="CX52" t="inlineStr">
        <is>
          <t>Rarity World Tour Silver Stars Overall Min. 88 Overall Max. 88 Position CB, LB, RB Max PS 10 Max PS+ 1 Details Submit by in 2 months Expiry in 2 months Coins Cost Free Points Cost Free</t>
        </is>
      </c>
      <c r="CY52" t="inlineStr">
        <is>
          <t>Rarity World Tour Silver Stars Overall Min. 88 Overall Max. 88 Position CB, LB, RB Max PS 10 Max PS+ 1 Details Submit by in 2 months Expiry in 2 months Coins Cost Free Points Cost Free</t>
        </is>
      </c>
      <c r="CZ52" t="inlineStr">
        <is>
          <t>WTSS Journey 2 - Defender [SP 8]</t>
        </is>
      </c>
      <c r="DA5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53">
      <c r="A53" t="inlineStr">
        <is>
          <t>Reward</t>
        </is>
      </c>
      <c r="B53" t="inlineStr">
        <is>
          <t>Standard Season Pass</t>
        </is>
      </c>
      <c r="C53" t="inlineStr">
        <is>
          <t>WTSS Journey 3 - Attacker [SP 21] - EA SPORTS FC 26</t>
        </is>
      </c>
      <c r="D53" t="inlineStr">
        <is>
          <t>https://www.fut.gg/evolutions/1929-wtss-journey-3-attacker-sp-21/</t>
        </is>
      </c>
      <c r="G53" t="inlineStr">
        <is>
          <t>90</t>
        </is>
      </c>
      <c r="H53" t="inlineStr">
        <is>
          <t>90</t>
        </is>
      </c>
      <c r="I53" t="inlineStr">
        <is>
          <t>ST, RW, LW</t>
        </is>
      </c>
      <c r="K53" t="inlineStr">
        <is>
          <t>World Tour Silver Stars</t>
        </is>
      </c>
      <c r="S53" t="inlineStr">
        <is>
          <t>10</t>
        </is>
      </c>
      <c r="T53" t="inlineStr">
        <is>
          <t>2</t>
        </is>
      </c>
      <c r="X53" t="n">
        <v>4</v>
      </c>
      <c r="Y53" t="n">
        <v>92</v>
      </c>
      <c r="AL53" t="n">
        <v>10</v>
      </c>
      <c r="AM53" t="n">
        <v>92</v>
      </c>
      <c r="AN53" t="n">
        <v>10</v>
      </c>
      <c r="AO53" t="n">
        <v>92</v>
      </c>
      <c r="AP53" t="n">
        <v>5</v>
      </c>
      <c r="AQ53" t="n">
        <v>93</v>
      </c>
      <c r="AR53" t="n">
        <v>5</v>
      </c>
      <c r="AS53" t="n">
        <v>94</v>
      </c>
      <c r="BL53" t="n">
        <v>5</v>
      </c>
      <c r="BM53" t="n">
        <v>93</v>
      </c>
      <c r="BP53" t="n">
        <v>5</v>
      </c>
      <c r="BQ53" t="n">
        <v>94</v>
      </c>
      <c r="BR53" t="n">
        <v>5</v>
      </c>
      <c r="BS53" t="n">
        <v>93</v>
      </c>
      <c r="BT53" t="n">
        <v>5</v>
      </c>
      <c r="BU53" t="n">
        <v>94</v>
      </c>
      <c r="BV53" t="n">
        <v>5</v>
      </c>
      <c r="BW53" t="n">
        <v>94</v>
      </c>
      <c r="BX53" t="n">
        <v>5</v>
      </c>
      <c r="BY53" t="n">
        <v>93</v>
      </c>
      <c r="CR53" t="n">
        <v>4</v>
      </c>
      <c r="CW53" t="inlineStr">
        <is>
          <t>+2 OVR 92 +4 SM +5 Acceleration 92 +5 Sprint Speed 92 +5 Positioning 93 +5 Finishing 94 +5 Curve 93 +5 Balance 94 +5 Reactions 93 +5 Ball Control 94 +5 Dribbling 94 +5 Composure 93 3 8 Level 1 Park Ji Sung 90 RW PAC 90 SHO 90 PAS 89 DRI 89 DEF 85 PHY 84 RM CM CAM R 4 ★ 4 CM 86.8 Park Ji Sung 92 RW PAC 92 SHO 90 PAS 89 DRI 89 DEF 85 PHY 84 RM CM CAM R 4 ★ 4 CM 86.8 UPGRADES +2 OVR 92 +5 Acceleration 92 +5 Sprint Speed 92 3 8</t>
        </is>
      </c>
      <c r="CX53" t="inlineStr">
        <is>
          <t>Rarity World Tour Silver Stars Overall Min. 90 Overall Max. 90 Position ST, RW, LW Max PS 10 Max PS+ 2 Details Submit by in 2 months Expiry in 2 months Coins Cost Free Points Cost Free</t>
        </is>
      </c>
      <c r="CY53" t="inlineStr">
        <is>
          <t>Rarity World Tour Silver Stars Overall Min. 90 Overall Max. 90 Position ST, RW, LW Max PS 10 Max PS+ 2 Details Submit by in 2 months Expiry in 2 months Coins Cost Free Points Cost Free</t>
        </is>
      </c>
      <c r="CZ53" t="inlineStr">
        <is>
          <t>WTSS Journey 3 - Attacker [SP 21]</t>
        </is>
      </c>
      <c r="DA5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54">
      <c r="A54" t="inlineStr">
        <is>
          <t>Reward</t>
        </is>
      </c>
      <c r="B54" t="inlineStr">
        <is>
          <t>Standard Season Pass</t>
        </is>
      </c>
      <c r="C54" t="inlineStr">
        <is>
          <t>WTSS Journey 3 - Defender [SP 21] - EA SPORTS FC 26</t>
        </is>
      </c>
      <c r="D54" t="inlineStr">
        <is>
          <t>https://www.fut.gg/evolutions/1928-wtss-journey-3-defender-sp-21/</t>
        </is>
      </c>
      <c r="G54" t="inlineStr">
        <is>
          <t>90</t>
        </is>
      </c>
      <c r="H54" t="inlineStr">
        <is>
          <t>90</t>
        </is>
      </c>
      <c r="I54" t="inlineStr">
        <is>
          <t>CB, LB, RB</t>
        </is>
      </c>
      <c r="K54" t="inlineStr">
        <is>
          <t>World Tour Silver Stars</t>
        </is>
      </c>
      <c r="S54" t="inlineStr">
        <is>
          <t>10</t>
        </is>
      </c>
      <c r="T54" t="inlineStr">
        <is>
          <t>2</t>
        </is>
      </c>
      <c r="X54" t="n">
        <v>4</v>
      </c>
      <c r="Y54" t="n">
        <v>92</v>
      </c>
      <c r="Z54" t="n">
        <v>3</v>
      </c>
      <c r="AA54" t="n">
        <v>90</v>
      </c>
      <c r="BB54" t="n">
        <v>5</v>
      </c>
      <c r="BC54" t="n">
        <v>88</v>
      </c>
      <c r="BH54" t="n">
        <v>5</v>
      </c>
      <c r="BI54" t="n">
        <v>88</v>
      </c>
      <c r="BJ54" t="n">
        <v>5</v>
      </c>
      <c r="BK54" t="n">
        <v>88</v>
      </c>
      <c r="BR54" t="n">
        <v>10</v>
      </c>
      <c r="BS54" t="n">
        <v>93</v>
      </c>
      <c r="BT54" t="n">
        <v>10</v>
      </c>
      <c r="BU54" t="n">
        <v>88</v>
      </c>
      <c r="BV54" t="n">
        <v>5</v>
      </c>
      <c r="BW54" t="n">
        <v>88</v>
      </c>
      <c r="BX54" t="n">
        <v>5</v>
      </c>
      <c r="BY54" t="n">
        <v>93</v>
      </c>
      <c r="CJ54" t="n">
        <v>10</v>
      </c>
      <c r="CK54" t="n">
        <v>90</v>
      </c>
      <c r="CL54" t="n">
        <v>10</v>
      </c>
      <c r="CM54" t="n">
        <v>95</v>
      </c>
      <c r="CN54" t="n">
        <v>10</v>
      </c>
      <c r="CO54" t="n">
        <v>93</v>
      </c>
      <c r="CP54" t="n">
        <v>10</v>
      </c>
      <c r="CQ54" t="n">
        <v>88</v>
      </c>
      <c r="CR54" t="n">
        <v>3</v>
      </c>
      <c r="CS54" t="n">
        <v>4</v>
      </c>
      <c r="CT54" t="n">
        <v>4</v>
      </c>
      <c r="CW54"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84 CB CDM R 4 ★ 4 CM 86.4 Matthäus 92 CM PAC 87 SHO 87 PAS 87 DRI 88 DEF 92 PHY 84 CB CDM R 4 ★ 4 CM 86.4 UPGRADES +2 OVR 92 +5 Reactions 93 +5 Ball Control 88 3 8</t>
        </is>
      </c>
      <c r="CX54" t="inlineStr">
        <is>
          <t>Rarity World Tour Silver Stars Overall Min. 90 Overall Max. 90 Position CB, LB, RB Max PS 10 Max PS+ 2 Details Submit by in 2 months Expiry in 2 months Coins Cost Free Points Cost Free</t>
        </is>
      </c>
      <c r="CY54" t="inlineStr">
        <is>
          <t>Rarity World Tour Silver Stars Overall Min. 90 Overall Max. 90 Position CB, LB, RB Max PS 10 Max PS+ 2 Details Submit by in 2 months Expiry in 2 months Coins Cost Free Points Cost Free</t>
        </is>
      </c>
      <c r="CZ54" t="inlineStr">
        <is>
          <t>WTSS Journey 3 - Defender [SP 21]</t>
        </is>
      </c>
      <c r="DA5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55">
      <c r="A55" t="inlineStr">
        <is>
          <t>Reward</t>
        </is>
      </c>
      <c r="B55" t="inlineStr">
        <is>
          <t>Standard Season Pass</t>
        </is>
      </c>
      <c r="C55" t="inlineStr">
        <is>
          <t>WTSS Journey 2 - Midfielder [SP 8] - EA SPORTS FC 26</t>
        </is>
      </c>
      <c r="D55" t="inlineStr">
        <is>
          <t>https://www.fut.gg/evolutions/1927-wtss-journey-2-midfielder-sp-8/</t>
        </is>
      </c>
      <c r="G55" t="inlineStr">
        <is>
          <t>88</t>
        </is>
      </c>
      <c r="H55" t="inlineStr">
        <is>
          <t>88</t>
        </is>
      </c>
      <c r="I55" t="inlineStr">
        <is>
          <t>CAM, CDM, CM</t>
        </is>
      </c>
      <c r="K55" t="inlineStr">
        <is>
          <t>World Tour Silver Stars</t>
        </is>
      </c>
      <c r="S55" t="inlineStr">
        <is>
          <t>10</t>
        </is>
      </c>
      <c r="T55" t="inlineStr">
        <is>
          <t>1</t>
        </is>
      </c>
      <c r="X55" t="n">
        <v>4</v>
      </c>
      <c r="Y55" t="n">
        <v>90</v>
      </c>
      <c r="AB55" t="n">
        <v>4</v>
      </c>
      <c r="AC55" t="n">
        <v>88</v>
      </c>
      <c r="AL55" t="n">
        <v>5</v>
      </c>
      <c r="AM55" t="n">
        <v>88</v>
      </c>
      <c r="AN55" t="n">
        <v>10</v>
      </c>
      <c r="AO55" t="n">
        <v>88</v>
      </c>
      <c r="BB55" t="n">
        <v>15</v>
      </c>
      <c r="BC55" t="n">
        <v>91</v>
      </c>
      <c r="BD55" t="n">
        <v>15</v>
      </c>
      <c r="BE55" t="n">
        <v>89</v>
      </c>
      <c r="BH55" t="n">
        <v>30</v>
      </c>
      <c r="BI55" t="n">
        <v>93</v>
      </c>
      <c r="BJ55" t="n">
        <v>15</v>
      </c>
      <c r="BK55" t="n">
        <v>92</v>
      </c>
      <c r="BL55" t="n">
        <v>15</v>
      </c>
      <c r="BM55" t="n">
        <v>90</v>
      </c>
      <c r="BZ55" t="n">
        <v>30</v>
      </c>
      <c r="CA55" t="n">
        <v>90</v>
      </c>
      <c r="CB55" t="n">
        <v>15</v>
      </c>
      <c r="CC55" t="n">
        <v>89</v>
      </c>
      <c r="CD55" t="n">
        <v>15</v>
      </c>
      <c r="CE55" t="n">
        <v>89</v>
      </c>
      <c r="CF55" t="n">
        <v>15</v>
      </c>
      <c r="CG55" t="n">
        <v>90</v>
      </c>
      <c r="CH55" t="n">
        <v>15</v>
      </c>
      <c r="CI55" t="n">
        <v>88</v>
      </c>
      <c r="CJ55" t="n">
        <v>15</v>
      </c>
      <c r="CK55" t="n">
        <v>89</v>
      </c>
      <c r="CL55" t="n">
        <v>30</v>
      </c>
      <c r="CM55" t="n">
        <v>90</v>
      </c>
      <c r="CN55" t="n">
        <v>15</v>
      </c>
      <c r="CO55" t="n">
        <v>89</v>
      </c>
      <c r="CP55" t="n">
        <v>15</v>
      </c>
      <c r="CQ55" t="n">
        <v>89</v>
      </c>
      <c r="CR55" t="n">
        <v>1</v>
      </c>
      <c r="CS55" t="n">
        <v>4</v>
      </c>
      <c r="CW5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Xabi Alonso 88 CM PAC 85 SHO 82 PAS 87 DRI 87 DEF 86 PHY 84 CDM R 4 ★ 4 CM 83.2 Xabi Alonso 90 CM PAC 87 SHO 82 PAS 89 DRI 87 DEF 87 PHY 84 CDM R 4 ★ 4 CM 83.2 UPGRADES +2 OVR 90 +5 Sprint Speed 88 +15 Short Pass 93 +15 Interceptions 90 +15 Stamina 90 2</t>
        </is>
      </c>
      <c r="CX55" t="inlineStr">
        <is>
          <t>Rarity World Tour Silver Stars Overall Min. 88 Overall Max. 88 Position CAM, CDM, CM Max PS 10 Max PS+ 1 Details Submit by in 2 months Expiry in 2 months Coins Cost Free Points Cost Free</t>
        </is>
      </c>
      <c r="CY55" t="inlineStr">
        <is>
          <t>Rarity World Tour Silver Stars Overall Min. 88 Overall Max. 88 Position CAM, CDM, CM Max PS 10 Max PS+ 1 Details Submit by in 2 months Expiry in 2 months Coins Cost Free Points Cost Free</t>
        </is>
      </c>
      <c r="CZ55" t="inlineStr">
        <is>
          <t>WTSS Journey 2 - Midfielder [SP 8]</t>
        </is>
      </c>
      <c r="DA5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56">
      <c r="A56" t="inlineStr">
        <is>
          <t>Reward</t>
        </is>
      </c>
      <c r="B56" t="inlineStr">
        <is>
          <t>Standard Season Pass</t>
        </is>
      </c>
      <c r="C56" t="inlineStr">
        <is>
          <t>WTSS Journey 1 - Attacker [SP 3] - EA SPORTS FC 26</t>
        </is>
      </c>
      <c r="D56" t="inlineStr">
        <is>
          <t>https://www.fut.gg/evolutions/1926-wtss-journey-1-attacker-sp-3/</t>
        </is>
      </c>
      <c r="I56" t="inlineStr">
        <is>
          <t>ST, RW, LW</t>
        </is>
      </c>
      <c r="K56" t="inlineStr">
        <is>
          <t>World Tour Silver Stars</t>
        </is>
      </c>
      <c r="S56" t="inlineStr">
        <is>
          <t>10</t>
        </is>
      </c>
      <c r="T56" t="inlineStr">
        <is>
          <t>1</t>
        </is>
      </c>
      <c r="X56" t="n">
        <v>60</v>
      </c>
      <c r="Y56" t="n">
        <v>88</v>
      </c>
      <c r="AL56" t="n">
        <v>60</v>
      </c>
      <c r="AM56" t="n">
        <v>88</v>
      </c>
      <c r="AN56" t="n">
        <v>60</v>
      </c>
      <c r="AO56" t="n">
        <v>88</v>
      </c>
      <c r="AP56" t="n">
        <v>30</v>
      </c>
      <c r="AQ56" t="n">
        <v>84</v>
      </c>
      <c r="AR56" t="n">
        <v>60</v>
      </c>
      <c r="AS56" t="n">
        <v>87</v>
      </c>
      <c r="AT56" t="n">
        <v>60</v>
      </c>
      <c r="AU56" t="n">
        <v>83</v>
      </c>
      <c r="AV56" t="n">
        <v>60</v>
      </c>
      <c r="AW56" t="n">
        <v>88</v>
      </c>
      <c r="AX56" t="n">
        <v>30</v>
      </c>
      <c r="AY56" t="n">
        <v>87</v>
      </c>
      <c r="AZ56" t="n">
        <v>30</v>
      </c>
      <c r="BA56" t="n">
        <v>80</v>
      </c>
      <c r="BB56" t="n">
        <v>20</v>
      </c>
      <c r="BC56" t="n">
        <v>88</v>
      </c>
      <c r="BD56" t="n">
        <v>20</v>
      </c>
      <c r="BE56" t="n">
        <v>87</v>
      </c>
      <c r="BH56" t="n">
        <v>20</v>
      </c>
      <c r="BI56" t="n">
        <v>90</v>
      </c>
      <c r="BJ56" t="n">
        <v>20</v>
      </c>
      <c r="BK56" t="n">
        <v>88</v>
      </c>
      <c r="BL56" t="n">
        <v>20</v>
      </c>
      <c r="BM56" t="n">
        <v>88</v>
      </c>
      <c r="BN56" t="n">
        <v>25</v>
      </c>
      <c r="BO56" t="n">
        <v>87</v>
      </c>
      <c r="BP56" t="n">
        <v>25</v>
      </c>
      <c r="BQ56" t="n">
        <v>88</v>
      </c>
      <c r="BR56" t="n">
        <v>25</v>
      </c>
      <c r="BS56" t="n">
        <v>86</v>
      </c>
      <c r="BT56" t="n">
        <v>25</v>
      </c>
      <c r="BU56" t="n">
        <v>88</v>
      </c>
      <c r="BV56" t="n">
        <v>25</v>
      </c>
      <c r="BW56" t="n">
        <v>87</v>
      </c>
      <c r="BX56" t="n">
        <v>25</v>
      </c>
      <c r="BY56" t="n">
        <v>88</v>
      </c>
      <c r="CL56" t="n">
        <v>20</v>
      </c>
      <c r="CM56" t="n">
        <v>90</v>
      </c>
      <c r="CN56" t="n">
        <v>20</v>
      </c>
      <c r="CO56" t="n">
        <v>75</v>
      </c>
      <c r="CP56" t="n">
        <v>20</v>
      </c>
      <c r="CQ56" t="n">
        <v>70</v>
      </c>
      <c r="CR56" t="n">
        <v>1</v>
      </c>
      <c r="CS56" t="n">
        <v>4</v>
      </c>
      <c r="CT56" t="n">
        <v>1</v>
      </c>
      <c r="CU56" t="n">
        <v>4</v>
      </c>
      <c r="CW5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Cafu 74 RM PAC 80 SHO 50 PAS 75 DRI 80 DEF 85 PHY 70 RB RW R 4 ★ 3 Cafu 88 RM PAC 88 SHO 74 PAS 75 DRI 80 DEF 85 PHY 70 RB RW R 4 ★ 3 UPGRADES +30 OVR 88 +30 Acceleration 88 +30 Sprint Speed 88 +30 Finishing 87 +30 Shot Power 83 +30 Long Shots 88</t>
        </is>
      </c>
      <c r="CX56" t="inlineStr">
        <is>
          <t>Rarity World Tour Silver Stars Position ST, RW, LW Max PS 10 Max PS+ 1 Details Submit by in 2 months Expiry in 2 months Coins Cost Free Points Cost Free</t>
        </is>
      </c>
      <c r="CY56" t="inlineStr">
        <is>
          <t>Rarity World Tour Silver Stars Position ST, RW, LW Max PS 10 Max PS+ 1 Details Submit by in 2 months Expiry in 2 months Coins Cost Free Points Cost Free</t>
        </is>
      </c>
      <c r="CZ56" t="inlineStr">
        <is>
          <t>WTSS Journey 1 - Attacker [SP 3]</t>
        </is>
      </c>
      <c r="DA5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57">
      <c r="A57" t="inlineStr">
        <is>
          <t>Reward</t>
        </is>
      </c>
      <c r="B57" t="inlineStr">
        <is>
          <t>Standard Season Pass</t>
        </is>
      </c>
      <c r="C57" t="inlineStr">
        <is>
          <t>WTSS Journey 1 - Midfielder [SP 3] - EA SPORTS FC 26</t>
        </is>
      </c>
      <c r="D57" t="inlineStr">
        <is>
          <t>https://www.fut.gg/evolutions/1925-wtss-journey-1-midfielder-sp-3/</t>
        </is>
      </c>
      <c r="I57" t="inlineStr">
        <is>
          <t>CAM, CM, CDM</t>
        </is>
      </c>
      <c r="K57" t="inlineStr">
        <is>
          <t>World Tour Silver Stars</t>
        </is>
      </c>
      <c r="S57" t="inlineStr">
        <is>
          <t>10</t>
        </is>
      </c>
      <c r="T57" t="inlineStr">
        <is>
          <t>1</t>
        </is>
      </c>
      <c r="X57" t="n">
        <v>60</v>
      </c>
      <c r="Y57" t="n">
        <v>88</v>
      </c>
      <c r="AJ57" t="n">
        <v>20</v>
      </c>
      <c r="AK57" t="n">
        <v>84</v>
      </c>
      <c r="AL57" t="n">
        <v>60</v>
      </c>
      <c r="AM57" t="n">
        <v>85</v>
      </c>
      <c r="AN57" t="n">
        <v>60</v>
      </c>
      <c r="AO57" t="n">
        <v>85</v>
      </c>
      <c r="AP57" t="n">
        <v>20</v>
      </c>
      <c r="AQ57" t="n">
        <v>85</v>
      </c>
      <c r="AR57" t="n">
        <v>20</v>
      </c>
      <c r="AS57" t="n">
        <v>87</v>
      </c>
      <c r="AT57" t="n">
        <v>20</v>
      </c>
      <c r="AU57" t="n">
        <v>87</v>
      </c>
      <c r="AV57" t="n">
        <v>20</v>
      </c>
      <c r="AW57" t="n">
        <v>90</v>
      </c>
      <c r="AX57" t="n">
        <v>20</v>
      </c>
      <c r="AY57" t="n">
        <v>88</v>
      </c>
      <c r="AZ57" t="n">
        <v>20</v>
      </c>
      <c r="BA57" t="n">
        <v>85</v>
      </c>
      <c r="BB57" t="n">
        <v>30</v>
      </c>
      <c r="BC57" t="n">
        <v>86</v>
      </c>
      <c r="BD57" t="n">
        <v>30</v>
      </c>
      <c r="BE57" t="n">
        <v>85</v>
      </c>
      <c r="BH57" t="n">
        <v>30</v>
      </c>
      <c r="BI57" t="n">
        <v>87</v>
      </c>
      <c r="BJ57" t="n">
        <v>30</v>
      </c>
      <c r="BK57" t="n">
        <v>88</v>
      </c>
      <c r="BL57" t="n">
        <v>60</v>
      </c>
      <c r="BM57" t="n">
        <v>86</v>
      </c>
      <c r="BN57" t="n">
        <v>60</v>
      </c>
      <c r="BO57" t="n">
        <v>86</v>
      </c>
      <c r="BP57" t="n">
        <v>60</v>
      </c>
      <c r="BQ57" t="n">
        <v>84</v>
      </c>
      <c r="BR57" t="n">
        <v>30</v>
      </c>
      <c r="BS57" t="n">
        <v>87</v>
      </c>
      <c r="BT57" t="n">
        <v>30</v>
      </c>
      <c r="BU57" t="n">
        <v>85</v>
      </c>
      <c r="BV57" t="n">
        <v>30</v>
      </c>
      <c r="BW57" t="n">
        <v>88</v>
      </c>
      <c r="BX57" t="n">
        <v>30</v>
      </c>
      <c r="BY57" t="n">
        <v>88</v>
      </c>
      <c r="BZ57" t="n">
        <v>30</v>
      </c>
      <c r="CA57" t="n">
        <v>85</v>
      </c>
      <c r="CB57" t="n">
        <v>30</v>
      </c>
      <c r="CC57" t="n">
        <v>88</v>
      </c>
      <c r="CD57" t="n">
        <v>30</v>
      </c>
      <c r="CE57" t="n">
        <v>85</v>
      </c>
      <c r="CF57" t="n">
        <v>30</v>
      </c>
      <c r="CG57" t="n">
        <v>86</v>
      </c>
      <c r="CH57" t="n">
        <v>30</v>
      </c>
      <c r="CI57" t="n">
        <v>88</v>
      </c>
      <c r="CR57" t="n">
        <v>1</v>
      </c>
      <c r="CS57" t="n">
        <v>4</v>
      </c>
      <c r="CT57" t="n">
        <v>1</v>
      </c>
      <c r="CU57" t="n">
        <v>4</v>
      </c>
      <c r="CW5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Rivaldo 74 ST PAC 80 SHO 84 PAS 75 DRI 82 DEF 30 PHY 65 CAM L 4 ★ 2 Rivaldo 88 ST PAC 85 SHO 84 PAS 75 DRI 83 DEF 30 PHY 65 CAM L 4 ★ 2 UPGRADES +30 OVR 88 +30 Acceleration 85 +30 Sprint Speed 85 +30 Curve 86 +30 Agility 86 +30 Balance 84 8</t>
        </is>
      </c>
      <c r="CX57" t="inlineStr">
        <is>
          <t>Rarity World Tour Silver Stars Position CAM, CM, CDM Max PS 10 Max PS+ 1 Details Submit by in 2 months Expiry in 2 months Coins Cost Free Points Cost Free</t>
        </is>
      </c>
      <c r="CY57" t="inlineStr">
        <is>
          <t>Rarity World Tour Silver Stars Position CAM, CM, CDM Max PS 10 Max PS+ 1 Details Submit by in 2 months Expiry in 2 months Coins Cost Free Points Cost Free</t>
        </is>
      </c>
      <c r="CZ57" t="inlineStr">
        <is>
          <t>WTSS Journey 1 - Midfielder [SP 3]</t>
        </is>
      </c>
      <c r="DA5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58">
      <c r="A58" t="inlineStr">
        <is>
          <t>Reward</t>
        </is>
      </c>
      <c r="B58" t="inlineStr">
        <is>
          <t>Standard Season Pass</t>
        </is>
      </c>
      <c r="C58" t="inlineStr">
        <is>
          <t>WTSS Journey 1 - Defender [SP 3] - EA SPORTS FC 26</t>
        </is>
      </c>
      <c r="D58" t="inlineStr">
        <is>
          <t>https://www.fut.gg/evolutions/1924-wtss-journey-1-defender-sp-3/</t>
        </is>
      </c>
      <c r="I58" t="inlineStr">
        <is>
          <t>CB, LB, RB</t>
        </is>
      </c>
      <c r="K58" t="inlineStr">
        <is>
          <t>World Tour Silver Stars</t>
        </is>
      </c>
      <c r="S58" t="inlineStr">
        <is>
          <t>10</t>
        </is>
      </c>
      <c r="T58" t="inlineStr">
        <is>
          <t>1</t>
        </is>
      </c>
      <c r="X58" t="n">
        <v>60</v>
      </c>
      <c r="Y58" t="n">
        <v>88</v>
      </c>
      <c r="AB58" t="n">
        <v>20</v>
      </c>
      <c r="AC58" t="n">
        <v>70</v>
      </c>
      <c r="AL58" t="n">
        <v>30</v>
      </c>
      <c r="AM58" t="n">
        <v>85</v>
      </c>
      <c r="AN58" t="n">
        <v>30</v>
      </c>
      <c r="AO58" t="n">
        <v>85</v>
      </c>
      <c r="BB58" t="n">
        <v>30</v>
      </c>
      <c r="BC58" t="n">
        <v>75</v>
      </c>
      <c r="BD58" t="n">
        <v>30</v>
      </c>
      <c r="BE58" t="n">
        <v>75</v>
      </c>
      <c r="BH58" t="n">
        <v>30</v>
      </c>
      <c r="BI58" t="n">
        <v>85</v>
      </c>
      <c r="BJ58" t="n">
        <v>30</v>
      </c>
      <c r="BK58" t="n">
        <v>80</v>
      </c>
      <c r="BL58" t="n">
        <v>60</v>
      </c>
      <c r="BM58" t="n">
        <v>80</v>
      </c>
      <c r="BN58" t="n">
        <v>30</v>
      </c>
      <c r="BO58" t="n">
        <v>80</v>
      </c>
      <c r="BP58" t="n">
        <v>15</v>
      </c>
      <c r="BQ58" t="n">
        <v>80</v>
      </c>
      <c r="BR58" t="n">
        <v>30</v>
      </c>
      <c r="BS58" t="n">
        <v>88</v>
      </c>
      <c r="BT58" t="n">
        <v>15</v>
      </c>
      <c r="BU58" t="n">
        <v>85</v>
      </c>
      <c r="BV58" t="n">
        <v>15</v>
      </c>
      <c r="BW58" t="n">
        <v>85</v>
      </c>
      <c r="BX58" t="n">
        <v>30</v>
      </c>
      <c r="BY58" t="n">
        <v>88</v>
      </c>
      <c r="BZ58" t="n">
        <v>30</v>
      </c>
      <c r="CA58" t="n">
        <v>88</v>
      </c>
      <c r="CB58" t="n">
        <v>30</v>
      </c>
      <c r="CC58" t="n">
        <v>87</v>
      </c>
      <c r="CD58" t="n">
        <v>60</v>
      </c>
      <c r="CE58" t="n">
        <v>87</v>
      </c>
      <c r="CF58" t="n">
        <v>60</v>
      </c>
      <c r="CG58" t="n">
        <v>88</v>
      </c>
      <c r="CH58" t="n">
        <v>60</v>
      </c>
      <c r="CI58" t="n">
        <v>86</v>
      </c>
      <c r="CJ58" t="n">
        <v>30</v>
      </c>
      <c r="CK58" t="n">
        <v>80</v>
      </c>
      <c r="CL58" t="n">
        <v>30</v>
      </c>
      <c r="CM58" t="n">
        <v>85</v>
      </c>
      <c r="CN58" t="n">
        <v>30</v>
      </c>
      <c r="CO58" t="n">
        <v>87</v>
      </c>
      <c r="CP58" t="n">
        <v>30</v>
      </c>
      <c r="CQ58" t="n">
        <v>90</v>
      </c>
      <c r="CR58" t="n">
        <v>1</v>
      </c>
      <c r="CS58" t="n">
        <v>4</v>
      </c>
      <c r="CT58" t="n">
        <v>1</v>
      </c>
      <c r="CU58" t="n">
        <v>4</v>
      </c>
      <c r="CW5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Thuram 74 RB PAC 75 SHO 52 PAS 67 DRI 65 DEF 84 PHY 74 CB R 3 ★ 3 Thuram 88 RB PAC 75 SHO 52 PAS 68 DRI 67 DEF 86 PHY 74 CB R 3 ★ 3 UPGRADES +30 OVR 88 +30 Curve 80 +15 Agility 80 +30 Defensive Awareness 87 +30 Standing Tackle 88 +30 Sliding Tackle 86</t>
        </is>
      </c>
      <c r="CX58" t="inlineStr">
        <is>
          <t>Rarity World Tour Silver Stars Position CB, LB, RB Max PS 10 Max PS+ 1 Details Submit by in 2 months Expiry in 2 months Coins Cost Free Points Cost Free</t>
        </is>
      </c>
      <c r="CY58" t="inlineStr">
        <is>
          <t>Rarity World Tour Silver Stars Position CB, LB, RB Max PS 10 Max PS+ 1 Details Submit by in 2 months Expiry in 2 months Coins Cost Free Points Cost Free</t>
        </is>
      </c>
      <c r="CZ58" t="inlineStr">
        <is>
          <t>WTSS Journey 1 - Defender [SP 3]</t>
        </is>
      </c>
      <c r="DA5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59">
      <c r="A59" t="inlineStr">
        <is>
          <t>Reward</t>
        </is>
      </c>
      <c r="B59" t="inlineStr">
        <is>
          <t>Standard Season Pass</t>
        </is>
      </c>
      <c r="C59" t="inlineStr">
        <is>
          <t>Season Ladder Excellence [SP 27] - EA SPORTS FC 26</t>
        </is>
      </c>
      <c r="D59" t="inlineStr">
        <is>
          <t>https://www.fut.gg/evolutions/1923-season-ladder-excellence-sp-27/</t>
        </is>
      </c>
      <c r="K59" t="inlineStr">
        <is>
          <t>World Tour Silver Stars Details Submit by in 2 months Expiry in 2 months Coins Cost Free Points Cost Free</t>
        </is>
      </c>
      <c r="L59" t="inlineStr">
        <is>
          <t>World Tour Silver Stars Details Submit by in 2 months Expiry in 2 months Coins Cost Free Points Cost Free</t>
        </is>
      </c>
      <c r="CW59" t="inlineStr">
        <is>
          <t>No upgrades Level 1 Bühl 97 LM PAC 93 SHO 93 PAS 95 DRI 97 DEF 78 PHY 88 LW R 5 ★ 5 Bühl 97 LM PAC 93 SHO 93 PAS 95 DRI 97 DEF 78 PHY 88 LW R 5 ★ 5 UPGRADES No upgrades</t>
        </is>
      </c>
      <c r="CX59" t="inlineStr">
        <is>
          <t>Excluded Rarity World Tour Silver Stars Details Submit by in 2 months Expiry in 2 months Coins Cost Free Points Cost Free</t>
        </is>
      </c>
      <c r="CY59" t="inlineStr">
        <is>
          <t>Excluded Rarity World Tour Silver Stars Details Submit by in 2 months Expiry in 2 months Coins Cost Free Points Cost Free</t>
        </is>
      </c>
      <c r="CZ59" t="inlineStr">
        <is>
          <t>Season Ladder Excellence [SP 27]</t>
        </is>
      </c>
      <c r="DA5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60">
      <c r="A60" t="inlineStr">
        <is>
          <t>Reward</t>
        </is>
      </c>
      <c r="B60" t="inlineStr">
        <is>
          <t>Objective</t>
        </is>
      </c>
      <c r="C60" t="inlineStr">
        <is>
          <t>Rapid+ - EA SPORTS FC 26</t>
        </is>
      </c>
      <c r="D60" t="inlineStr">
        <is>
          <t>https://www.fut.gg/evolutions/1912-rapid/</t>
        </is>
      </c>
      <c r="G60" t="inlineStr">
        <is>
          <t>89</t>
        </is>
      </c>
      <c r="K60" t="inlineStr">
        <is>
          <t>World Tour Silver Stars</t>
        </is>
      </c>
      <c r="L60" t="inlineStr">
        <is>
          <t>World Tour Silver Stars</t>
        </is>
      </c>
      <c r="T60" t="inlineStr">
        <is>
          <t>1</t>
        </is>
      </c>
      <c r="CW60" t="inlineStr">
        <is>
          <t>2 Level 1 Bühl 89 LM PAC 88 SHO 87 PAS 86 DRI 89 DEF 70 PHY 80 LB RM CAM RW ST LW R 4 ★ 5 Bühl 89 LM PAC 88 SHO 87 PAS 86 DRI 89 DEF 70 PHY 80 LB RM CAM RW ST LW R 4 ★ 5 UPGRADES 2</t>
        </is>
      </c>
      <c r="CX60" t="inlineStr">
        <is>
          <t>Excluded Rarity World Tour Silver Stars Overall Max. 89 Max PS+ 1 Details Submit by in 3 days Expiry in 3 days Coins Cost Free Points Cost Free</t>
        </is>
      </c>
      <c r="CY60" t="inlineStr">
        <is>
          <t>Excluded Rarity World Tour Silver Stars Overall Max. 89 Max PS+ 1 Details Submit by in 3 days Expiry in 3 days Coins Cost Free Points Cost Free</t>
        </is>
      </c>
      <c r="CZ60" t="inlineStr">
        <is>
          <t>Rapid+</t>
        </is>
      </c>
      <c r="DA6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3 days in 3 days 41% 59%</t>
        </is>
      </c>
    </row>
    <row r="61">
      <c r="A61" t="inlineStr">
        <is>
          <t>Reward</t>
        </is>
      </c>
      <c r="B61" t="inlineStr">
        <is>
          <t>Objective</t>
        </is>
      </c>
      <c r="C61" t="inlineStr">
        <is>
          <t>Crunch Time - EA SPORTS FC 26</t>
        </is>
      </c>
      <c r="D61" t="inlineStr">
        <is>
          <t>https://www.fut.gg/evolutions/1903-crunch-time/</t>
        </is>
      </c>
      <c r="G61" t="inlineStr">
        <is>
          <t>91</t>
        </is>
      </c>
      <c r="K61" t="inlineStr">
        <is>
          <t>World Tour Silver Stars</t>
        </is>
      </c>
      <c r="L61" t="inlineStr">
        <is>
          <t>World Tour Silver Stars</t>
        </is>
      </c>
      <c r="S61" t="inlineStr">
        <is>
          <t>10</t>
        </is>
      </c>
      <c r="T61" t="inlineStr">
        <is>
          <t>2</t>
        </is>
      </c>
      <c r="AH61" t="n">
        <v>2</v>
      </c>
      <c r="AI61" t="n">
        <v>92</v>
      </c>
      <c r="CW61" t="inlineStr">
        <is>
          <t>+2 DEF 92 2 8 Level 1 Doku 91 LW PAC 97 SHO 86 PAS 84 DRI 93 DEF 45 PHY 82 LM RW R 5 ★ 5 Doku 91 LW PAC 97 SHO 86 PAS 84 DRI 93 DEF 45 PHY 82 LM RW R 5 ★ 5 UPGRADES 8</t>
        </is>
      </c>
      <c r="CX61" t="inlineStr">
        <is>
          <t>Excluded Rarity World Tour Silver Stars Overall Max. 91 Max PS 10 Max PS+ 2 Details Submit by in 8 months Expiry in 8 months Coins Cost Free Points Cost Free</t>
        </is>
      </c>
      <c r="CY61" t="inlineStr">
        <is>
          <t>Excluded Rarity World Tour Silver Stars Overall Max. 91 Max PS 10 Max PS+ 2 Details Submit by in 8 months Expiry in 8 months Coins Cost Free Points Cost Free</t>
        </is>
      </c>
      <c r="CZ61" t="inlineStr">
        <is>
          <t>Crunch Time</t>
        </is>
      </c>
      <c r="DA6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62">
      <c r="A62" t="inlineStr">
        <is>
          <t>Reward</t>
        </is>
      </c>
      <c r="B62" t="inlineStr">
        <is>
          <t>Objective</t>
        </is>
      </c>
      <c r="C62" t="inlineStr">
        <is>
          <t>Passing Technician - EA SPORTS FC 26</t>
        </is>
      </c>
      <c r="D62" t="inlineStr">
        <is>
          <t>https://www.fut.gg/evolutions/1897-passing-technician/</t>
        </is>
      </c>
      <c r="G62" t="inlineStr">
        <is>
          <t>91</t>
        </is>
      </c>
      <c r="K62" t="inlineStr">
        <is>
          <t>World Tour Silver Stars</t>
        </is>
      </c>
      <c r="L62" t="inlineStr">
        <is>
          <t>World Tour Silver Stars</t>
        </is>
      </c>
      <c r="S62" t="inlineStr">
        <is>
          <t>10</t>
        </is>
      </c>
      <c r="T62" t="inlineStr">
        <is>
          <t>2</t>
        </is>
      </c>
      <c r="CW62" t="inlineStr">
        <is>
          <t>2 8 Level 1 Thompson 91 LM PAC 94 SHO 88 PAS 87 DRI 92 DEF 52 PHY 76 RM LW R 4 ★ 4 Thompson 91 LM PAC 94 SHO 88 PAS 87 DRI 92 DEF 52 PHY 76 RM LW R 4 ★ 4 UPGRADES 8</t>
        </is>
      </c>
      <c r="CX62" t="inlineStr">
        <is>
          <t>Excluded Rarity World Tour Silver Stars Overall Max. 91 Max PS 10 Max PS+ 2 Details Submit by in 8 months Expiry in 8 months Coins Cost Free Points Cost Free</t>
        </is>
      </c>
      <c r="CY62" t="inlineStr">
        <is>
          <t>Excluded Rarity World Tour Silver Stars Overall Max. 91 Max PS 10 Max PS+ 2 Details Submit by in 8 months Expiry in 8 months Coins Cost Free Points Cost Free</t>
        </is>
      </c>
      <c r="CZ62" t="inlineStr">
        <is>
          <t>Passing Technician</t>
        </is>
      </c>
      <c r="DA6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63">
      <c r="A63" t="inlineStr">
        <is>
          <t>Reward</t>
        </is>
      </c>
      <c r="B63" t="inlineStr">
        <is>
          <t>Objective</t>
        </is>
      </c>
      <c r="C63" t="inlineStr">
        <is>
          <t>All-Around Impact - EA SPORTS FC 26</t>
        </is>
      </c>
      <c r="D63" t="inlineStr">
        <is>
          <t>https://www.fut.gg/evolutions/1875-all-around-impact/</t>
        </is>
      </c>
      <c r="G63" t="inlineStr">
        <is>
          <t>91</t>
        </is>
      </c>
      <c r="K63" t="inlineStr">
        <is>
          <t>World Tour Silver Stars</t>
        </is>
      </c>
      <c r="L63" t="inlineStr">
        <is>
          <t>World Tour Silver Stars</t>
        </is>
      </c>
      <c r="X63" t="n">
        <v>2</v>
      </c>
      <c r="Z63" t="n">
        <v>4</v>
      </c>
      <c r="AA63" t="n">
        <v>92</v>
      </c>
      <c r="AB63" t="n">
        <v>4</v>
      </c>
      <c r="AC63" t="n">
        <v>91</v>
      </c>
      <c r="AD63" t="n">
        <v>4</v>
      </c>
      <c r="AE63" t="n">
        <v>92</v>
      </c>
      <c r="AF63" t="n">
        <v>6</v>
      </c>
      <c r="AG63" t="n">
        <v>93</v>
      </c>
      <c r="AH63" t="n">
        <v>4</v>
      </c>
      <c r="AI63" t="n">
        <v>90</v>
      </c>
      <c r="AJ63" t="n">
        <v>2</v>
      </c>
      <c r="AK63" t="n">
        <v>89</v>
      </c>
      <c r="CW63"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63" t="inlineStr">
        <is>
          <t>Excluded Rarity World Tour Silver Stars Overall Max. 91 Details Submit by in 7 months Expiry in 7 months Coins Cost Free Points Cost Free</t>
        </is>
      </c>
      <c r="CY63" t="inlineStr">
        <is>
          <t>Excluded Rarity World Tour Silver Stars Overall Max. 91 Details Submit by in 7 months Expiry in 7 months Coins Cost Free Points Cost Free</t>
        </is>
      </c>
      <c r="CZ63" t="inlineStr">
        <is>
          <t>All-Around Impact</t>
        </is>
      </c>
      <c r="DA6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64">
      <c r="A64" t="inlineStr">
        <is>
          <t>Reward</t>
        </is>
      </c>
      <c r="B64" t="inlineStr">
        <is>
          <t>Objective</t>
        </is>
      </c>
      <c r="C64" t="inlineStr">
        <is>
          <t>Quick Step+ - EA SPORTS FC 26</t>
        </is>
      </c>
      <c r="D64" t="inlineStr">
        <is>
          <t>https://www.fut.gg/evolutions/1874-quick-step/</t>
        </is>
      </c>
      <c r="G64" t="inlineStr">
        <is>
          <t>91</t>
        </is>
      </c>
      <c r="K64" t="inlineStr">
        <is>
          <t>World Tour Silver Stars</t>
        </is>
      </c>
      <c r="L64" t="inlineStr">
        <is>
          <t>World Tour Silver Stars</t>
        </is>
      </c>
      <c r="T64" t="inlineStr">
        <is>
          <t>1</t>
        </is>
      </c>
      <c r="CW64" t="inlineStr">
        <is>
          <t>2 Level 1 Dembélé 91 ST PAC 93 SHO 90 PAS 84 DRI 95 DEF 51 PHY 72 CAM RW L 5 ★ 5 Dembélé 91 ST PAC 93 SHO 90 PAS 84 DRI 95 DEF 51 PHY 72 CAM RW L 5 ★ 5 UPGRADES 2</t>
        </is>
      </c>
      <c r="CX64" t="inlineStr">
        <is>
          <t>Excluded Rarity World Tour Silver Stars Overall Max. 91 Max PS+ 1 Details Submit by in 7 months Expiry in 7 months Coins Cost Free Points Cost Free</t>
        </is>
      </c>
      <c r="CY64" t="inlineStr">
        <is>
          <t>Excluded Rarity World Tour Silver Stars Overall Max. 91 Max PS+ 1 Details Submit by in 7 months Expiry in 7 months Coins Cost Free Points Cost Free</t>
        </is>
      </c>
      <c r="CZ64" t="inlineStr">
        <is>
          <t>Quick Step+</t>
        </is>
      </c>
      <c r="DA6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65">
      <c r="A65" t="inlineStr">
        <is>
          <t>Reward</t>
        </is>
      </c>
      <c r="B65" t="inlineStr">
        <is>
          <t>Objective</t>
        </is>
      </c>
      <c r="C65" t="inlineStr">
        <is>
          <t>Finesse Shot+ - EA SPORTS FC 26</t>
        </is>
      </c>
      <c r="D65" t="inlineStr">
        <is>
          <t>https://www.fut.gg/evolutions/1873-finesse-shot/</t>
        </is>
      </c>
      <c r="G65" t="inlineStr">
        <is>
          <t>91</t>
        </is>
      </c>
      <c r="K65" t="inlineStr">
        <is>
          <t>World Tour Silver Stars</t>
        </is>
      </c>
      <c r="L65" t="inlineStr">
        <is>
          <t>World Tour Silver Stars</t>
        </is>
      </c>
      <c r="T65" t="inlineStr">
        <is>
          <t>1</t>
        </is>
      </c>
      <c r="CW65" t="inlineStr">
        <is>
          <t>2 Level 1 Vitinha 91 CM PAC 85 SHO 82 PAS 88 DRI 92 DEF 80 PHY 73 CDM CAM R 5 ★ 4 Vitinha 91 CM PAC 85 SHO 82 PAS 88 DRI 92 DEF 80 PHY 73 CDM CAM R 5 ★ 4 UPGRADES 2</t>
        </is>
      </c>
      <c r="CX65" t="inlineStr">
        <is>
          <t>Excluded Rarity World Tour Silver Stars Overall Max. 91 Max PS+ 1 Details Submit by in 7 months Expiry in 7 months Coins Cost Free Points Cost Free</t>
        </is>
      </c>
      <c r="CY65" t="inlineStr">
        <is>
          <t>Excluded Rarity World Tour Silver Stars Overall Max. 91 Max PS+ 1 Details Submit by in 7 months Expiry in 7 months Coins Cost Free Points Cost Free</t>
        </is>
      </c>
      <c r="CZ65" t="inlineStr">
        <is>
          <t>Finesse Shot+</t>
        </is>
      </c>
      <c r="DA6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66">
      <c r="A66" t="inlineStr">
        <is>
          <t>Reward</t>
        </is>
      </c>
      <c r="B66" t="inlineStr">
        <is>
          <t>Objective</t>
        </is>
      </c>
      <c r="C66" t="inlineStr">
        <is>
          <t>Technical+ - EA SPORTS FC 26</t>
        </is>
      </c>
      <c r="D66" t="inlineStr">
        <is>
          <t>https://www.fut.gg/evolutions/1872-technical/</t>
        </is>
      </c>
      <c r="G66" t="inlineStr">
        <is>
          <t>91</t>
        </is>
      </c>
      <c r="K66" t="inlineStr">
        <is>
          <t>World Tour Silver Stars</t>
        </is>
      </c>
      <c r="L66" t="inlineStr">
        <is>
          <t>World Tour Silver Stars</t>
        </is>
      </c>
      <c r="T66" t="inlineStr">
        <is>
          <t>1</t>
        </is>
      </c>
      <c r="CW66" t="inlineStr">
        <is>
          <t>2 Level 1 Dybala 91 CAM PAC 90 SHO 90 PAS 90 DRI 92 DEF 50 PHY 75 RW ST L 5 ★ 5 Dybala 91 CAM PAC 90 SHO 90 PAS 90 DRI 92 DEF 50 PHY 75 RW ST L 5 ★ 5 UPGRADES 2</t>
        </is>
      </c>
      <c r="CX66" t="inlineStr">
        <is>
          <t>Excluded Rarity World Tour Silver Stars Overall Max. 91 Max PS+ 1 Details Submit by in 7 months Expiry in 7 months Coins Cost Free Points Cost Free</t>
        </is>
      </c>
      <c r="CY66" t="inlineStr">
        <is>
          <t>Excluded Rarity World Tour Silver Stars Overall Max. 91 Max PS+ 1 Details Submit by in 7 months Expiry in 7 months Coins Cost Free Points Cost Free</t>
        </is>
      </c>
      <c r="CZ66" t="inlineStr">
        <is>
          <t>Technical+</t>
        </is>
      </c>
      <c r="DA6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67">
      <c r="A67" t="inlineStr">
        <is>
          <t>Reward</t>
        </is>
      </c>
      <c r="B67" t="inlineStr">
        <is>
          <t>Objective</t>
        </is>
      </c>
      <c r="C67" t="inlineStr">
        <is>
          <t>Anticipate+ - EA SPORTS FC 26</t>
        </is>
      </c>
      <c r="D67" t="inlineStr">
        <is>
          <t>https://www.fut.gg/evolutions/1871-anticipate/</t>
        </is>
      </c>
      <c r="G67" t="inlineStr">
        <is>
          <t>91</t>
        </is>
      </c>
      <c r="K67" t="inlineStr">
        <is>
          <t>World Tour Silver Stars</t>
        </is>
      </c>
      <c r="L67" t="inlineStr">
        <is>
          <t>World Tour Silver Stars</t>
        </is>
      </c>
      <c r="T67" t="inlineStr">
        <is>
          <t>1</t>
        </is>
      </c>
      <c r="CW67" t="inlineStr">
        <is>
          <t>2 Level 1 Dembélé 91 ST PAC 93 SHO 90 PAS 84 DRI 95 DEF 51 PHY 72 CAM RW L 5 ★ 5 Dembélé 91 ST PAC 93 SHO 90 PAS 84 DRI 95 DEF 51 PHY 72 CAM RW L 5 ★ 5 UPGRADES 2</t>
        </is>
      </c>
      <c r="CX67" t="inlineStr">
        <is>
          <t>Excluded Rarity World Tour Silver Stars Overall Max. 91 Max PS+ 1 Details Submit by in 7 months Expiry in 7 months Coins Cost Free Points Cost Free</t>
        </is>
      </c>
      <c r="CY67" t="inlineStr">
        <is>
          <t>Excluded Rarity World Tour Silver Stars Overall Max. 91 Max PS+ 1 Details Submit by in 7 months Expiry in 7 months Coins Cost Free Points Cost Free</t>
        </is>
      </c>
      <c r="CZ67" t="inlineStr">
        <is>
          <t>Anticipate+</t>
        </is>
      </c>
      <c r="DA6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8">
      <c r="A68" t="inlineStr">
        <is>
          <t>Reward</t>
        </is>
      </c>
      <c r="B68" t="inlineStr">
        <is>
          <t>Objective</t>
        </is>
      </c>
      <c r="C68" t="inlineStr">
        <is>
          <t>Finesse Shot - EA SPORTS FC 26</t>
        </is>
      </c>
      <c r="D68" t="inlineStr">
        <is>
          <t>https://www.fut.gg/evolutions/1854-finesse-shot/</t>
        </is>
      </c>
      <c r="G68" t="inlineStr">
        <is>
          <t>88</t>
        </is>
      </c>
      <c r="K68" t="inlineStr">
        <is>
          <t>World Tour Silver Stars</t>
        </is>
      </c>
      <c r="L68" t="inlineStr">
        <is>
          <t>World Tour Silver Stars</t>
        </is>
      </c>
      <c r="S68" t="inlineStr">
        <is>
          <t>7</t>
        </is>
      </c>
      <c r="CW68" t="inlineStr">
        <is>
          <t>8 Level 1 João Neves 88 CM PAC 83 SHO 75 PAS 87 DRI 89 DEF 85 PHY 86 CDM R 4 ★ 4 João Neves 88 CM PAC 83 SHO 75 PAS 87 DRI 89 DEF 85 PHY 86 CDM R 4 ★ 4 UPGRADES 8</t>
        </is>
      </c>
      <c r="CX68" t="inlineStr">
        <is>
          <t>Excluded Rarity World Tour Silver Stars Overall Max. 88 Max PS 7 Details Submit by in 12 days Expiry in 12 days Coins Cost Free Points Cost Free</t>
        </is>
      </c>
      <c r="CY68" t="inlineStr">
        <is>
          <t>Excluded Rarity World Tour Silver Stars Overall Max. 88 Max PS 7 Details Submit by in 12 days Expiry in 12 days Coins Cost Free Points Cost Free</t>
        </is>
      </c>
      <c r="CZ68" t="inlineStr">
        <is>
          <t>Finesse Shot</t>
        </is>
      </c>
      <c r="DA6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12 days in 12 days 28% 72%</t>
        </is>
      </c>
    </row>
    <row r="69">
      <c r="A69" t="inlineStr">
        <is>
          <t>Reward</t>
        </is>
      </c>
      <c r="B69" t="inlineStr">
        <is>
          <t>Objective</t>
        </is>
      </c>
      <c r="C69" t="inlineStr">
        <is>
          <t>Low Driven Shot+ - EA SPORTS FC 26</t>
        </is>
      </c>
      <c r="D69" t="inlineStr">
        <is>
          <t>https://www.fut.gg/evolutions/1818-low-driven-shot/</t>
        </is>
      </c>
      <c r="G69" t="inlineStr">
        <is>
          <t>90</t>
        </is>
      </c>
      <c r="K69" t="inlineStr">
        <is>
          <t>World Tour Silver Stars</t>
        </is>
      </c>
      <c r="L69" t="inlineStr">
        <is>
          <t>World Tour Silver Stars</t>
        </is>
      </c>
      <c r="T69" t="inlineStr">
        <is>
          <t>1</t>
        </is>
      </c>
      <c r="CW69" t="inlineStr">
        <is>
          <t>2 Level 1 Karchaoui 90 CM PAC 92 SHO 82 PAS 90 DRI 91 DEF 85 PHY 74 LB CAM LW L 5 ★ 4 Karchaoui 90 CM PAC 92 SHO 82 PAS 90 DRI 91 DEF 85 PHY 74 LB CAM LW L 5 ★ 4 UPGRADES 2</t>
        </is>
      </c>
      <c r="CX69" t="inlineStr">
        <is>
          <t>Excluded Rarity World Tour Silver Stars Overall Max. 90 Max PS+ 1 Details Submit by in 7 months Expiry in 7 months Coins Cost Free Points Cost Free</t>
        </is>
      </c>
      <c r="CY69" t="inlineStr">
        <is>
          <t>Excluded Rarity World Tour Silver Stars Overall Max. 90 Max PS+ 1 Details Submit by in 7 months Expiry in 7 months Coins Cost Free Points Cost Free</t>
        </is>
      </c>
      <c r="CZ69" t="inlineStr">
        <is>
          <t>Low Driven Shot+</t>
        </is>
      </c>
      <c r="DA6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70">
      <c r="A70" t="inlineStr">
        <is>
          <t>Reward</t>
        </is>
      </c>
      <c r="B70" t="inlineStr">
        <is>
          <t>Objective</t>
        </is>
      </c>
      <c r="C70" t="inlineStr">
        <is>
          <t>Intercept+ - EA SPORTS FC 26</t>
        </is>
      </c>
      <c r="D70" t="inlineStr">
        <is>
          <t>https://www.fut.gg/evolutions/1812-intercept/</t>
        </is>
      </c>
      <c r="G70" t="inlineStr">
        <is>
          <t>90</t>
        </is>
      </c>
      <c r="K70" t="inlineStr">
        <is>
          <t>World Tour Silver Stars</t>
        </is>
      </c>
      <c r="L70" t="inlineStr">
        <is>
          <t>World Tour Silver Stars</t>
        </is>
      </c>
      <c r="T70" t="inlineStr">
        <is>
          <t>1</t>
        </is>
      </c>
      <c r="CW70" t="inlineStr">
        <is>
          <t>2 Level 1 Vitinha 90 CM PAC 80 SHO 84 PAS 87 DRI 91 DEF 77 PHY 72 CDM CAM R 4 ★ 4 Vitinha 90 CM PAC 80 SHO 84 PAS 87 DRI 91 DEF 77 PHY 72 CDM CAM R 4 ★ 4 UPGRADES 2</t>
        </is>
      </c>
      <c r="CX70" t="inlineStr">
        <is>
          <t>Excluded Rarity World Tour Silver Stars Overall Max. 90 Max PS+ 1 Details Submit by in 7 months Expiry in 7 months Coins Cost Free Points Cost Free</t>
        </is>
      </c>
      <c r="CY70" t="inlineStr">
        <is>
          <t>Excluded Rarity World Tour Silver Stars Overall Max. 90 Max PS+ 1 Details Submit by in 7 months Expiry in 7 months Coins Cost Free Points Cost Free</t>
        </is>
      </c>
      <c r="CZ70" t="inlineStr">
        <is>
          <t>Intercept+</t>
        </is>
      </c>
      <c r="DA7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71">
      <c r="A71" t="inlineStr">
        <is>
          <t>Reward</t>
        </is>
      </c>
      <c r="B71" t="inlineStr">
        <is>
          <t>Objective</t>
        </is>
      </c>
      <c r="C71" t="inlineStr">
        <is>
          <t>5 Star Skill Moves &amp; Weak Foot Upgrade - EA SPORTS FC 26</t>
        </is>
      </c>
      <c r="D71" t="inlineStr">
        <is>
          <t>https://www.fut.gg/evolutions/1807-5-star-skill-moves-weak-foot-upgrade/</t>
        </is>
      </c>
      <c r="G71" t="inlineStr">
        <is>
          <t>89</t>
        </is>
      </c>
      <c r="K71" t="inlineStr">
        <is>
          <t>World Tour Silver Stars</t>
        </is>
      </c>
      <c r="L71" t="inlineStr">
        <is>
          <t>World Tour Silver Stars</t>
        </is>
      </c>
      <c r="T71" t="inlineStr">
        <is>
          <t>2</t>
        </is>
      </c>
      <c r="CR71" t="n">
        <v>8</v>
      </c>
      <c r="CS71" t="n">
        <v>5</v>
      </c>
      <c r="CT71" t="n">
        <v>8</v>
      </c>
      <c r="CU71" t="n">
        <v>5</v>
      </c>
      <c r="CW71" t="inlineStr">
        <is>
          <t>+4 SM 5 +4 WF 5 Level 1 Harder 89 CAM PAC 90 SHO 87 PAS 88 DRI 91 DEF 30 PHY 82 RM ST R 5 ★ 5 Harder 89 CAM PAC 90 SHO 87 PAS 88 DRI 91 DEF 30 PHY 82 RM ST R 5 ★ 5 UPGRADES +4 SM 5 +4 WF 5</t>
        </is>
      </c>
      <c r="CX71" t="inlineStr">
        <is>
          <t>Excluded Rarity World Tour Silver Stars Overall Max. 89 Max PS+ 2 Details Submit by in 3 days Expiry in 3 days Coins Cost Free Points Cost Free</t>
        </is>
      </c>
      <c r="CY71" t="inlineStr">
        <is>
          <t>Excluded Rarity World Tour Silver Stars Overall Max. 89 Max PS+ 2 Details Submit by in 3 days Expiry in 3 days Coins Cost Free Points Cost Free</t>
        </is>
      </c>
      <c r="CZ71" t="inlineStr">
        <is>
          <t>5 Star Skill Moves &amp; Weak Foot Upgrade</t>
        </is>
      </c>
      <c r="DA7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3 days in 3 days 94% 6%</t>
        </is>
      </c>
    </row>
    <row r="72">
      <c r="A72" t="inlineStr">
        <is>
          <t>Reward</t>
        </is>
      </c>
      <c r="B72" t="inlineStr">
        <is>
          <t>Objective</t>
        </is>
      </c>
      <c r="C72" t="inlineStr">
        <is>
          <t>Bruiser+ - EA SPORTS FC 26</t>
        </is>
      </c>
      <c r="D72" t="inlineStr">
        <is>
          <t>https://www.fut.gg/evolutions/1806-bruiser/</t>
        </is>
      </c>
      <c r="G72" t="inlineStr">
        <is>
          <t>89</t>
        </is>
      </c>
      <c r="K72" t="inlineStr">
        <is>
          <t>World Tour Silver Stars</t>
        </is>
      </c>
      <c r="L72" t="inlineStr">
        <is>
          <t>World Tour Silver Stars</t>
        </is>
      </c>
      <c r="T72" t="inlineStr">
        <is>
          <t>1</t>
        </is>
      </c>
      <c r="CW72" t="inlineStr">
        <is>
          <t>2 Level 1 Kerolin Nicoli 89 RM PAC 91 SHO 86 PAS 85 DRI 90 DEF 52 PHY 86 RW ST R 5 ★ 5 Kerolin Nicoli 89 RM PAC 91 SHO 86 PAS 85 DRI 90 DEF 52 PHY 86 RW ST R 5 ★ 5 UPGRADES 2</t>
        </is>
      </c>
      <c r="CX72" t="inlineStr">
        <is>
          <t>Excluded Rarity World Tour Silver Stars Overall Max. 89 Max PS+ 1 Details Submit by in 3 days Expiry in 3 days Coins Cost Free Points Cost Free</t>
        </is>
      </c>
      <c r="CY72" t="inlineStr">
        <is>
          <t>Excluded Rarity World Tour Silver Stars Overall Max. 89 Max PS+ 1 Details Submit by in 3 days Expiry in 3 days Coins Cost Free Points Cost Free</t>
        </is>
      </c>
      <c r="CZ72" t="inlineStr">
        <is>
          <t>Bruiser+</t>
        </is>
      </c>
      <c r="DA7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3 days in 3 days 96% 4%</t>
        </is>
      </c>
    </row>
    <row r="73">
      <c r="A73" t="inlineStr">
        <is>
          <t>Reward</t>
        </is>
      </c>
      <c r="B73" t="inlineStr">
        <is>
          <t>Objective</t>
        </is>
      </c>
      <c r="C73" t="inlineStr">
        <is>
          <t>Finesse Shot+ - EA SPORTS FC 26</t>
        </is>
      </c>
      <c r="D73" t="inlineStr">
        <is>
          <t>https://www.fut.gg/evolutions/1805-finesse-shot/</t>
        </is>
      </c>
      <c r="G73" t="inlineStr">
        <is>
          <t>89</t>
        </is>
      </c>
      <c r="K73" t="inlineStr">
        <is>
          <t>World Tour Silver Stars</t>
        </is>
      </c>
      <c r="L73" t="inlineStr">
        <is>
          <t>World Tour Silver Stars</t>
        </is>
      </c>
      <c r="T73" t="inlineStr">
        <is>
          <t>1</t>
        </is>
      </c>
      <c r="CW73" t="inlineStr">
        <is>
          <t>2 Level 1 Bühl 89 LM PAC 88 SHO 87 PAS 86 DRI 89 DEF 70 PHY 80 LB RM CAM RW ST LW R 4 ★ 5 Bühl 89 LM PAC 88 SHO 87 PAS 86 DRI 89 DEF 70 PHY 80 LB RM CAM RW ST LW R 4 ★ 5 UPGRADES 2</t>
        </is>
      </c>
      <c r="CX73" t="inlineStr">
        <is>
          <t>Excluded Rarity World Tour Silver Stars Overall Max. 89 Max PS+ 1 Details Submit by in 3 days Expiry in 3 days Coins Cost Free Points Cost Free</t>
        </is>
      </c>
      <c r="CY73" t="inlineStr">
        <is>
          <t>Excluded Rarity World Tour Silver Stars Overall Max. 89 Max PS+ 1 Details Submit by in 3 days Expiry in 3 days Coins Cost Free Points Cost Free</t>
        </is>
      </c>
      <c r="CZ73" t="inlineStr">
        <is>
          <t>Finesse Shot+</t>
        </is>
      </c>
      <c r="DA7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3 days in 3 days 94% 6%</t>
        </is>
      </c>
    </row>
    <row r="74">
      <c r="A74" t="inlineStr">
        <is>
          <t>Reward</t>
        </is>
      </c>
      <c r="B74" t="inlineStr">
        <is>
          <t>Objective</t>
        </is>
      </c>
      <c r="C74" t="inlineStr">
        <is>
          <t>Technical+ - EA SPORTS FC 26</t>
        </is>
      </c>
      <c r="D74" t="inlineStr">
        <is>
          <t>https://www.fut.gg/evolutions/1804-technical/</t>
        </is>
      </c>
      <c r="G74" t="inlineStr">
        <is>
          <t>89</t>
        </is>
      </c>
      <c r="K74" t="inlineStr">
        <is>
          <t>World Tour Silver Stars</t>
        </is>
      </c>
      <c r="L74" t="inlineStr">
        <is>
          <t>World Tour Silver Stars</t>
        </is>
      </c>
      <c r="T74" t="inlineStr">
        <is>
          <t>1</t>
        </is>
      </c>
      <c r="CW74" t="inlineStr">
        <is>
          <t>2 Level 1 Weir 89 CAM PAC 88 SHO 87 PAS 89 DRI 90 DEF 73 PHY 74 CDM CM L 5 ★ 5 Weir 89 CAM PAC 88 SHO 87 PAS 89 DRI 90 DEF 73 PHY 74 CDM CM L 5 ★ 5 UPGRADES 2</t>
        </is>
      </c>
      <c r="CX74" t="inlineStr">
        <is>
          <t>Excluded Rarity World Tour Silver Stars Overall Max. 89 Max PS+ 1 Details Submit by in 3 days Expiry in 3 days Coins Cost Free Points Cost Free</t>
        </is>
      </c>
      <c r="CY74" t="inlineStr">
        <is>
          <t>Excluded Rarity World Tour Silver Stars Overall Max. 89 Max PS+ 1 Details Submit by in 3 days Expiry in 3 days Coins Cost Free Points Cost Free</t>
        </is>
      </c>
      <c r="CZ74" t="inlineStr">
        <is>
          <t>Technical+</t>
        </is>
      </c>
      <c r="DA7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3 days in 3 days 82% 18%</t>
        </is>
      </c>
    </row>
    <row r="75">
      <c r="A75" t="inlineStr">
        <is>
          <t>Reward</t>
        </is>
      </c>
      <c r="B75" t="inlineStr">
        <is>
          <t>Objective</t>
        </is>
      </c>
      <c r="C75" t="inlineStr">
        <is>
          <t>5 Star Weak Foot Upgrade - EA SPORTS FC 26</t>
        </is>
      </c>
      <c r="D75" t="inlineStr">
        <is>
          <t>https://www.fut.gg/evolutions/1803-5-star-weak-foot-upgrade/</t>
        </is>
      </c>
      <c r="G75" t="inlineStr">
        <is>
          <t>89</t>
        </is>
      </c>
      <c r="K75" t="inlineStr">
        <is>
          <t>World Tour Silver Stars</t>
        </is>
      </c>
      <c r="L75" t="inlineStr">
        <is>
          <t>World Tour Silver Stars</t>
        </is>
      </c>
      <c r="T75" t="inlineStr">
        <is>
          <t>1</t>
        </is>
      </c>
      <c r="CT75" t="n">
        <v>8</v>
      </c>
      <c r="CU75" t="n">
        <v>5</v>
      </c>
      <c r="CW75" t="inlineStr">
        <is>
          <t>+4 WF 5 Level 1 Kerolin Nicoli 89 RM PAC 91 SHO 86 PAS 85 DRI 90 DEF 52 PHY 86 RW ST R 5 ★ 5 Kerolin Nicoli 89 RM PAC 91 SHO 86 PAS 85 DRI 90 DEF 52 PHY 86 RW ST R 5 ★ 5 UPGRADES +4 WF 5</t>
        </is>
      </c>
      <c r="CX75" t="inlineStr">
        <is>
          <t>Excluded Rarity World Tour Silver Stars Overall Max. 89 Max PS+ 1 Details Submit by in 3 days Expiry in 3 days Coins Cost Free Points Cost Free</t>
        </is>
      </c>
      <c r="CY75" t="inlineStr">
        <is>
          <t>Excluded Rarity World Tour Silver Stars Overall Max. 89 Max PS+ 1 Details Submit by in 3 days Expiry in 3 days Coins Cost Free Points Cost Free</t>
        </is>
      </c>
      <c r="CZ75" t="inlineStr">
        <is>
          <t>5 Star Weak Foot Upgrade</t>
        </is>
      </c>
      <c r="DA7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3 days in 3 days 89% 11%</t>
        </is>
      </c>
    </row>
    <row r="76">
      <c r="A76" t="inlineStr">
        <is>
          <t>Reward</t>
        </is>
      </c>
      <c r="B76" t="inlineStr">
        <is>
          <t>Objective</t>
        </is>
      </c>
      <c r="C76" t="inlineStr">
        <is>
          <t>5 Star Skill Moves Upgrade - EA SPORTS FC 26</t>
        </is>
      </c>
      <c r="D76" t="inlineStr">
        <is>
          <t>https://www.fut.gg/evolutions/1802-5-star-skill-moves-upgrade/</t>
        </is>
      </c>
      <c r="G76" t="inlineStr">
        <is>
          <t>89</t>
        </is>
      </c>
      <c r="K76" t="inlineStr">
        <is>
          <t>World Tour Silver Stars</t>
        </is>
      </c>
      <c r="L76" t="inlineStr">
        <is>
          <t>World Tour Silver Stars</t>
        </is>
      </c>
      <c r="T76" t="inlineStr">
        <is>
          <t>1</t>
        </is>
      </c>
      <c r="CR76" t="n">
        <v>8</v>
      </c>
      <c r="CS76" t="n">
        <v>5</v>
      </c>
      <c r="CW76" t="inlineStr">
        <is>
          <t>+4 SM 5 Level 1 Eto'o 89 ST PAC 92 SHO 90 PAS 79 DRI 87 DEF 45 PHY 80 R 4 ★ 4 Eto'o 89 ST PAC 92 SHO 90 PAS 79 DRI 87 DEF 45 PHY 80 R 5 ★ 4 UPGRADES +4 SM 5</t>
        </is>
      </c>
      <c r="CX76" t="inlineStr">
        <is>
          <t>Excluded Rarity World Tour Silver Stars Overall Max. 89 Max PS+ 1 Details Submit by in 3 days Expiry in 3 days Coins Cost Free Points Cost Free</t>
        </is>
      </c>
      <c r="CY76" t="inlineStr">
        <is>
          <t>Excluded Rarity World Tour Silver Stars Overall Max. 89 Max PS+ 1 Details Submit by in 3 days Expiry in 3 days Coins Cost Free Points Cost Free</t>
        </is>
      </c>
      <c r="CZ76" t="inlineStr">
        <is>
          <t>5 Star Skill Moves Upgrade</t>
        </is>
      </c>
      <c r="DA7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3 days in 3 days 91% 9%</t>
        </is>
      </c>
    </row>
    <row r="77">
      <c r="A77" t="inlineStr">
        <is>
          <t>Reward</t>
        </is>
      </c>
      <c r="B77" t="inlineStr">
        <is>
          <t>Premium Season Pass</t>
        </is>
      </c>
      <c r="C77" t="inlineStr">
        <is>
          <t>Architect of Play [SP+ 4] - EA SPORTS FC 26</t>
        </is>
      </c>
      <c r="D77" t="inlineStr">
        <is>
          <t>https://www.fut.gg/evolutions/1789-architect-of-play-sp-4/</t>
        </is>
      </c>
      <c r="G77" t="inlineStr">
        <is>
          <t>89</t>
        </is>
      </c>
      <c r="K77" t="inlineStr">
        <is>
          <t>World Tour Silver Stars</t>
        </is>
      </c>
      <c r="L77" t="inlineStr">
        <is>
          <t>World Tour Silver Stars</t>
        </is>
      </c>
      <c r="S77" t="inlineStr">
        <is>
          <t>8</t>
        </is>
      </c>
      <c r="CW77" t="inlineStr">
        <is>
          <t>9 Level 1 Eto'o 89 ST PAC 92 SHO 90 PAS 79 DRI 87 DEF 45 PHY 80 R 4 ★ 4 Eto'o 89 ST PAC 92 SHO 90 PAS 79 DRI 87 DEF 45 PHY 80 R 4 ★ 4 UPGRADES 9</t>
        </is>
      </c>
      <c r="CX77" t="inlineStr">
        <is>
          <t>Excluded Rarity World Tour Silver Stars Overall Max. 89 Max PS 8 Details Submit by in 5 months Expiry in 3 days Coins Cost Free Points Cost Free</t>
        </is>
      </c>
      <c r="CY77" t="inlineStr">
        <is>
          <t>Excluded Rarity World Tour Silver Stars Overall Max. 89 Max PS 8 Details Submit by in 5 months Expiry in 3 days Coins Cost Free Points Cost Free</t>
        </is>
      </c>
      <c r="CZ77" t="inlineStr">
        <is>
          <t>Architect of Play [SP+ 4] 2</t>
        </is>
      </c>
      <c r="DA7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3 days 91% 9%</t>
        </is>
      </c>
    </row>
    <row r="78">
      <c r="A78" t="inlineStr">
        <is>
          <t>Reward</t>
        </is>
      </c>
      <c r="B78" t="inlineStr">
        <is>
          <t>Standard Season Pass</t>
        </is>
      </c>
      <c r="C78" t="inlineStr">
        <is>
          <t>Make Your Idol - Tiki Taka+ [SP 3] - EA SPORTS FC 26</t>
        </is>
      </c>
      <c r="D78" t="inlineStr">
        <is>
          <t>https://www.fut.gg/evolutions/1790-make-your-idol-tiki-taka-sp-3/</t>
        </is>
      </c>
      <c r="G78" t="inlineStr">
        <is>
          <t>87</t>
        </is>
      </c>
      <c r="H78" t="inlineStr">
        <is>
          <t>87</t>
        </is>
      </c>
      <c r="K78" t="inlineStr">
        <is>
          <t>Choose Your Idol</t>
        </is>
      </c>
      <c r="T78" t="inlineStr">
        <is>
          <t>0</t>
        </is>
      </c>
      <c r="CW78" t="inlineStr">
        <is>
          <t>1 Level 1 UPGRADES 1</t>
        </is>
      </c>
      <c r="CX78" t="inlineStr">
        <is>
          <t>Rarity Choose Your Idol Overall Min. 87 Overall Max. 87 Max PS+ 0 Details Submit by in 5 months Expiry in 3 days Coins Cost Free Points Cost Free</t>
        </is>
      </c>
      <c r="CY78" t="inlineStr">
        <is>
          <t>Rarity Choose Your Idol Overall Min. 87 Overall Max. 87 Max PS+ 0 Details Submit by in 5 months Expiry in 3 days Coins Cost Free Points Cost Free</t>
        </is>
      </c>
      <c r="CZ78" t="inlineStr">
        <is>
          <t>Make Your Idol - Tiki Taka+ [SP 3]</t>
        </is>
      </c>
      <c r="DA78" t="inlineStr">
        <is>
          <t>Make Your Idol - Tiki Taka+ [SP 3] Unlocked by reaching level 3 in the Standard Season Pass. REQUIREMENTS Rarity Choose Your Idol Overall Min. 87 Overall Max. 87 Max PS+ 0 UPGRADES 1 in 5 months in 3 days 69% 31%</t>
        </is>
      </c>
    </row>
    <row r="79">
      <c r="A79" t="inlineStr">
        <is>
          <t>Reward</t>
        </is>
      </c>
      <c r="B79" t="inlineStr">
        <is>
          <t>Standard Season Pass</t>
        </is>
      </c>
      <c r="C79" t="inlineStr">
        <is>
          <t>Make Your Idol - Incisive Pass+ [SP 3] - EA SPORTS FC 26</t>
        </is>
      </c>
      <c r="D79" t="inlineStr">
        <is>
          <t>https://www.fut.gg/evolutions/1791-make-your-idol-incisive-pass-sp-3/</t>
        </is>
      </c>
      <c r="G79" t="inlineStr">
        <is>
          <t>87</t>
        </is>
      </c>
      <c r="H79" t="inlineStr">
        <is>
          <t>87</t>
        </is>
      </c>
      <c r="K79" t="inlineStr">
        <is>
          <t>Choose Your Idol</t>
        </is>
      </c>
      <c r="T79" t="inlineStr">
        <is>
          <t>0</t>
        </is>
      </c>
      <c r="CW79" t="inlineStr">
        <is>
          <t>1 Level 1 UPGRADES 1</t>
        </is>
      </c>
      <c r="CX79" t="inlineStr">
        <is>
          <t>Rarity Choose Your Idol Overall Min. 87 Overall Max. 87 Max PS+ 0 Details Submit by in 5 months Expiry in 3 days Coins Cost Free Points Cost Free</t>
        </is>
      </c>
      <c r="CY79" t="inlineStr">
        <is>
          <t>Rarity Choose Your Idol Overall Min. 87 Overall Max. 87 Max PS+ 0 Details Submit by in 5 months Expiry in 3 days Coins Cost Free Points Cost Free</t>
        </is>
      </c>
      <c r="CZ79" t="inlineStr">
        <is>
          <t>Make Your Idol - Incisive Pass+ [SP 3]</t>
        </is>
      </c>
      <c r="DA79" t="inlineStr">
        <is>
          <t>Make Your Idol - Incisive Pass+ [SP 3] Unlocked by reaching level 3 in the Standard Season Pass. REQUIREMENTS Rarity Choose Your Idol Overall Min. 87 Overall Max. 87 Max PS+ 0 UPGRADES 1 in 5 months in 3 days 68% 32%</t>
        </is>
      </c>
    </row>
    <row r="80">
      <c r="A80" t="inlineStr">
        <is>
          <t>Reward</t>
        </is>
      </c>
      <c r="B80" t="inlineStr">
        <is>
          <t>Standard Season Pass</t>
        </is>
      </c>
      <c r="C80" t="inlineStr">
        <is>
          <t>Make Your Idol - Low Driven+ [SP 3] - EA SPORTS FC 26</t>
        </is>
      </c>
      <c r="D80" t="inlineStr">
        <is>
          <t>https://www.fut.gg/evolutions/1792-make-your-idol-low-driven-sp-3/</t>
        </is>
      </c>
      <c r="G80" t="inlineStr">
        <is>
          <t>87</t>
        </is>
      </c>
      <c r="H80" t="inlineStr">
        <is>
          <t>87</t>
        </is>
      </c>
      <c r="K80" t="inlineStr">
        <is>
          <t>Choose Your Idol</t>
        </is>
      </c>
      <c r="T80" t="inlineStr">
        <is>
          <t>0</t>
        </is>
      </c>
      <c r="CW80" t="inlineStr">
        <is>
          <t>1 Level 1 UPGRADES 1</t>
        </is>
      </c>
      <c r="CX80" t="inlineStr">
        <is>
          <t>Rarity Choose Your Idol Overall Min. 87 Overall Max. 87 Max PS+ 0 Details Submit by in 5 months Expiry in 3 days Coins Cost Free Points Cost Free</t>
        </is>
      </c>
      <c r="CY80" t="inlineStr">
        <is>
          <t>Rarity Choose Your Idol Overall Min. 87 Overall Max. 87 Max PS+ 0 Details Submit by in 5 months Expiry in 3 days Coins Cost Free Points Cost Free</t>
        </is>
      </c>
      <c r="CZ80" t="inlineStr">
        <is>
          <t>Make Your Idol - Low Driven+ [SP 3]</t>
        </is>
      </c>
      <c r="DA80" t="inlineStr">
        <is>
          <t>Make Your Idol - Low Driven+ [SP 3] Unlocked by reaching level 3 in the Standard Season Pass. REQUIREMENTS Rarity Choose Your Idol Overall Min. 87 Overall Max. 87 Max PS+ 0 UPGRADES 1 in 5 months in 3 days 26% 74%</t>
        </is>
      </c>
    </row>
    <row r="81">
      <c r="A81" t="inlineStr">
        <is>
          <t>Reward</t>
        </is>
      </c>
      <c r="B81" t="inlineStr">
        <is>
          <t>Standard Season Pass</t>
        </is>
      </c>
      <c r="C81" t="inlineStr">
        <is>
          <t>Make Your Idol - Technical+ [SP 3] - EA SPORTS FC 26</t>
        </is>
      </c>
      <c r="D81" t="inlineStr">
        <is>
          <t>https://www.fut.gg/evolutions/1793-make-your-idol-technical-sp-3/</t>
        </is>
      </c>
      <c r="G81" t="inlineStr">
        <is>
          <t>87</t>
        </is>
      </c>
      <c r="H81" t="inlineStr">
        <is>
          <t>87</t>
        </is>
      </c>
      <c r="K81" t="inlineStr">
        <is>
          <t>Choose Your Idol</t>
        </is>
      </c>
      <c r="T81" t="inlineStr">
        <is>
          <t>0</t>
        </is>
      </c>
      <c r="CW81" t="inlineStr">
        <is>
          <t>1 Level 1 UPGRADES 1</t>
        </is>
      </c>
      <c r="CX81" t="inlineStr">
        <is>
          <t>Rarity Choose Your Idol Overall Min. 87 Overall Max. 87 Max PS+ 0 Details Submit by in 5 months Expiry in 3 days Coins Cost Free Points Cost Free</t>
        </is>
      </c>
      <c r="CY81" t="inlineStr">
        <is>
          <t>Rarity Choose Your Idol Overall Min. 87 Overall Max. 87 Max PS+ 0 Details Submit by in 5 months Expiry in 3 days Coins Cost Free Points Cost Free</t>
        </is>
      </c>
      <c r="CZ81" t="inlineStr">
        <is>
          <t>Make Your Idol - Technical+ [SP 3]</t>
        </is>
      </c>
      <c r="DA81" t="inlineStr">
        <is>
          <t>Make Your Idol - Technical+ [SP 3] Unlocked by reaching level 3 in the Standard Season Pass. REQUIREMENTS Rarity Choose Your Idol Overall Min. 87 Overall Max. 87 Max PS+ 0 UPGRADES 1 in 5 months in 3 days 29% 71%</t>
        </is>
      </c>
    </row>
    <row r="82">
      <c r="A82" t="inlineStr">
        <is>
          <t>Reward</t>
        </is>
      </c>
      <c r="B82" t="inlineStr">
        <is>
          <t>Standard Season Pass</t>
        </is>
      </c>
      <c r="C82" t="inlineStr">
        <is>
          <t>Make Your Idol - Jockey+ [SP 3] - EA SPORTS FC 26</t>
        </is>
      </c>
      <c r="D82" t="inlineStr">
        <is>
          <t>https://www.fut.gg/evolutions/1794-make-your-idol-jockey-sp-3/</t>
        </is>
      </c>
      <c r="G82" t="inlineStr">
        <is>
          <t>87</t>
        </is>
      </c>
      <c r="H82" t="inlineStr">
        <is>
          <t>87</t>
        </is>
      </c>
      <c r="K82" t="inlineStr">
        <is>
          <t>Choose Your Idol</t>
        </is>
      </c>
      <c r="T82" t="inlineStr">
        <is>
          <t>0</t>
        </is>
      </c>
      <c r="CW82" t="inlineStr">
        <is>
          <t>1 Level 1 UPGRADES 1</t>
        </is>
      </c>
      <c r="CX82" t="inlineStr">
        <is>
          <t>Rarity Choose Your Idol Overall Min. 87 Overall Max. 87 Max PS+ 0 Details Submit by in 5 months Expiry in 3 days Coins Cost Free Points Cost Free</t>
        </is>
      </c>
      <c r="CY82" t="inlineStr">
        <is>
          <t>Rarity Choose Your Idol Overall Min. 87 Overall Max. 87 Max PS+ 0 Details Submit by in 5 months Expiry in 3 days Coins Cost Free Points Cost Free</t>
        </is>
      </c>
      <c r="CZ82" t="inlineStr">
        <is>
          <t>Make Your Idol - Jockey+ [SP 3]</t>
        </is>
      </c>
      <c r="DA82" t="inlineStr">
        <is>
          <t>Make Your Idol - Jockey+ [SP 3] Unlocked by reaching level 3 in the Standard Season Pass. REQUIREMENTS Rarity Choose Your Idol Overall Min. 87 Overall Max. 87 Max PS+ 0 UPGRADES 1 in 5 months in 3 days 25% 75%</t>
        </is>
      </c>
    </row>
    <row r="83">
      <c r="A83" t="inlineStr">
        <is>
          <t>Reward</t>
        </is>
      </c>
      <c r="B83" t="inlineStr">
        <is>
          <t>Standard Season Pass</t>
        </is>
      </c>
      <c r="C83" t="inlineStr">
        <is>
          <t>Make Your Idol - Intercept+ [SP 3] - EA SPORTS FC 26</t>
        </is>
      </c>
      <c r="D83" t="inlineStr">
        <is>
          <t>https://www.fut.gg/evolutions/1795-make-your-idol-intercept-sp-3/</t>
        </is>
      </c>
      <c r="G83" t="inlineStr">
        <is>
          <t>87</t>
        </is>
      </c>
      <c r="H83" t="inlineStr">
        <is>
          <t>87</t>
        </is>
      </c>
      <c r="K83" t="inlineStr">
        <is>
          <t>Choose Your Idol</t>
        </is>
      </c>
      <c r="T83" t="inlineStr">
        <is>
          <t>0</t>
        </is>
      </c>
      <c r="CW83" t="inlineStr">
        <is>
          <t>1 Level 1 UPGRADES 1</t>
        </is>
      </c>
      <c r="CX83" t="inlineStr">
        <is>
          <t>Rarity Choose Your Idol Overall Min. 87 Overall Max. 87 Max PS+ 0 Details Submit by in 5 months Expiry in 3 days Coins Cost Free Points Cost Free</t>
        </is>
      </c>
      <c r="CY83" t="inlineStr">
        <is>
          <t>Rarity Choose Your Idol Overall Min. 87 Overall Max. 87 Max PS+ 0 Details Submit by in 5 months Expiry in 3 days Coins Cost Free Points Cost Free</t>
        </is>
      </c>
      <c r="CZ83" t="inlineStr">
        <is>
          <t>Make Your Idol - Intercept+ [SP 3]</t>
        </is>
      </c>
      <c r="DA83" t="inlineStr">
        <is>
          <t>Make Your Idol - Intercept+ [SP 3] Unlocked by reaching level 3 in the Standard Season Pass. REQUIREMENTS Rarity Choose Your Idol Overall Min. 87 Overall Max. 87 Max PS+ 0 UPGRADES 1 in 5 months in 3 days 38% 62%</t>
        </is>
      </c>
    </row>
    <row r="84">
      <c r="A84" t="inlineStr">
        <is>
          <t>Reward</t>
        </is>
      </c>
      <c r="B84" t="inlineStr">
        <is>
          <t>Standard Season Pass</t>
        </is>
      </c>
      <c r="C84" t="inlineStr">
        <is>
          <t>Make Your Idol - Finesse Shot+ [SP 7] - EA SPORTS FC 26</t>
        </is>
      </c>
      <c r="D84" t="inlineStr">
        <is>
          <t>https://www.fut.gg/evolutions/1796-make-your-idol-finesse-shot-sp-7/</t>
        </is>
      </c>
      <c r="G84" t="inlineStr">
        <is>
          <t>89</t>
        </is>
      </c>
      <c r="H84" t="inlineStr">
        <is>
          <t>89</t>
        </is>
      </c>
      <c r="K84" t="inlineStr">
        <is>
          <t>Choose Your Idol</t>
        </is>
      </c>
      <c r="T84" t="inlineStr">
        <is>
          <t>2</t>
        </is>
      </c>
      <c r="CW84" t="inlineStr">
        <is>
          <t>2 Level 1 UPGRADES 2</t>
        </is>
      </c>
      <c r="CX84" t="inlineStr">
        <is>
          <t>Rarity Choose Your Idol Overall Min. 89 Overall Max. 89 Min PS+ 1 Max PS+ 2 Details Submit by in 5 months Expiry in 3 days Coins Cost Free Points Cost Free</t>
        </is>
      </c>
      <c r="CY84" t="inlineStr">
        <is>
          <t>Rarity Choose Your Idol Overall Min. 89 Overall Max. 89 Min PS+ 1 Max PS+ 2 Details Submit by in 5 months Expiry in 3 days Coins Cost Free Points Cost Free</t>
        </is>
      </c>
      <c r="CZ84" t="inlineStr">
        <is>
          <t>Make Your Idol - Finesse Shot+ [SP 7]</t>
        </is>
      </c>
      <c r="DA84" t="inlineStr">
        <is>
          <t>Make Your Idol - Finesse Shot+ [SP 7] Unlocked by reaching level 7 in the Standard Season Pass. REQUIREMENTS Rarity Choose Your Idol Overall Min. 89 Overall Max. 89 Min PS+ 1 Max PS+ 2 UPGRADES 2 in 5 months in 3 days 44% 56%</t>
        </is>
      </c>
    </row>
    <row r="85">
      <c r="A85" t="inlineStr">
        <is>
          <t>Reward</t>
        </is>
      </c>
      <c r="B85" t="inlineStr">
        <is>
          <t>Standard Season Pass</t>
        </is>
      </c>
      <c r="C85" t="inlineStr">
        <is>
          <t>Make Your Idol - First Touch+ [SP 7] - EA SPORTS FC 26</t>
        </is>
      </c>
      <c r="D85" t="inlineStr">
        <is>
          <t>https://www.fut.gg/evolutions/1797-make-your-idol-first-touch-sp-7/</t>
        </is>
      </c>
      <c r="G85" t="inlineStr">
        <is>
          <t>89</t>
        </is>
      </c>
      <c r="H85" t="inlineStr">
        <is>
          <t>89</t>
        </is>
      </c>
      <c r="K85" t="inlineStr">
        <is>
          <t>Choose Your Idol</t>
        </is>
      </c>
      <c r="T85" t="inlineStr">
        <is>
          <t>2</t>
        </is>
      </c>
      <c r="CW85" t="inlineStr">
        <is>
          <t>2 Level 1 UPGRADES 2</t>
        </is>
      </c>
      <c r="CX85" t="inlineStr">
        <is>
          <t>Rarity Choose Your Idol Overall Min. 89 Overall Max. 89 Min PS+ 1 Max PS+ 2 Details Submit by in 5 months Expiry in 3 days Coins Cost Free Points Cost Free</t>
        </is>
      </c>
      <c r="CY85" t="inlineStr">
        <is>
          <t>Rarity Choose Your Idol Overall Min. 89 Overall Max. 89 Min PS+ 1 Max PS+ 2 Details Submit by in 5 months Expiry in 3 days Coins Cost Free Points Cost Free</t>
        </is>
      </c>
      <c r="CZ85" t="inlineStr">
        <is>
          <t>Make Your Idol - First Touch+ [SP 7]</t>
        </is>
      </c>
      <c r="DA85" t="inlineStr">
        <is>
          <t>Make Your Idol - First Touch+ [SP 7] Unlocked by reaching level 7 in the Standard Season Pass. REQUIREMENTS Rarity Choose Your Idol Overall Min. 89 Overall Max. 89 Min PS+ 1 Max PS+ 2 UPGRADES 2 in 5 months in 3 days 26% 74%</t>
        </is>
      </c>
    </row>
    <row r="86">
      <c r="A86" t="inlineStr">
        <is>
          <t>Reward</t>
        </is>
      </c>
      <c r="B86" t="inlineStr">
        <is>
          <t>Standard Season Pass</t>
        </is>
      </c>
      <c r="C86" t="inlineStr">
        <is>
          <t>Make Your Idol - Pinged Pass+ [SP 7] - EA SPORTS FC 26</t>
        </is>
      </c>
      <c r="D86" t="inlineStr">
        <is>
          <t>https://www.fut.gg/evolutions/1798-make-your-idol-pinged-pass-sp-7/</t>
        </is>
      </c>
      <c r="G86" t="inlineStr">
        <is>
          <t>89</t>
        </is>
      </c>
      <c r="H86" t="inlineStr">
        <is>
          <t>89</t>
        </is>
      </c>
      <c r="K86" t="inlineStr">
        <is>
          <t>Choose Your Idol</t>
        </is>
      </c>
      <c r="T86" t="inlineStr">
        <is>
          <t>2</t>
        </is>
      </c>
      <c r="CW86" t="inlineStr">
        <is>
          <t>2 Level 1 UPGRADES 2</t>
        </is>
      </c>
      <c r="CX86" t="inlineStr">
        <is>
          <t>Rarity Choose Your Idol Overall Min. 89 Overall Max. 89 Min PS+ 1 Max PS+ 2 Details Submit by in 5 months Expiry in 3 days Coins Cost Free Points Cost Free</t>
        </is>
      </c>
      <c r="CY86" t="inlineStr">
        <is>
          <t>Rarity Choose Your Idol Overall Min. 89 Overall Max. 89 Min PS+ 1 Max PS+ 2 Details Submit by in 5 months Expiry in 3 days Coins Cost Free Points Cost Free</t>
        </is>
      </c>
      <c r="CZ86" t="inlineStr">
        <is>
          <t>Make Your Idol - Pinged Pass+ [SP 7]</t>
        </is>
      </c>
      <c r="DA86" t="inlineStr">
        <is>
          <t>Make Your Idol - Pinged Pass+ [SP 7] Unlocked by reaching level 7 in the Standard Season Pass. REQUIREMENTS Rarity Choose Your Idol Overall Min. 89 Overall Max. 89 Min PS+ 1 Max PS+ 2 UPGRADES 2 in 5 months in 3 days 33% 67%</t>
        </is>
      </c>
    </row>
    <row r="87">
      <c r="A87" t="inlineStr">
        <is>
          <t>Reward</t>
        </is>
      </c>
      <c r="B87" t="inlineStr">
        <is>
          <t>Standard Season Pass</t>
        </is>
      </c>
      <c r="C87" t="inlineStr">
        <is>
          <t>Make Your Idol - Rapid+ [SP 7] - EA SPORTS FC 26</t>
        </is>
      </c>
      <c r="D87" t="inlineStr">
        <is>
          <t>https://www.fut.gg/evolutions/1799-make-your-idol-rapid-sp-7/</t>
        </is>
      </c>
      <c r="G87" t="inlineStr">
        <is>
          <t>89</t>
        </is>
      </c>
      <c r="H87" t="inlineStr">
        <is>
          <t>89</t>
        </is>
      </c>
      <c r="K87" t="inlineStr">
        <is>
          <t>Choose Your Idol</t>
        </is>
      </c>
      <c r="T87" t="inlineStr">
        <is>
          <t>2</t>
        </is>
      </c>
      <c r="CW87" t="inlineStr">
        <is>
          <t>2 Level 1 UPGRADES 2</t>
        </is>
      </c>
      <c r="CX87" t="inlineStr">
        <is>
          <t>Rarity Choose Your Idol Overall Min. 89 Overall Max. 89 Min PS+ 1 Max PS+ 2 Details Submit by in 5 months Expiry in 3 days Coins Cost Free Points Cost Free</t>
        </is>
      </c>
      <c r="CY87" t="inlineStr">
        <is>
          <t>Rarity Choose Your Idol Overall Min. 89 Overall Max. 89 Min PS+ 1 Max PS+ 2 Details Submit by in 5 months Expiry in 3 days Coins Cost Free Points Cost Free</t>
        </is>
      </c>
      <c r="CZ87" t="inlineStr">
        <is>
          <t>Make Your Idol - Rapid+ [SP 7]</t>
        </is>
      </c>
      <c r="DA87" t="inlineStr">
        <is>
          <t>Make Your Idol - Rapid+ [SP 7] Unlocked by reaching level 7 in the Standard Season Pass. REQUIREMENTS Rarity Choose Your Idol Overall Min. 89 Overall Max. 89 Min PS+ 1 Max PS+ 2 UPGRADES 2 in 5 months in 3 days 37% 63%</t>
        </is>
      </c>
    </row>
    <row r="88">
      <c r="A88" t="inlineStr">
        <is>
          <t>Reward</t>
        </is>
      </c>
      <c r="B88" t="inlineStr">
        <is>
          <t>Standard Season Pass</t>
        </is>
      </c>
      <c r="C88" t="inlineStr">
        <is>
          <t>Make Your Idol - Quick Step+ [SP 7] - EA SPORTS FC 26</t>
        </is>
      </c>
      <c r="D88" t="inlineStr">
        <is>
          <t>https://www.fut.gg/evolutions/1800-make-your-idol-quick-step-sp-7/</t>
        </is>
      </c>
      <c r="G88" t="inlineStr">
        <is>
          <t>89</t>
        </is>
      </c>
      <c r="H88" t="inlineStr">
        <is>
          <t>89</t>
        </is>
      </c>
      <c r="K88" t="inlineStr">
        <is>
          <t>Choose Your Idol</t>
        </is>
      </c>
      <c r="T88" t="inlineStr">
        <is>
          <t>2</t>
        </is>
      </c>
      <c r="CW88" t="inlineStr">
        <is>
          <t>2 Level 1 UPGRADES 2</t>
        </is>
      </c>
      <c r="CX88" t="inlineStr">
        <is>
          <t>Rarity Choose Your Idol Overall Min. 89 Overall Max. 89 Min PS+ 1 Max PS+ 2 Details Submit by in 5 months Expiry in 3 days Coins Cost Free Points Cost Free</t>
        </is>
      </c>
      <c r="CY88" t="inlineStr">
        <is>
          <t>Rarity Choose Your Idol Overall Min. 89 Overall Max. 89 Min PS+ 1 Max PS+ 2 Details Submit by in 5 months Expiry in 3 days Coins Cost Free Points Cost Free</t>
        </is>
      </c>
      <c r="CZ88" t="inlineStr">
        <is>
          <t>Make Your Idol - Quick Step+ [SP 7]</t>
        </is>
      </c>
      <c r="DA88" t="inlineStr">
        <is>
          <t>Make Your Idol - Quick Step+ [SP 7] Unlocked by reaching level 7 in the Standard Season Pass. REQUIREMENTS Rarity Choose Your Idol Overall Min. 89 Overall Max. 89 Min PS+ 1 Max PS+ 2 UPGRADES 2 in 5 months in 3 days 37% 63%</t>
        </is>
      </c>
    </row>
    <row r="89">
      <c r="A89" t="inlineStr">
        <is>
          <t>Reward</t>
        </is>
      </c>
      <c r="B89" t="inlineStr">
        <is>
          <t>Standard Season Pass</t>
        </is>
      </c>
      <c r="C89" t="inlineStr">
        <is>
          <t>Make Your Idol - Anticipate+ [SP 7] - EA SPORTS FC 26</t>
        </is>
      </c>
      <c r="D89" t="inlineStr">
        <is>
          <t>https://www.fut.gg/evolutions/1801-make-your-idol-anticipate-sp-7/</t>
        </is>
      </c>
      <c r="G89" t="inlineStr">
        <is>
          <t>89</t>
        </is>
      </c>
      <c r="H89" t="inlineStr">
        <is>
          <t>89</t>
        </is>
      </c>
      <c r="K89" t="inlineStr">
        <is>
          <t>Choose Your Idol</t>
        </is>
      </c>
      <c r="T89" t="inlineStr">
        <is>
          <t>2</t>
        </is>
      </c>
      <c r="CW89" t="inlineStr">
        <is>
          <t>2 Level 1 UPGRADES 2</t>
        </is>
      </c>
      <c r="CX89" t="inlineStr">
        <is>
          <t>Rarity Choose Your Idol Overall Min. 89 Overall Max. 89 Min PS+ 1 Max PS+ 2 Details Submit by in 5 months Expiry in 3 days Coins Cost Free Points Cost Free</t>
        </is>
      </c>
      <c r="CY89" t="inlineStr">
        <is>
          <t>Rarity Choose Your Idol Overall Min. 89 Overall Max. 89 Min PS+ 1 Max PS+ 2 Details Submit by in 5 months Expiry in 3 days Coins Cost Free Points Cost Free</t>
        </is>
      </c>
      <c r="CZ89" t="inlineStr">
        <is>
          <t>Make Your Idol - Anticipate+ [SP 7]</t>
        </is>
      </c>
      <c r="DA89" t="inlineStr">
        <is>
          <t>Make Your Idol - Anticipate+ [SP 7] Unlocked by reaching level 7 in the Standard Season Pass. REQUIREMENTS Rarity Choose Your Idol Overall Min. 89 Overall Max. 89 Min PS+ 1 Max PS+ 2 UPGRADES 2 in 5 months in 3 days 35% 65%</t>
        </is>
      </c>
    </row>
    <row r="90">
      <c r="A90" t="inlineStr">
        <is>
          <t>Reward</t>
        </is>
      </c>
      <c r="B90" t="inlineStr">
        <is>
          <t>Premium Season Pass</t>
        </is>
      </c>
      <c r="C90" t="inlineStr">
        <is>
          <t>Guardian of the Line [SP+ 10] - EA SPORTS FC 26</t>
        </is>
      </c>
      <c r="D90" t="inlineStr">
        <is>
          <t>https://www.fut.gg/evolutions/1784-guardian-of-the-line-sp-10/</t>
        </is>
      </c>
      <c r="G90" t="inlineStr">
        <is>
          <t>89</t>
        </is>
      </c>
      <c r="K90" t="inlineStr">
        <is>
          <t>World Tour Silver Stars</t>
        </is>
      </c>
      <c r="L90" t="inlineStr">
        <is>
          <t>World Tour Silver Stars</t>
        </is>
      </c>
      <c r="S90" t="inlineStr">
        <is>
          <t>8</t>
        </is>
      </c>
      <c r="CW90" t="inlineStr">
        <is>
          <t>9 Level 1 Bahoya 89 LM PAC 98 SHO 84 PAS 86 DRI 89 DEF 63 PHY 75 CAM ST LW R 5 ★ 5 Bahoya 89 LM PAC 98 SHO 84 PAS 86 DRI 89 DEF 63 PHY 75 CAM ST LW R 5 ★ 5 UPGRADES 9</t>
        </is>
      </c>
      <c r="CX90" t="inlineStr">
        <is>
          <t>Excluded Rarity World Tour Silver Stars Overall Max. 89 Max PS 8 Details Submit by in 5 months Expiry in 3 days Coins Cost Free Points Cost Free</t>
        </is>
      </c>
      <c r="CY90" t="inlineStr">
        <is>
          <t>Excluded Rarity World Tour Silver Stars Overall Max. 89 Max PS 8 Details Submit by in 5 months Expiry in 3 days Coins Cost Free Points Cost Free</t>
        </is>
      </c>
      <c r="CZ90" t="inlineStr">
        <is>
          <t>Guardian of the Line [SP+ 10] 2</t>
        </is>
      </c>
      <c r="DA90"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3 days 89% 11%</t>
        </is>
      </c>
    </row>
    <row r="91">
      <c r="A91" t="inlineStr">
        <is>
          <t>Reward</t>
        </is>
      </c>
      <c r="B91" t="inlineStr">
        <is>
          <t>Premium Season Pass</t>
        </is>
      </c>
      <c r="C91" t="inlineStr">
        <is>
          <t>Up to Speed [SP+ 26] - EA SPORTS FC 26</t>
        </is>
      </c>
      <c r="D91" t="inlineStr">
        <is>
          <t>https://www.fut.gg/evolutions/1783-up-to-speed-sp-26/</t>
        </is>
      </c>
      <c r="G91" t="inlineStr">
        <is>
          <t>89</t>
        </is>
      </c>
      <c r="K91" t="inlineStr">
        <is>
          <t>World Tour Silver Stars</t>
        </is>
      </c>
      <c r="L91" t="inlineStr">
        <is>
          <t>World Tour Silver Stars</t>
        </is>
      </c>
      <c r="S91" t="inlineStr">
        <is>
          <t>10</t>
        </is>
      </c>
      <c r="T91" t="inlineStr">
        <is>
          <t>2</t>
        </is>
      </c>
      <c r="X91" t="n">
        <v>4</v>
      </c>
      <c r="Z91" t="n">
        <v>4</v>
      </c>
      <c r="AA91" t="n">
        <v>91</v>
      </c>
      <c r="AF91" t="n">
        <v>4</v>
      </c>
      <c r="AG91" t="n">
        <v>91</v>
      </c>
      <c r="AP91" t="n">
        <v>16</v>
      </c>
      <c r="AQ91" t="n">
        <v>92</v>
      </c>
      <c r="AR91" t="n">
        <v>8</v>
      </c>
      <c r="AS91" t="n">
        <v>92</v>
      </c>
      <c r="AT91" t="n">
        <v>8</v>
      </c>
      <c r="AU91" t="n">
        <v>92</v>
      </c>
      <c r="AX91" t="n">
        <v>16</v>
      </c>
      <c r="AY91" t="n">
        <v>91</v>
      </c>
      <c r="BB91" t="n">
        <v>4</v>
      </c>
      <c r="BC91" t="n">
        <v>91</v>
      </c>
      <c r="BH91" t="n">
        <v>4</v>
      </c>
      <c r="BI91" t="n">
        <v>92</v>
      </c>
      <c r="BL91" t="n">
        <v>8</v>
      </c>
      <c r="BM91" t="n">
        <v>92</v>
      </c>
      <c r="CW91" t="inlineStr">
        <is>
          <t>+2 OVR +4 PAC 91 +4 DRI 91 +8 Positioning 92 +8 Volleys 91 +4 Curve 92 +8 Shot Power 92 +4 Vision 91 +8 Finishing 92 +4 Short Pass 92 2 9 Level 1 Bahoya 89 LM PAC 98 SHO 84 PAS 86 DRI 89 DEF 63 PHY 75 CAM ST LW R 5 ★ 5 Bahoya 91 LM PAC 98 SHO 85 PAS 86 DRI 89 DEF 63 PHY 75 CAM ST LW R 5 ★ 5 UPGRADES +2 OVR +8 Positioning 92 +8 Volleys 91 +4 Curve 92 9</t>
        </is>
      </c>
      <c r="CX91" t="inlineStr">
        <is>
          <t>Excluded Rarity World Tour Silver Stars Overall Max. 89 Max PS 10 Max PS+ 2 Details Submit by in 5 months Expiry in 3 days Coins Cost Free Points Cost Free</t>
        </is>
      </c>
      <c r="CY91" t="inlineStr">
        <is>
          <t>Excluded Rarity World Tour Silver Stars Overall Max. 89 Max PS 10 Max PS+ 2 Details Submit by in 5 months Expiry in 3 days Coins Cost Free Points Cost Free</t>
        </is>
      </c>
      <c r="CZ91" t="inlineStr">
        <is>
          <t>Up to Speed [SP+ 26]</t>
        </is>
      </c>
      <c r="DA91"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3 days 85% 15%</t>
        </is>
      </c>
    </row>
    <row r="92">
      <c r="A92" t="inlineStr">
        <is>
          <t>Reward</t>
        </is>
      </c>
      <c r="B92" t="inlineStr">
        <is>
          <t>Standard Season Pass</t>
        </is>
      </c>
      <c r="C92" t="inlineStr">
        <is>
          <t>Fantasy Captain ICON [SP 27] - EA SPORTS FC 26</t>
        </is>
      </c>
      <c r="D92" t="inlineStr">
        <is>
          <t>https://www.fut.gg/evolutions/1782-fantasy-captain-icon-sp-27/</t>
        </is>
      </c>
      <c r="K92" t="inlineStr">
        <is>
          <t>World Tour Silver Stars Details Submit by in 5 months Expiry in 3 days Coins Cost Free Points Cost Free</t>
        </is>
      </c>
      <c r="L92" t="inlineStr">
        <is>
          <t>World Tour Silver Stars Details Submit by in 5 months Expiry in 3 days Coins Cost Free Points Cost Free</t>
        </is>
      </c>
      <c r="CW92" t="inlineStr">
        <is>
          <t>No upgrades Level 1 Nuno Mendes 97 LB PAC 97 SHO 80 PAS 88 DRI 95 DEF 93 PHY 88 LM L 4 ★ 4 Nuno Mendes 97 LB PAC 97 SHO 80 PAS 88 DRI 95 DEF 93 PHY 88 LM L 4 ★ 4 UPGRADES No upgrades</t>
        </is>
      </c>
      <c r="CX92" t="inlineStr">
        <is>
          <t>Excluded Rarity World Tour Silver Stars Details Submit by in 5 months Expiry in 3 days Coins Cost Free Points Cost Free</t>
        </is>
      </c>
      <c r="CY92" t="inlineStr">
        <is>
          <t>Excluded Rarity World Tour Silver Stars Details Submit by in 5 months Expiry in 3 days Coins Cost Free Points Cost Free</t>
        </is>
      </c>
      <c r="CZ92" t="inlineStr">
        <is>
          <t>Fantasy Captain ICON [SP 27]</t>
        </is>
      </c>
      <c r="DA92"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3 days 96% 4%</t>
        </is>
      </c>
    </row>
    <row r="93">
      <c r="A93" t="inlineStr">
        <is>
          <t>Reward</t>
        </is>
      </c>
      <c r="B93" t="inlineStr">
        <is>
          <t>Standard Season Pass</t>
        </is>
      </c>
      <c r="C93" t="inlineStr">
        <is>
          <t>Season Ladder Excellence [SP 15] - EA SPORTS FC 26</t>
        </is>
      </c>
      <c r="D93" t="inlineStr">
        <is>
          <t>https://www.fut.gg/evolutions/1781-season-ladder-excellence-sp-15/</t>
        </is>
      </c>
      <c r="K93" t="inlineStr">
        <is>
          <t>World Tour Silver Stars Details Submit by in 5 months Expiry in 3 days Coins Cost Free Points Cost Free</t>
        </is>
      </c>
      <c r="L93" t="inlineStr">
        <is>
          <t>World Tour Silver Stars Details Submit by in 5 months Expiry in 3 days Coins Cost Free Points Cost Free</t>
        </is>
      </c>
      <c r="CW93" t="inlineStr">
        <is>
          <t>No upgrades Level 1 Kane 97 ST PAC 91 SHO 98 PAS 94 DRI 95 DEF 62 PHY 93 R 4 ★ 5 Kane 97 ST PAC 91 SHO 98 PAS 94 DRI 95 DEF 62 PHY 93 R 4 ★ 5 UPGRADES No upgrades</t>
        </is>
      </c>
      <c r="CX93" t="inlineStr">
        <is>
          <t>Excluded Rarity World Tour Silver Stars Details Submit by in 5 months Expiry in 3 days Coins Cost Free Points Cost Free</t>
        </is>
      </c>
      <c r="CY93" t="inlineStr">
        <is>
          <t>Excluded Rarity World Tour Silver Stars Details Submit by in 5 months Expiry in 3 days Coins Cost Free Points Cost Free</t>
        </is>
      </c>
      <c r="CZ93" t="inlineStr">
        <is>
          <t>Season Ladder Excellence [SP 15]</t>
        </is>
      </c>
      <c r="DA93"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3 days 39% 61%</t>
        </is>
      </c>
    </row>
    <row r="94">
      <c r="A94" t="inlineStr">
        <is>
          <t>Reward</t>
        </is>
      </c>
      <c r="B94" t="inlineStr">
        <is>
          <t>Premium Season Pass</t>
        </is>
      </c>
      <c r="C94" t="inlineStr">
        <is>
          <t>Pinged Pass+ [SP+ 28] - EA SPORTS FC 26</t>
        </is>
      </c>
      <c r="D94" t="inlineStr">
        <is>
          <t>https://www.fut.gg/evolutions/1774-pinged-pass-sp-28/</t>
        </is>
      </c>
      <c r="G94" t="inlineStr">
        <is>
          <t>90</t>
        </is>
      </c>
      <c r="K94" t="inlineStr">
        <is>
          <t>World Tour Silver Stars</t>
        </is>
      </c>
      <c r="L94" t="inlineStr">
        <is>
          <t>World Tour Silver Stars</t>
        </is>
      </c>
      <c r="T94" t="inlineStr">
        <is>
          <t>2</t>
        </is>
      </c>
      <c r="CW94" t="inlineStr">
        <is>
          <t>3 Level 1 Pacho 90 CB PAC 86 SHO 40 PAS 73 DRI 73 DEF 90 PHY 91 L 5 ★ 5 Pacho 90 CB PAC 86 SHO 40 PAS 73 DRI 73 DEF 90 PHY 91 L 5 ★ 5 UPGRADES 3</t>
        </is>
      </c>
      <c r="CX94" t="inlineStr">
        <is>
          <t>Excluded Rarity World Tour Silver Stars Overall Max. 90 Max PS+ 2 Details Submit by in 5 months Expiry in 3 days Coins Cost Free Points Cost Free</t>
        </is>
      </c>
      <c r="CY94" t="inlineStr">
        <is>
          <t>Excluded Rarity World Tour Silver Stars Overall Max. 90 Max PS+ 2 Details Submit by in 5 months Expiry in 3 days Coins Cost Free Points Cost Free</t>
        </is>
      </c>
      <c r="CZ94" t="inlineStr">
        <is>
          <t>Pinged Pass+ [SP+ 28]</t>
        </is>
      </c>
      <c r="DA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3 days 95% 5%</t>
        </is>
      </c>
    </row>
    <row r="95">
      <c r="A95" t="inlineStr">
        <is>
          <t>Reward</t>
        </is>
      </c>
      <c r="B95" t="inlineStr">
        <is>
          <t>Premium Season Pass</t>
        </is>
      </c>
      <c r="C95" t="inlineStr">
        <is>
          <t>Relentless+ [SP+ 27] - EA SPORTS FC 26</t>
        </is>
      </c>
      <c r="D95" t="inlineStr">
        <is>
          <t>https://www.fut.gg/evolutions/1773-relentless-sp-27/</t>
        </is>
      </c>
      <c r="G95" t="inlineStr">
        <is>
          <t>89</t>
        </is>
      </c>
      <c r="K95" t="inlineStr">
        <is>
          <t>World Tour Silver Stars</t>
        </is>
      </c>
      <c r="L95" t="inlineStr">
        <is>
          <t>World Tour Silver Stars</t>
        </is>
      </c>
      <c r="T95" t="inlineStr">
        <is>
          <t>2</t>
        </is>
      </c>
      <c r="CW95" t="inlineStr">
        <is>
          <t>3 Level 1 Francisco Conceição 89 RM PAC 93 SHO 86 PAS 87 DRI 91 DEF 45 PHY 70 CAM RW L 4 ★ 3 Francisco Conceição 89 RM PAC 93 SHO 86 PAS 87 DRI 91 DEF 45 PHY 70 CAM RW L 4 ★ 3 UPGRADES 3</t>
        </is>
      </c>
      <c r="CX95" t="inlineStr">
        <is>
          <t>Excluded Rarity World Tour Silver Stars Overall Max. 89 Max PS+ 2 Details Submit by in 5 months Expiry in 3 days Coins Cost Free Points Cost Free</t>
        </is>
      </c>
      <c r="CY95" t="inlineStr">
        <is>
          <t>Excluded Rarity World Tour Silver Stars Overall Max. 89 Max PS+ 2 Details Submit by in 5 months Expiry in 3 days Coins Cost Free Points Cost Free</t>
        </is>
      </c>
      <c r="CZ95" t="inlineStr">
        <is>
          <t>Relentless+ [SP+ 27]</t>
        </is>
      </c>
      <c r="DA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3 days 14% 86%</t>
        </is>
      </c>
    </row>
    <row r="96">
      <c r="A96" t="inlineStr">
        <is>
          <t>Reward</t>
        </is>
      </c>
      <c r="B96" t="inlineStr">
        <is>
          <t>Premium Season Pass</t>
        </is>
      </c>
      <c r="C96" t="inlineStr">
        <is>
          <t>Dish 'em Out [SP+ 1] - EA SPORTS FC 26</t>
        </is>
      </c>
      <c r="D96" t="inlineStr">
        <is>
          <t>https://www.fut.gg/evolutions/1772-dish-em-out-sp-1/</t>
        </is>
      </c>
      <c r="G96" t="inlineStr">
        <is>
          <t>89</t>
        </is>
      </c>
      <c r="K96" t="inlineStr">
        <is>
          <t>World Tour Silver Stars</t>
        </is>
      </c>
      <c r="L96" t="inlineStr">
        <is>
          <t>World Tour Silver Stars</t>
        </is>
      </c>
      <c r="S96" t="inlineStr">
        <is>
          <t>10</t>
        </is>
      </c>
      <c r="X96" t="n">
        <v>2</v>
      </c>
      <c r="BB96" t="n">
        <v>20</v>
      </c>
      <c r="BC96" t="n">
        <v>92</v>
      </c>
      <c r="BJ96" t="n">
        <v>20</v>
      </c>
      <c r="BK96" t="n">
        <v>92</v>
      </c>
      <c r="BL96" t="n">
        <v>20</v>
      </c>
      <c r="BM96" t="n">
        <v>92</v>
      </c>
      <c r="BX96" t="n">
        <v>20</v>
      </c>
      <c r="BY96" t="n">
        <v>91</v>
      </c>
      <c r="CD96" t="n">
        <v>20</v>
      </c>
      <c r="CE96" t="n">
        <v>91</v>
      </c>
      <c r="CW96"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96" t="inlineStr">
        <is>
          <t>Excluded Rarity World Tour Silver Stars Overall Max. 89 Max PS 10 Details Submit by in 5 months Expiry in 3 days Coins Cost Free Points Cost Free</t>
        </is>
      </c>
      <c r="CY96" t="inlineStr">
        <is>
          <t>Excluded Rarity World Tour Silver Stars Overall Max. 89 Max PS 10 Details Submit by in 5 months Expiry in 3 days Coins Cost Free Points Cost Free</t>
        </is>
      </c>
      <c r="CZ96" t="inlineStr">
        <is>
          <t>Dish 'em Out [SP+ 1]</t>
        </is>
      </c>
      <c r="DA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3 days 92% 8%</t>
        </is>
      </c>
    </row>
    <row r="97">
      <c r="A97" t="inlineStr">
        <is>
          <t>Reward</t>
        </is>
      </c>
      <c r="B97" t="inlineStr">
        <is>
          <t>Standard Season Pass</t>
        </is>
      </c>
      <c r="C97" t="inlineStr">
        <is>
          <t>Locked &amp; Loaded [SP 25] - EA SPORTS FC 26</t>
        </is>
      </c>
      <c r="D97" t="inlineStr">
        <is>
          <t>https://www.fut.gg/evolutions/1771-locked-loaded-sp-25/</t>
        </is>
      </c>
      <c r="G97" t="inlineStr">
        <is>
          <t>88</t>
        </is>
      </c>
      <c r="K97" t="inlineStr">
        <is>
          <t>World Tour Silver Stars</t>
        </is>
      </c>
      <c r="L97" t="inlineStr">
        <is>
          <t>World Tour Silver Stars</t>
        </is>
      </c>
      <c r="S97" t="inlineStr">
        <is>
          <t>10</t>
        </is>
      </c>
      <c r="X97" t="n">
        <v>4</v>
      </c>
      <c r="AH97" t="n">
        <v>4</v>
      </c>
      <c r="AI97" t="n">
        <v>90</v>
      </c>
      <c r="AJ97" t="n">
        <v>4</v>
      </c>
      <c r="AK97" t="n">
        <v>91</v>
      </c>
      <c r="BB97" t="n">
        <v>12</v>
      </c>
      <c r="BC97" t="n">
        <v>92</v>
      </c>
      <c r="BH97" t="n">
        <v>12</v>
      </c>
      <c r="BI97" t="n">
        <v>92</v>
      </c>
      <c r="BL97" t="n">
        <v>12</v>
      </c>
      <c r="BM97" t="n">
        <v>89</v>
      </c>
      <c r="BR97" t="n">
        <v>12</v>
      </c>
      <c r="BS97" t="n">
        <v>90</v>
      </c>
      <c r="BT97" t="n">
        <v>12</v>
      </c>
      <c r="BU97" t="n">
        <v>90</v>
      </c>
      <c r="BX97" t="n">
        <v>6</v>
      </c>
      <c r="BY97" t="n">
        <v>90</v>
      </c>
      <c r="CW97" t="inlineStr">
        <is>
          <t>+2 OVR +4 DEF 90 +4 PHY 91 +6 Vision 92 +6 Short Pass 92 +6 Curve 89 +6 Reactions 90 +6 Ball Control 90 +6 Composure 90 9 Level 1 João Neves 88 CM PAC 83 SHO 75 PAS 87 DRI 89 DEF 85 PHY 86 CDM R 4 ★ 4 João Neves 90 CM PAC 83 SHO 75 PAS 87 DRI 89 DEF 85 PHY 86 CDM R 4 ★ 4 UPGRADES +2 OVR +6 Vision 92 +6 Short Pass 92 +6 Curve 89 +6 Reactions 90 +6 Ball Control 90</t>
        </is>
      </c>
      <c r="CX97" t="inlineStr">
        <is>
          <t>Excluded Rarity World Tour Silver Stars Overall Max. 88 Max PS 10 Details Submit by in 5 months Expiry in 3 days Coins Cost Free Points Cost Free</t>
        </is>
      </c>
      <c r="CY97" t="inlineStr">
        <is>
          <t>Excluded Rarity World Tour Silver Stars Overall Max. 88 Max PS 10 Details Submit by in 5 months Expiry in 3 days Coins Cost Free Points Cost Free</t>
        </is>
      </c>
      <c r="CZ97" t="inlineStr">
        <is>
          <t>Locked &amp; Loaded [SP 25]</t>
        </is>
      </c>
      <c r="DA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3 days 91% 9%</t>
        </is>
      </c>
    </row>
    <row r="98">
      <c r="A98" t="inlineStr">
        <is>
          <t>Reward</t>
        </is>
      </c>
      <c r="B98" t="inlineStr">
        <is>
          <t>Standard Season Pass</t>
        </is>
      </c>
      <c r="C98" t="inlineStr">
        <is>
          <t>Goal Machine [SP 8] - EA SPORTS FC 26</t>
        </is>
      </c>
      <c r="D98" t="inlineStr">
        <is>
          <t>https://www.fut.gg/evolutions/1770-goal-machine-sp-8/</t>
        </is>
      </c>
      <c r="G98" t="inlineStr">
        <is>
          <t>88</t>
        </is>
      </c>
      <c r="K98" t="inlineStr">
        <is>
          <t>World Tour Silver Stars</t>
        </is>
      </c>
      <c r="L98" t="inlineStr">
        <is>
          <t>World Tour Silver Stars</t>
        </is>
      </c>
      <c r="AP98" t="n">
        <v>4</v>
      </c>
      <c r="AQ98" t="n">
        <v>90</v>
      </c>
      <c r="AR98" t="n">
        <v>4</v>
      </c>
      <c r="AS98" t="n">
        <v>90</v>
      </c>
      <c r="AV98" t="n">
        <v>4</v>
      </c>
      <c r="AW98" t="n">
        <v>90</v>
      </c>
      <c r="CW98"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98" t="inlineStr">
        <is>
          <t>Excluded Rarity World Tour Silver Stars Overall Max. 88 Details Submit by in 5 months Expiry in 3 days Coins Cost Free Points Cost Free</t>
        </is>
      </c>
      <c r="CY98" t="inlineStr">
        <is>
          <t>Excluded Rarity World Tour Silver Stars Overall Max. 88 Details Submit by in 5 months Expiry in 3 days Coins Cost Free Points Cost Free</t>
        </is>
      </c>
      <c r="CZ98" t="inlineStr">
        <is>
          <t>Goal Machine [SP 8] 5</t>
        </is>
      </c>
      <c r="DA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3 days 92% 8%</t>
        </is>
      </c>
    </row>
    <row r="99">
      <c r="A99" t="inlineStr">
        <is>
          <t>Reward</t>
        </is>
      </c>
      <c r="B99" t="inlineStr">
        <is>
          <t>Premium Season Pass</t>
        </is>
      </c>
      <c r="C99" t="inlineStr">
        <is>
          <t>Roadrunner [SP+ 24] - EA SPORTS FC 26</t>
        </is>
      </c>
      <c r="D99" t="inlineStr">
        <is>
          <t>https://www.fut.gg/evolutions/1769-roadrunner-sp-24/</t>
        </is>
      </c>
      <c r="G99" t="inlineStr">
        <is>
          <t>89</t>
        </is>
      </c>
      <c r="K99" t="inlineStr">
        <is>
          <t>World Tour Silver Stars</t>
        </is>
      </c>
      <c r="L99" t="inlineStr">
        <is>
          <t>World Tour Silver Stars</t>
        </is>
      </c>
      <c r="S99" t="inlineStr">
        <is>
          <t>10</t>
        </is>
      </c>
      <c r="X99" t="n">
        <v>4</v>
      </c>
      <c r="Z99" t="n">
        <v>14</v>
      </c>
      <c r="AA99" t="n">
        <v>90</v>
      </c>
      <c r="AF99" t="n">
        <v>14</v>
      </c>
      <c r="AG99" t="n">
        <v>91</v>
      </c>
      <c r="CW99" t="inlineStr">
        <is>
          <t>+2 OVR +7 PAC 90 +7 DRI 91 9 Level 1 Francisco Conceição 89 RM PAC 93 SHO 86 PAS 87 DRI 91 DEF 45 PHY 70 CAM RW L 4 ★ 3 Francisco Conceição 91 RM PAC 93 SHO 86 PAS 87 DRI 91 DEF 45 PHY 70 CAM RW L 4 ★ 3 UPGRADES +2 OVR +7 PAC 90 +7 DRI 91 9</t>
        </is>
      </c>
      <c r="CX99" t="inlineStr">
        <is>
          <t>Excluded Rarity World Tour Silver Stars Overall Max. 89 Max PS 10 Details Submit by in 5 months Expiry in 3 days Coins Cost Free Points Cost Free</t>
        </is>
      </c>
      <c r="CY99" t="inlineStr">
        <is>
          <t>Excluded Rarity World Tour Silver Stars Overall Max. 89 Max PS 10 Details Submit by in 5 months Expiry in 3 days Coins Cost Free Points Cost Free</t>
        </is>
      </c>
      <c r="CZ99" t="inlineStr">
        <is>
          <t>Roadrunner [SP+ 24]</t>
        </is>
      </c>
      <c r="DA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3 days 84% 16%</t>
        </is>
      </c>
    </row>
    <row r="100">
      <c r="A100" t="inlineStr">
        <is>
          <t>Reward</t>
        </is>
      </c>
      <c r="B100" t="inlineStr">
        <is>
          <t>Premium Season Pass</t>
        </is>
      </c>
      <c r="C100" t="inlineStr">
        <is>
          <t>Sweep &amp; Supply [SP+ 18] - EA SPORTS FC 26</t>
        </is>
      </c>
      <c r="D100" t="inlineStr">
        <is>
          <t>https://www.fut.gg/evolutions/1768-sweep-supply-sp-18/</t>
        </is>
      </c>
      <c r="G100" t="inlineStr">
        <is>
          <t>89</t>
        </is>
      </c>
      <c r="K100" t="inlineStr">
        <is>
          <t>World Tour Silver Stars</t>
        </is>
      </c>
      <c r="L100" t="inlineStr">
        <is>
          <t>World Tour Silver Stars</t>
        </is>
      </c>
      <c r="S100" t="inlineStr">
        <is>
          <t>10</t>
        </is>
      </c>
      <c r="X100" t="n">
        <v>4</v>
      </c>
      <c r="AD100" t="n">
        <v>14</v>
      </c>
      <c r="AE100" t="n">
        <v>91</v>
      </c>
      <c r="AH100" t="n">
        <v>14</v>
      </c>
      <c r="AI100" t="n">
        <v>91</v>
      </c>
      <c r="CW100" t="inlineStr">
        <is>
          <t>+2 OVR +7 PAS 91 +7 DEF 91 9 Level 1 Amaiur Sarriegi 89 ST PAC 94 SHO 88 PAS 86 DRI 92 DEF 56 PHY 89 RM RW LW R 4 ★ 4 Amaiur Sarriegi 91 ST PAC 94 SHO 88 PAS 91 DRI 92 DEF 63 PHY 89 RM RW LW R 4 ★ 4 UPGRADES +2 OVR +7 PAS 91 +7 DEF 91 9</t>
        </is>
      </c>
      <c r="CX100" t="inlineStr">
        <is>
          <t>Excluded Rarity World Tour Silver Stars Overall Max. 89 Max PS 10 Details Submit by in 5 months Expiry in 3 days Coins Cost Free Points Cost Free</t>
        </is>
      </c>
      <c r="CY100" t="inlineStr">
        <is>
          <t>Excluded Rarity World Tour Silver Stars Overall Max. 89 Max PS 10 Details Submit by in 5 months Expiry in 3 days Coins Cost Free Points Cost Free</t>
        </is>
      </c>
      <c r="CZ100" t="inlineStr">
        <is>
          <t>Sweep &amp; Supply [SP+ 18]</t>
        </is>
      </c>
      <c r="DA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3 days 86% 14%</t>
        </is>
      </c>
    </row>
    <row r="101">
      <c r="A101" t="inlineStr">
        <is>
          <t>Reward</t>
        </is>
      </c>
      <c r="B101" t="inlineStr">
        <is>
          <t>Objective</t>
        </is>
      </c>
      <c r="C101" t="inlineStr">
        <is>
          <t>Quick Step+ - EA SPORTS FC 26</t>
        </is>
      </c>
      <c r="D101" t="inlineStr">
        <is>
          <t>https://www.fut.gg/evolutions/1762-quick-step/</t>
        </is>
      </c>
      <c r="G101" t="inlineStr">
        <is>
          <t>90</t>
        </is>
      </c>
      <c r="K101" t="inlineStr">
        <is>
          <t>World Tour Silver Stars</t>
        </is>
      </c>
      <c r="L101" t="inlineStr">
        <is>
          <t>World Tour Silver Stars</t>
        </is>
      </c>
      <c r="T101" t="inlineStr">
        <is>
          <t>1</t>
        </is>
      </c>
      <c r="CW101" t="inlineStr">
        <is>
          <t>2 Level 1 Rashford 90 LM PAC 94 SHO 88 PAS 90 DRI 90 DEF 45 PHY 78 ST LW R 5 ★ 3 Rashford 90 LM PAC 94 SHO 88 PAS 90 DRI 90 DEF 45 PHY 78 ST LW R 5 ★ 3 UPGRADES 2</t>
        </is>
      </c>
      <c r="CX101" t="inlineStr">
        <is>
          <t>Excluded Rarity World Tour Silver Stars Overall Max. 90 Max PS+ 1 Details Submit by in 8 months Expiry in 8 months Coins Cost Free Points Cost Free</t>
        </is>
      </c>
      <c r="CY101" t="inlineStr">
        <is>
          <t>Excluded Rarity World Tour Silver Stars Overall Max. 90 Max PS+ 1 Details Submit by in 8 months Expiry in 8 months Coins Cost Free Points Cost Free</t>
        </is>
      </c>
      <c r="CZ101" t="inlineStr">
        <is>
          <t>Quick Step+</t>
        </is>
      </c>
      <c r="DA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Finesse Shot+ - EA SPORTS FC 26</t>
        </is>
      </c>
      <c r="D102" t="inlineStr">
        <is>
          <t>https://www.fut.gg/evolutions/1760-finesse-shot/</t>
        </is>
      </c>
      <c r="G102" t="inlineStr">
        <is>
          <t>90</t>
        </is>
      </c>
      <c r="K102" t="inlineStr">
        <is>
          <t>World Tour Silver Stars</t>
        </is>
      </c>
      <c r="L102" t="inlineStr">
        <is>
          <t>World Tour Silver Stars</t>
        </is>
      </c>
      <c r="T102" t="inlineStr">
        <is>
          <t>1</t>
        </is>
      </c>
      <c r="CW102" t="inlineStr">
        <is>
          <t>2 Level 1 McTominay 90 CM PAC 83 SHO 89 PAS 85 DRI 86 DEF 85 PHY 90 CAM R 4 ★ 4 McTominay 90 CM PAC 83 SHO 89 PAS 85 DRI 86 DEF 85 PHY 90 CAM R 4 ★ 4 UPGRADES 2</t>
        </is>
      </c>
      <c r="CX102" t="inlineStr">
        <is>
          <t>Excluded Rarity World Tour Silver Stars Overall Max. 90 Max PS+ 1 Details Submit by in 3 years Expiry in 3 years Coins Cost Free Points Cost Free</t>
        </is>
      </c>
      <c r="CY102" t="inlineStr">
        <is>
          <t>Excluded Rarity World Tour Silver Stars Overall Max. 90 Max PS+ 1 Details Submit by in 3 years Expiry in 3 years Coins Cost Free Points Cost Free</t>
        </is>
      </c>
      <c r="CZ102" t="inlineStr">
        <is>
          <t>Finesse Shot+</t>
        </is>
      </c>
      <c r="DA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Intro to Rewards EVOs - EA SPORTS FC 26</t>
        </is>
      </c>
      <c r="D103" t="inlineStr">
        <is>
          <t>https://www.fut.gg/evolutions/1214-intro-to-rewards-evos/</t>
        </is>
      </c>
      <c r="G103" t="inlineStr">
        <is>
          <t>82</t>
        </is>
      </c>
      <c r="K103" t="inlineStr">
        <is>
          <t>World Tour Silver Stars</t>
        </is>
      </c>
      <c r="L103" t="inlineStr">
        <is>
          <t>World Tour Silver Stars</t>
        </is>
      </c>
      <c r="M103" t="inlineStr">
        <is>
          <t>84</t>
        </is>
      </c>
      <c r="X103" t="n">
        <v>2</v>
      </c>
      <c r="AT103" t="n">
        <v>6</v>
      </c>
      <c r="AU103" t="n">
        <v>80</v>
      </c>
      <c r="AV103" t="n">
        <v>8</v>
      </c>
      <c r="AW103" t="n">
        <v>80</v>
      </c>
      <c r="AX103" t="n">
        <v>6</v>
      </c>
      <c r="AY103" t="n">
        <v>79</v>
      </c>
      <c r="BB103" t="n">
        <v>6</v>
      </c>
      <c r="BC103" t="n">
        <v>80</v>
      </c>
      <c r="BH103" t="n">
        <v>3</v>
      </c>
      <c r="BI103" t="n">
        <v>80</v>
      </c>
      <c r="BJ103" t="n">
        <v>4</v>
      </c>
      <c r="BK103" t="n">
        <v>79</v>
      </c>
      <c r="BR103" t="n">
        <v>4</v>
      </c>
      <c r="BS103" t="n">
        <v>81</v>
      </c>
      <c r="BV103" t="n">
        <v>4</v>
      </c>
      <c r="BW103" t="n">
        <v>81</v>
      </c>
      <c r="CW103" t="inlineStr">
        <is>
          <t>+1 OVR +3 Shot Power 80 +3 Vision 80 +4 Long Shots 80 +3 Volleys 79 +3 Short Pass 80 +4 Fk Accuracy 80 +4 Dribbling 81 +4 Reactions 81 +4 Long Pass 79 Level 1 Coffey 82 CM PAC 73 SHO 72 PAS 82 DRI 78 DEF 77 PHY 79 CDM R 3 ★ 3 Coffey 83 CM PAC 73 SHO 73 PAS 82 DRI 78 DEF 77 PHY 79 CDM R 3 ★ 3 UPGRADES +1 OVR +3 Shot Power 80 +3 Vision 80 +4 Long Shots 80 +3 Volleys 79</t>
        </is>
      </c>
      <c r="CX103" t="inlineStr">
        <is>
          <t>Excluded Rarity World Tour Silver Stars Overall Max. 82 Pace Max. 84 Details Submit by in 5 months Expiry in 5 months Coins Cost Free Points Cost Free</t>
        </is>
      </c>
      <c r="CY103" t="inlineStr">
        <is>
          <t>Excluded Rarity World Tour Silver Stars Overall Max. 82 Pace Max. 84 Details Submit by in 5 months Expiry in 5 months Coins Cost Free Points Cost Free</t>
        </is>
      </c>
      <c r="CZ103" t="inlineStr">
        <is>
          <t>Intro to Rewards EVOs</t>
        </is>
      </c>
      <c r="DA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Club Member Reward - EA SPORTS FC 26</t>
        </is>
      </c>
      <c r="D104" t="inlineStr">
        <is>
          <t>https://www.fut.gg/evolutions/1215-club-member-reward/</t>
        </is>
      </c>
      <c r="G104" t="inlineStr">
        <is>
          <t>83</t>
        </is>
      </c>
      <c r="I104" t="inlineStr">
        <is>
          <t>ST Details Submit by in 5 months Expiry in 5 months Coins Cost Free Points Cost Free</t>
        </is>
      </c>
      <c r="K104" t="inlineStr">
        <is>
          <t>World Tour Silver Stars</t>
        </is>
      </c>
      <c r="L104" t="inlineStr">
        <is>
          <t>World Tour Silver Stars</t>
        </is>
      </c>
      <c r="CV104" t="inlineStr">
        <is>
          <t>ST Advanced Forward +; ST Poacher +; ST Target Forward +</t>
        </is>
      </c>
      <c r="CW104"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04" t="inlineStr">
        <is>
          <t>Excluded Rarity World Tour Silver Stars Overall Max. 83 Position ST Details Submit by in 5 months Expiry in 5 months Coins Cost Free Points Cost Free</t>
        </is>
      </c>
      <c r="CY104" t="inlineStr">
        <is>
          <t>Excluded Rarity World Tour Silver Stars Overall Max. 83 Position ST Details Submit by in 5 months Expiry in 5 months Coins Cost Free Points Cost Free</t>
        </is>
      </c>
      <c r="CZ104" t="inlineStr">
        <is>
          <t>Club Member Reward</t>
        </is>
      </c>
      <c r="DA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2026-05-04T07:52:12Z</dcterms:modified>
  <cp:lastModifiedBy>영현 김</cp:lastModifiedBy>
</cp:coreProperties>
</file>