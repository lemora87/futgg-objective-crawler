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s>
  <fills count="8">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c r="H2" s="17" t="inlineStr">
        <is>
          <t>1위</t>
        </is>
      </c>
      <c r="I2" s="18" t="inlineStr">
        <is>
          <t>MAX</t>
        </is>
      </c>
      <c r="J2" s="19">
        <f>_xlfn.MAXIFS(INDEX(Unified_Matrix!$A:$ZZ,3,MATCH("Max "&amp;J$1,Unified_Matrix!$1:$1,0)):INDEX(Unified_Matrix!$A:$ZZ,300,MATCH("Max "&amp;J$1,Unified_Matrix!$1:$1,0)),INDEX(Unified_Matrix!$A:$ZZ,3,MATCH("Max "&amp;J$1,Unified_Matrix!$1:$1,0)):INDEX(Unified_Matrix!$A:$ZZ,300,MATCH("Max "&amp;J$1,Unified_Matrix!$1:$1,0)),"&gt;0")</f>
        <v/>
      </c>
      <c r="K2" s="19">
        <f>_xlfn.MAXIFS(INDEX(Unified_Matrix!$A:$ZZ,3,MATCH("Max "&amp;K$1,Unified_Matrix!$1:$1,0)):INDEX(Unified_Matrix!$A:$ZZ,300,MATCH("Max "&amp;K$1,Unified_Matrix!$1:$1,0)),INDEX(Unified_Matrix!$A:$ZZ,3,MATCH("Max "&amp;K$1,Unified_Matrix!$1:$1,0)):INDEX(Unified_Matrix!$A:$ZZ,300,MATCH("Max "&amp;K$1,Unified_Matrix!$1:$1,0)),"&gt;0")</f>
        <v/>
      </c>
      <c r="L2" s="19">
        <f>_xlfn.MAXIFS(INDEX(Unified_Matrix!$A:$ZZ,3,MATCH("Max "&amp;L$1,Unified_Matrix!$1:$1,0)):INDEX(Unified_Matrix!$A:$ZZ,300,MATCH("Max "&amp;L$1,Unified_Matrix!$1:$1,0)),INDEX(Unified_Matrix!$A:$ZZ,3,MATCH("Max "&amp;L$1,Unified_Matrix!$1:$1,0)):INDEX(Unified_Matrix!$A:$ZZ,300,MATCH("Max "&amp;L$1,Unified_Matrix!$1:$1,0)),"&gt;0")</f>
        <v/>
      </c>
      <c r="M2" s="19">
        <f>_xlfn.MAXIFS(INDEX(Unified_Matrix!$A:$ZZ,3,MATCH("Max "&amp;M$1,Unified_Matrix!$1:$1,0)):INDEX(Unified_Matrix!$A:$ZZ,300,MATCH("Max "&amp;M$1,Unified_Matrix!$1:$1,0)),INDEX(Unified_Matrix!$A:$ZZ,3,MATCH("Max "&amp;M$1,Unified_Matrix!$1:$1,0)):INDEX(Unified_Matrix!$A:$ZZ,300,MATCH("Max "&amp;M$1,Unified_Matrix!$1:$1,0)),"&gt;0")</f>
        <v/>
      </c>
      <c r="N2" s="19">
        <f>_xlfn.MAXIFS(INDEX(Unified_Matrix!$A:$ZZ,3,MATCH("Max "&amp;N$1,Unified_Matrix!$1:$1,0)):INDEX(Unified_Matrix!$A:$ZZ,300,MATCH("Max "&amp;N$1,Unified_Matrix!$1:$1,0)),INDEX(Unified_Matrix!$A:$ZZ,3,MATCH("Max "&amp;N$1,Unified_Matrix!$1:$1,0)):INDEX(Unified_Matrix!$A:$ZZ,300,MATCH("Max "&amp;N$1,Unified_Matrix!$1:$1,0)),"&gt;0")</f>
        <v/>
      </c>
      <c r="O2" s="19">
        <f>_xlfn.MAXIFS(INDEX(Unified_Matrix!$A:$ZZ,3,MATCH("Max "&amp;O$1,Unified_Matrix!$1:$1,0)):INDEX(Unified_Matrix!$A:$ZZ,300,MATCH("Max "&amp;O$1,Unified_Matrix!$1:$1,0)),INDEX(Unified_Matrix!$A:$ZZ,3,MATCH("Max "&amp;O$1,Unified_Matrix!$1:$1,0)):INDEX(Unified_Matrix!$A:$ZZ,300,MATCH("Max "&amp;O$1,Unified_Matrix!$1:$1,0)),"&gt;0")</f>
        <v/>
      </c>
      <c r="P2" s="19">
        <f>_xlfn.MAXIFS(INDEX(Unified_Matrix!$A:$ZZ,3,MATCH("Max "&amp;P$1,Unified_Matrix!$1:$1,0)):INDEX(Unified_Matrix!$A:$ZZ,300,MATCH("Max "&amp;P$1,Unified_Matrix!$1:$1,0)),INDEX(Unified_Matrix!$A:$ZZ,3,MATCH("Max "&amp;P$1,Unified_Matrix!$1:$1,0)):INDEX(Unified_Matrix!$A:$ZZ,300,MATCH("Max "&amp;P$1,Unified_Matrix!$1:$1,0)),"&gt;0")</f>
        <v/>
      </c>
      <c r="Q2" s="19">
        <f>_xlfn.MAXIFS(INDEX(Unified_Matrix!$A:$ZZ,3,MATCH("Max "&amp;Q$1,Unified_Matrix!$1:$1,0)):INDEX(Unified_Matrix!$A:$ZZ,300,MATCH("Max "&amp;Q$1,Unified_Matrix!$1:$1,0)),INDEX(Unified_Matrix!$A:$ZZ,3,MATCH("Max "&amp;Q$1,Unified_Matrix!$1:$1,0)):INDEX(Unified_Matrix!$A:$ZZ,300,MATCH("Max "&amp;Q$1,Unified_Matrix!$1:$1,0)),"&gt;0")</f>
        <v/>
      </c>
      <c r="R2" s="19">
        <f>_xlfn.MAXIFS(INDEX(Unified_Matrix!$A:$ZZ,3,MATCH("Max "&amp;R$1,Unified_Matrix!$1:$1,0)):INDEX(Unified_Matrix!$A:$ZZ,300,MATCH("Max "&amp;R$1,Unified_Matrix!$1:$1,0)),INDEX(Unified_Matrix!$A:$ZZ,3,MATCH("Max "&amp;R$1,Unified_Matrix!$1:$1,0)):INDEX(Unified_Matrix!$A:$ZZ,300,MATCH("Max "&amp;R$1,Unified_Matrix!$1:$1,0)),"&gt;0")</f>
        <v/>
      </c>
      <c r="S2" s="19">
        <f>_xlfn.MAXIFS(INDEX(Unified_Matrix!$A:$ZZ,3,MATCH("Max "&amp;S$1,Unified_Matrix!$1:$1,0)):INDEX(Unified_Matrix!$A:$ZZ,300,MATCH("Max "&amp;S$1,Unified_Matrix!$1:$1,0)),INDEX(Unified_Matrix!$A:$ZZ,3,MATCH("Max "&amp;S$1,Unified_Matrix!$1:$1,0)):INDEX(Unified_Matrix!$A:$ZZ,300,MATCH("Max "&amp;S$1,Unified_Matrix!$1:$1,0)),"&gt;0")</f>
        <v/>
      </c>
      <c r="T2" s="19">
        <f>_xlfn.MAXIFS(INDEX(Unified_Matrix!$A:$ZZ,3,MATCH("Max "&amp;T$1,Unified_Matrix!$1:$1,0)):INDEX(Unified_Matrix!$A:$ZZ,300,MATCH("Max "&amp;T$1,Unified_Matrix!$1:$1,0)),INDEX(Unified_Matrix!$A:$ZZ,3,MATCH("Max "&amp;T$1,Unified_Matrix!$1:$1,0)):INDEX(Unified_Matrix!$A:$ZZ,300,MATCH("Max "&amp;T$1,Unified_Matrix!$1:$1,0)),"&gt;0")</f>
        <v/>
      </c>
      <c r="U2" s="19">
        <f>_xlfn.MAXIFS(INDEX(Unified_Matrix!$A:$ZZ,3,MATCH("Max "&amp;U$1,Unified_Matrix!$1:$1,0)):INDEX(Unified_Matrix!$A:$ZZ,300,MATCH("Max "&amp;U$1,Unified_Matrix!$1:$1,0)),INDEX(Unified_Matrix!$A:$ZZ,3,MATCH("Max "&amp;U$1,Unified_Matrix!$1:$1,0)):INDEX(Unified_Matrix!$A:$ZZ,300,MATCH("Max "&amp;U$1,Unified_Matrix!$1:$1,0)),"&gt;0")</f>
        <v/>
      </c>
      <c r="V2" s="19">
        <f>_xlfn.MAXIFS(INDEX(Unified_Matrix!$A:$ZZ,3,MATCH("Max "&amp;V$1,Unified_Matrix!$1:$1,0)):INDEX(Unified_Matrix!$A:$ZZ,300,MATCH("Max "&amp;V$1,Unified_Matrix!$1:$1,0)),INDEX(Unified_Matrix!$A:$ZZ,3,MATCH("Max "&amp;V$1,Unified_Matrix!$1:$1,0)):INDEX(Unified_Matrix!$A:$ZZ,300,MATCH("Max "&amp;V$1,Unified_Matrix!$1:$1,0)),"&gt;0")</f>
        <v/>
      </c>
      <c r="W2" s="19">
        <f>_xlfn.MAXIFS(INDEX(Unified_Matrix!$A:$ZZ,3,MATCH("Max "&amp;W$1,Unified_Matrix!$1:$1,0)):INDEX(Unified_Matrix!$A:$ZZ,300,MATCH("Max "&amp;W$1,Unified_Matrix!$1:$1,0)),INDEX(Unified_Matrix!$A:$ZZ,3,MATCH("Max "&amp;W$1,Unified_Matrix!$1:$1,0)):INDEX(Unified_Matrix!$A:$ZZ,300,MATCH("Max "&amp;W$1,Unified_Matrix!$1:$1,0)),"&gt;0")</f>
        <v/>
      </c>
      <c r="X2" s="19">
        <f>_xlfn.MAXIFS(INDEX(Unified_Matrix!$A:$ZZ,3,MATCH("Max "&amp;X$1,Unified_Matrix!$1:$1,0)):INDEX(Unified_Matrix!$A:$ZZ,300,MATCH("Max "&amp;X$1,Unified_Matrix!$1:$1,0)),INDEX(Unified_Matrix!$A:$ZZ,3,MATCH("Max "&amp;X$1,Unified_Matrix!$1:$1,0)):INDEX(Unified_Matrix!$A:$ZZ,300,MATCH("Max "&amp;X$1,Unified_Matrix!$1:$1,0)),"&gt;0")</f>
        <v/>
      </c>
      <c r="Y2" s="19">
        <f>_xlfn.MAXIFS(INDEX(Unified_Matrix!$A:$ZZ,3,MATCH("Max "&amp;Y$1,Unified_Matrix!$1:$1,0)):INDEX(Unified_Matrix!$A:$ZZ,300,MATCH("Max "&amp;Y$1,Unified_Matrix!$1:$1,0)),INDEX(Unified_Matrix!$A:$ZZ,3,MATCH("Max "&amp;Y$1,Unified_Matrix!$1:$1,0)):INDEX(Unified_Matrix!$A:$ZZ,300,MATCH("Max "&amp;Y$1,Unified_Matrix!$1:$1,0)),"&gt;0")</f>
        <v/>
      </c>
      <c r="Z2" s="19">
        <f>_xlfn.MAXIFS(INDEX(Unified_Matrix!$A:$ZZ,3,MATCH("Max "&amp;Z$1,Unified_Matrix!$1:$1,0)):INDEX(Unified_Matrix!$A:$ZZ,300,MATCH("Max "&amp;Z$1,Unified_Matrix!$1:$1,0)),INDEX(Unified_Matrix!$A:$ZZ,3,MATCH("Max "&amp;Z$1,Unified_Matrix!$1:$1,0)):INDEX(Unified_Matrix!$A:$ZZ,300,MATCH("Max "&amp;Z$1,Unified_Matrix!$1:$1,0)),"&gt;0")</f>
        <v/>
      </c>
      <c r="AA2" s="19">
        <f>_xlfn.MAXIFS(INDEX(Unified_Matrix!$A:$ZZ,3,MATCH("Max "&amp;AA$1,Unified_Matrix!$1:$1,0)):INDEX(Unified_Matrix!$A:$ZZ,300,MATCH("Max "&amp;AA$1,Unified_Matrix!$1:$1,0)),INDEX(Unified_Matrix!$A:$ZZ,3,MATCH("Max "&amp;AA$1,Unified_Matrix!$1:$1,0)):INDEX(Unified_Matrix!$A:$ZZ,300,MATCH("Max "&amp;AA$1,Unified_Matrix!$1:$1,0)),"&gt;0")</f>
        <v/>
      </c>
      <c r="AB2" s="19">
        <f>_xlfn.MAXIFS(INDEX(Unified_Matrix!$A:$ZZ,3,MATCH("Max "&amp;AB$1,Unified_Matrix!$1:$1,0)):INDEX(Unified_Matrix!$A:$ZZ,300,MATCH("Max "&amp;AB$1,Unified_Matrix!$1:$1,0)),INDEX(Unified_Matrix!$A:$ZZ,3,MATCH("Max "&amp;AB$1,Unified_Matrix!$1:$1,0)):INDEX(Unified_Matrix!$A:$ZZ,300,MATCH("Max "&amp;AB$1,Unified_Matrix!$1:$1,0)),"&gt;0")</f>
        <v/>
      </c>
      <c r="AC2" s="19">
        <f>_xlfn.MAXIFS(INDEX(Unified_Matrix!$A:$ZZ,3,MATCH("Max "&amp;AC$1,Unified_Matrix!$1:$1,0)):INDEX(Unified_Matrix!$A:$ZZ,300,MATCH("Max "&amp;AC$1,Unified_Matrix!$1:$1,0)),INDEX(Unified_Matrix!$A:$ZZ,3,MATCH("Max "&amp;AC$1,Unified_Matrix!$1:$1,0)):INDEX(Unified_Matrix!$A:$ZZ,300,MATCH("Max "&amp;AC$1,Unified_Matrix!$1:$1,0)),"&gt;0")</f>
        <v/>
      </c>
      <c r="AD2" s="19">
        <f>_xlfn.MAXIFS(INDEX(Unified_Matrix!$A:$ZZ,3,MATCH("Max "&amp;AD$1,Unified_Matrix!$1:$1,0)):INDEX(Unified_Matrix!$A:$ZZ,300,MATCH("Max "&amp;AD$1,Unified_Matrix!$1:$1,0)),INDEX(Unified_Matrix!$A:$ZZ,3,MATCH("Max "&amp;AD$1,Unified_Matrix!$1:$1,0)):INDEX(Unified_Matrix!$A:$ZZ,300,MATCH("Max "&amp;AD$1,Unified_Matrix!$1:$1,0)),"&gt;0")</f>
        <v/>
      </c>
      <c r="AE2" s="19">
        <f>_xlfn.MAXIFS(INDEX(Unified_Matrix!$A:$ZZ,3,MATCH("Max "&amp;AE$1,Unified_Matrix!$1:$1,0)):INDEX(Unified_Matrix!$A:$ZZ,300,MATCH("Max "&amp;AE$1,Unified_Matrix!$1:$1,0)),INDEX(Unified_Matrix!$A:$ZZ,3,MATCH("Max "&amp;AE$1,Unified_Matrix!$1:$1,0)):INDEX(Unified_Matrix!$A:$ZZ,300,MATCH("Max "&amp;AE$1,Unified_Matrix!$1:$1,0)),"&gt;0")</f>
        <v/>
      </c>
      <c r="AF2" s="19">
        <f>_xlfn.MAXIFS(INDEX(Unified_Matrix!$A:$ZZ,3,MATCH("Max "&amp;AF$1,Unified_Matrix!$1:$1,0)):INDEX(Unified_Matrix!$A:$ZZ,300,MATCH("Max "&amp;AF$1,Unified_Matrix!$1:$1,0)),INDEX(Unified_Matrix!$A:$ZZ,3,MATCH("Max "&amp;AF$1,Unified_Matrix!$1:$1,0)):INDEX(Unified_Matrix!$A:$ZZ,300,MATCH("Max "&amp;AF$1,Unified_Matrix!$1:$1,0)),"&gt;0")</f>
        <v/>
      </c>
      <c r="AG2" s="19">
        <f>_xlfn.MAXIFS(INDEX(Unified_Matrix!$A:$ZZ,3,MATCH("Max "&amp;AG$1,Unified_Matrix!$1:$1,0)):INDEX(Unified_Matrix!$A:$ZZ,300,MATCH("Max "&amp;AG$1,Unified_Matrix!$1:$1,0)),INDEX(Unified_Matrix!$A:$ZZ,3,MATCH("Max "&amp;AG$1,Unified_Matrix!$1:$1,0)):INDEX(Unified_Matrix!$A:$ZZ,300,MATCH("Max "&amp;AG$1,Unified_Matrix!$1:$1,0)),"&gt;0")</f>
        <v/>
      </c>
      <c r="AH2" s="19">
        <f>_xlfn.MAXIFS(INDEX(Unified_Matrix!$A:$ZZ,3,MATCH("Max "&amp;AH$1,Unified_Matrix!$1:$1,0)):INDEX(Unified_Matrix!$A:$ZZ,300,MATCH("Max "&amp;AH$1,Unified_Matrix!$1:$1,0)),INDEX(Unified_Matrix!$A:$ZZ,3,MATCH("Max "&amp;AH$1,Unified_Matrix!$1:$1,0)):INDEX(Unified_Matrix!$A:$ZZ,300,MATCH("Max "&amp;AH$1,Unified_Matrix!$1:$1,0)),"&gt;0")</f>
        <v/>
      </c>
      <c r="AI2" s="19">
        <f>_xlfn.MAXIFS(INDEX(Unified_Matrix!$A:$ZZ,3,MATCH("Max "&amp;AI$1,Unified_Matrix!$1:$1,0)):INDEX(Unified_Matrix!$A:$ZZ,300,MATCH("Max "&amp;AI$1,Unified_Matrix!$1:$1,0)),INDEX(Unified_Matrix!$A:$ZZ,3,MATCH("Max "&amp;AI$1,Unified_Matrix!$1:$1,0)):INDEX(Unified_Matrix!$A:$ZZ,300,MATCH("Max "&amp;AI$1,Unified_Matrix!$1:$1,0)),"&gt;0")</f>
        <v/>
      </c>
      <c r="AJ2" s="19">
        <f>_xlfn.MAXIFS(INDEX(Unified_Matrix!$A:$ZZ,3,MATCH("Max "&amp;AJ$1,Unified_Matrix!$1:$1,0)):INDEX(Unified_Matrix!$A:$ZZ,300,MATCH("Max "&amp;AJ$1,Unified_Matrix!$1:$1,0)),INDEX(Unified_Matrix!$A:$ZZ,3,MATCH("Max "&amp;AJ$1,Unified_Matrix!$1:$1,0)):INDEX(Unified_Matrix!$A:$ZZ,300,MATCH("Max "&amp;AJ$1,Unified_Matrix!$1:$1,0)),"&gt;0")</f>
        <v/>
      </c>
      <c r="AK2" s="19">
        <f>_xlfn.MAXIFS(INDEX(Unified_Matrix!$A:$ZZ,3,MATCH("Max "&amp;AK$1,Unified_Matrix!$1:$1,0)):INDEX(Unified_Matrix!$A:$ZZ,300,MATCH("Max "&amp;AK$1,Unified_Matrix!$1:$1,0)),INDEX(Unified_Matrix!$A:$ZZ,3,MATCH("Max "&amp;AK$1,Unified_Matrix!$1:$1,0)):INDEX(Unified_Matrix!$A:$ZZ,300,MATCH("Max "&amp;AK$1,Unified_Matrix!$1:$1,0)),"&gt;0")</f>
        <v/>
      </c>
      <c r="AL2" s="19">
        <f>_xlfn.MAXIFS(INDEX(Unified_Matrix!$A:$ZZ,3,MATCH("Max "&amp;AL$1,Unified_Matrix!$1:$1,0)):INDEX(Unified_Matrix!$A:$ZZ,300,MATCH("Max "&amp;AL$1,Unified_Matrix!$1:$1,0)),INDEX(Unified_Matrix!$A:$ZZ,3,MATCH("Max "&amp;AL$1,Unified_Matrix!$1:$1,0)):INDEX(Unified_Matrix!$A:$ZZ,300,MATCH("Max "&amp;AL$1,Unified_Matrix!$1:$1,0)),"&gt;0")</f>
        <v/>
      </c>
      <c r="AM2" s="19">
        <f>_xlfn.MAXIFS(INDEX(Unified_Matrix!$A:$ZZ,3,MATCH("Max "&amp;AM$1,Unified_Matrix!$1:$1,0)):INDEX(Unified_Matrix!$A:$ZZ,300,MATCH("Max "&amp;AM$1,Unified_Matrix!$1:$1,0)),INDEX(Unified_Matrix!$A:$ZZ,3,MATCH("Max "&amp;AM$1,Unified_Matrix!$1:$1,0)):INDEX(Unified_Matrix!$A:$ZZ,300,MATCH("Max "&amp;AM$1,Unified_Matrix!$1:$1,0)),"&gt;0")</f>
        <v/>
      </c>
      <c r="AN2" s="19">
        <f>_xlfn.MAXIFS(INDEX(Unified_Matrix!$A:$ZZ,3,MATCH("Max "&amp;AN$1,Unified_Matrix!$1:$1,0)):INDEX(Unified_Matrix!$A:$ZZ,300,MATCH("Max "&amp;AN$1,Unified_Matrix!$1:$1,0)),INDEX(Unified_Matrix!$A:$ZZ,3,MATCH("Max "&amp;AN$1,Unified_Matrix!$1:$1,0)):INDEX(Unified_Matrix!$A:$ZZ,300,MATCH("Max "&amp;AN$1,Unified_Matrix!$1:$1,0)),"&gt;0")</f>
        <v/>
      </c>
      <c r="AO2" s="19">
        <f>_xlfn.MAXIFS(INDEX(Unified_Matrix!$A:$ZZ,3,MATCH("Max "&amp;AO$1,Unified_Matrix!$1:$1,0)):INDEX(Unified_Matrix!$A:$ZZ,300,MATCH("Max "&amp;AO$1,Unified_Matrix!$1:$1,0)),INDEX(Unified_Matrix!$A:$ZZ,3,MATCH("Max "&amp;AO$1,Unified_Matrix!$1:$1,0)):INDEX(Unified_Matrix!$A:$ZZ,300,MATCH("Max "&amp;AO$1,Unified_Matrix!$1:$1,0)),"&gt;0")</f>
        <v/>
      </c>
      <c r="AP2" s="19">
        <f>_xlfn.MAXIFS(INDEX(Unified_Matrix!$A:$ZZ,3,MATCH("Max "&amp;AP$1,Unified_Matrix!$1:$1,0)):INDEX(Unified_Matrix!$A:$ZZ,300,MATCH("Max "&amp;AP$1,Unified_Matrix!$1:$1,0)),INDEX(Unified_Matrix!$A:$ZZ,3,MATCH("Max "&amp;AP$1,Unified_Matrix!$1:$1,0)):INDEX(Unified_Matrix!$A:$ZZ,300,MATCH("Max "&amp;AP$1,Unified_Matrix!$1:$1,0)),"&gt;0")</f>
        <v/>
      </c>
      <c r="AQ2" s="19">
        <f>_xlfn.MAXIFS(INDEX(Unified_Matrix!$A:$ZZ,3,MATCH("Max "&amp;AQ$1,Unified_Matrix!$1:$1,0)):INDEX(Unified_Matrix!$A:$ZZ,300,MATCH("Max "&amp;AQ$1,Unified_Matrix!$1:$1,0)),INDEX(Unified_Matrix!$A:$ZZ,3,MATCH("Max "&amp;AQ$1,Unified_Matrix!$1:$1,0)):INDEX(Unified_Matrix!$A:$ZZ,300,MATCH("Max "&amp;AQ$1,Unified_Matrix!$1:$1,0)),"&gt;0")</f>
        <v/>
      </c>
      <c r="AR2" s="19">
        <f>_xlfn.MAXIFS(INDEX(Unified_Matrix!$A:$ZZ,3,MATCH("Max "&amp;AR$1,Unified_Matrix!$1:$1,0)):INDEX(Unified_Matrix!$A:$ZZ,300,MATCH("Max "&amp;AR$1,Unified_Matrix!$1:$1,0)),INDEX(Unified_Matrix!$A:$ZZ,3,MATCH("Max "&amp;AR$1,Unified_Matrix!$1:$1,0)):INDEX(Unified_Matrix!$A:$ZZ,300,MATCH("Max "&amp;AR$1,Unified_Matrix!$1:$1,0)),"&gt;0")</f>
        <v/>
      </c>
      <c r="AS2" s="19">
        <f>_xlfn.MAXIFS(INDEX(Unified_Matrix!$A:$ZZ,3,MATCH("Max "&amp;AS$1,Unified_Matrix!$1:$1,0)):INDEX(Unified_Matrix!$A:$ZZ,300,MATCH("Max "&amp;AS$1,Unified_Matrix!$1:$1,0)),INDEX(Unified_Matrix!$A:$ZZ,3,MATCH("Max "&amp;AS$1,Unified_Matrix!$1:$1,0)):INDEX(Unified_Matrix!$A:$ZZ,300,MATCH("Max "&amp;AS$1,Unified_Matrix!$1:$1,0)),"&gt;0")</f>
        <v/>
      </c>
      <c r="AT2" s="19">
        <f>_xlfn.MAXIFS(INDEX(Unified_Matrix!$A:$ZZ,3,MATCH("Max "&amp;AT$1,Unified_Matrix!$1:$1,0)):INDEX(Unified_Matrix!$A:$ZZ,300,MATCH("Max "&amp;AT$1,Unified_Matrix!$1:$1,0)),INDEX(Unified_Matrix!$A:$ZZ,3,MATCH("Max "&amp;AT$1,Unified_Matrix!$1:$1,0)):INDEX(Unified_Matrix!$A:$ZZ,300,MATCH("Max "&amp;AT$1,Unified_Matrix!$1:$1,0)),"&gt;0")</f>
        <v/>
      </c>
    </row>
    <row r="3" ht="78" customHeight="1">
      <c r="H3" s="38" t="n"/>
      <c r="I3" s="18" t="inlineStr">
        <is>
          <t>진화명</t>
        </is>
      </c>
      <c r="J3" s="20">
        <f t="array" ref="J3">IF(J2=0,"",_xlfn.TEXTJOIN(CHAR(10),TRUE,IF((INDEX(Unified_Matrix!$A:$ZZ,3,MATCH("Max "&amp;J$1,Unified_Matrix!$1:$1,0)):INDEX(Unified_Matrix!$A:$ZZ,300,MATCH("Max "&amp;J$1,Unified_Matrix!$1:$1,0))=J2)*(INDEX(Unified_Matrix!$A:$ZZ,3,MATCH("Max "&amp;J$1,Unified_Matrix!$1:$1,0)):INDEX(Unified_Matrix!$A:$ZZ,300,MATCH("Max "&amp;J$1,Unified_Matrix!$1:$1,0))&gt;0),INDEX(Unified_Matrix!$A:$ZZ,3,MATCH("Evolution_Name",Unified_Matrix!$1:$1,0)):INDEX(Unified_Matrix!$A:$ZZ,300,MATCH("Evolution_Name",Unified_Matrix!$1:$1,0)),"")))</f>
        <v/>
      </c>
      <c r="K3" s="20">
        <f t="array" ref="K3">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"&amp;K$1,Unified_Matrix!$1:$1,0))&gt;0),INDEX(Unified_Matrix!$A:$ZZ,3,MATCH("Evolution_Name",Unified_Matrix!$1:$1,0)):INDEX(Unified_Matrix!$A:$ZZ,300,MATCH("Evolution_Name",Unified_Matrix!$1:$1,0)),"")))</f>
        <v/>
      </c>
      <c r="L3" s="20">
        <f t="array" ref="L3">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"&amp;L$1,Unified_Matrix!$1:$1,0))&gt;0),INDEX(Unified_Matrix!$A:$ZZ,3,MATCH("Evolution_Name",Unified_Matrix!$1:$1,0)):INDEX(Unified_Matrix!$A:$ZZ,300,MATCH("Evolution_Name",Unified_Matrix!$1:$1,0)),"")))</f>
        <v/>
      </c>
      <c r="M3" s="20">
        <f t="array" ref="M3">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"&amp;M$1,Unified_Matrix!$1:$1,0))&gt;0),INDEX(Unified_Matrix!$A:$ZZ,3,MATCH("Evolution_Name",Unified_Matrix!$1:$1,0)):INDEX(Unified_Matrix!$A:$ZZ,300,MATCH("Evolution_Name",Unified_Matrix!$1:$1,0)),"")))</f>
        <v/>
      </c>
      <c r="N3" s="20">
        <f t="array" ref="N3">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"&amp;N$1,Unified_Matrix!$1:$1,0))&gt;0),INDEX(Unified_Matrix!$A:$ZZ,3,MATCH("Evolution_Name",Unified_Matrix!$1:$1,0)):INDEX(Unified_Matrix!$A:$ZZ,300,MATCH("Evolution_Name",Unified_Matrix!$1:$1,0)),"")))</f>
        <v/>
      </c>
      <c r="O3" s="20">
        <f t="array" ref="O3">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"&amp;O$1,Unified_Matrix!$1:$1,0))&gt;0),INDEX(Unified_Matrix!$A:$ZZ,3,MATCH("Evolution_Name",Unified_Matrix!$1:$1,0)):INDEX(Unified_Matrix!$A:$ZZ,300,MATCH("Evolution_Name",Unified_Matrix!$1:$1,0)),"")))</f>
        <v/>
      </c>
      <c r="P3" s="20">
        <f t="array" ref="P3">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"&amp;P$1,Unified_Matrix!$1:$1,0))&gt;0),INDEX(Unified_Matrix!$A:$ZZ,3,MATCH("Evolution_Name",Unified_Matrix!$1:$1,0)):INDEX(Unified_Matrix!$A:$ZZ,300,MATCH("Evolution_Name",Unified_Matrix!$1:$1,0)),"")))</f>
        <v/>
      </c>
      <c r="Q3" s="20">
        <f t="array" ref="Q3">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"&amp;Q$1,Unified_Matrix!$1:$1,0))&gt;0),INDEX(Unified_Matrix!$A:$ZZ,3,MATCH("Evolution_Name",Unified_Matrix!$1:$1,0)):INDEX(Unified_Matrix!$A:$ZZ,300,MATCH("Evolution_Name",Unified_Matrix!$1:$1,0)),"")))</f>
        <v/>
      </c>
      <c r="R3" s="20">
        <f t="array" ref="R3">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"&amp;R$1,Unified_Matrix!$1:$1,0))&gt;0),INDEX(Unified_Matrix!$A:$ZZ,3,MATCH("Evolution_Name",Unified_Matrix!$1:$1,0)):INDEX(Unified_Matrix!$A:$ZZ,300,MATCH("Evolution_Name",Unified_Matrix!$1:$1,0)),"")))</f>
        <v/>
      </c>
      <c r="S3" s="20">
        <f t="array" ref="S3">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"&amp;S$1,Unified_Matrix!$1:$1,0))&gt;0),INDEX(Unified_Matrix!$A:$ZZ,3,MATCH("Evolution_Name",Unified_Matrix!$1:$1,0)):INDEX(Unified_Matrix!$A:$ZZ,300,MATCH("Evolution_Name",Unified_Matrix!$1:$1,0)),"")))</f>
        <v/>
      </c>
      <c r="T3" s="20">
        <f t="array" ref="T3">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"&amp;T$1,Unified_Matrix!$1:$1,0))&gt;0),INDEX(Unified_Matrix!$A:$ZZ,3,MATCH("Evolution_Name",Unified_Matrix!$1:$1,0)):INDEX(Unified_Matrix!$A:$ZZ,300,MATCH("Evolution_Name",Unified_Matrix!$1:$1,0)),"")))</f>
        <v/>
      </c>
      <c r="U3" s="20">
        <f t="array" ref="U3">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"&amp;U$1,Unified_Matrix!$1:$1,0))&gt;0),INDEX(Unified_Matrix!$A:$ZZ,3,MATCH("Evolution_Name",Unified_Matrix!$1:$1,0)):INDEX(Unified_Matrix!$A:$ZZ,300,MATCH("Evolution_Name",Unified_Matrix!$1:$1,0)),"")))</f>
        <v/>
      </c>
      <c r="V3" s="20">
        <f t="array" ref="V3">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"&amp;V$1,Unified_Matrix!$1:$1,0))&gt;0),INDEX(Unified_Matrix!$A:$ZZ,3,MATCH("Evolution_Name",Unified_Matrix!$1:$1,0)):INDEX(Unified_Matrix!$A:$ZZ,300,MATCH("Evolution_Name",Unified_Matrix!$1:$1,0)),"")))</f>
        <v/>
      </c>
      <c r="W3" s="20">
        <f t="array" ref="W3">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"&amp;W$1,Unified_Matrix!$1:$1,0))&gt;0),INDEX(Unified_Matrix!$A:$ZZ,3,MATCH("Evolution_Name",Unified_Matrix!$1:$1,0)):INDEX(Unified_Matrix!$A:$ZZ,300,MATCH("Evolution_Name",Unified_Matrix!$1:$1,0)),"")))</f>
        <v/>
      </c>
      <c r="X3" s="20">
        <f t="array" ref="X3">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"&amp;X$1,Unified_Matrix!$1:$1,0))&gt;0),INDEX(Unified_Matrix!$A:$ZZ,3,MATCH("Evolution_Name",Unified_Matrix!$1:$1,0)):INDEX(Unified_Matrix!$A:$ZZ,300,MATCH("Evolution_Name",Unified_Matrix!$1:$1,0)),"")))</f>
        <v/>
      </c>
      <c r="Y3" s="20">
        <f t="array" ref="Y3">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"&amp;Y$1,Unified_Matrix!$1:$1,0))&gt;0),INDEX(Unified_Matrix!$A:$ZZ,3,MATCH("Evolution_Name",Unified_Matrix!$1:$1,0)):INDEX(Unified_Matrix!$A:$ZZ,300,MATCH("Evolution_Name",Unified_Matrix!$1:$1,0)),"")))</f>
        <v/>
      </c>
      <c r="Z3" s="20">
        <f t="array" ref="Z3">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"&amp;Z$1,Unified_Matrix!$1:$1,0))&gt;0),INDEX(Unified_Matrix!$A:$ZZ,3,MATCH("Evolution_Name",Unified_Matrix!$1:$1,0)):INDEX(Unified_Matrix!$A:$ZZ,300,MATCH("Evolution_Name",Unified_Matrix!$1:$1,0)),"")))</f>
        <v/>
      </c>
      <c r="AA3" s="20">
        <f t="array" ref="AA3">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"&amp;AA$1,Unified_Matrix!$1:$1,0))&gt;0),INDEX(Unified_Matrix!$A:$ZZ,3,MATCH("Evolution_Name",Unified_Matrix!$1:$1,0)):INDEX(Unified_Matrix!$A:$ZZ,300,MATCH("Evolution_Name",Unified_Matrix!$1:$1,0)),"")))</f>
        <v/>
      </c>
      <c r="AB3" s="20">
        <f t="array" ref="AB3">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"&amp;AB$1,Unified_Matrix!$1:$1,0))&gt;0),INDEX(Unified_Matrix!$A:$ZZ,3,MATCH("Evolution_Name",Unified_Matrix!$1:$1,0)):INDEX(Unified_Matrix!$A:$ZZ,300,MATCH("Evolution_Name",Unified_Matrix!$1:$1,0)),"")))</f>
        <v/>
      </c>
      <c r="AC3" s="20">
        <f t="array" ref="AC3">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"&amp;AC$1,Unified_Matrix!$1:$1,0))&gt;0),INDEX(Unified_Matrix!$A:$ZZ,3,MATCH("Evolution_Name",Unified_Matrix!$1:$1,0)):INDEX(Unified_Matrix!$A:$ZZ,300,MATCH("Evolution_Name",Unified_Matrix!$1:$1,0)),"")))</f>
        <v/>
      </c>
      <c r="AD3" s="20">
        <f t="array" ref="AD3">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"&amp;AD$1,Unified_Matrix!$1:$1,0))&gt;0),INDEX(Unified_Matrix!$A:$ZZ,3,MATCH("Evolution_Name",Unified_Matrix!$1:$1,0)):INDEX(Unified_Matrix!$A:$ZZ,300,MATCH("Evolution_Name",Unified_Matrix!$1:$1,0)),"")))</f>
        <v/>
      </c>
      <c r="AE3" s="20">
        <f t="array" ref="AE3">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"&amp;AE$1,Unified_Matrix!$1:$1,0))&gt;0),INDEX(Unified_Matrix!$A:$ZZ,3,MATCH("Evolution_Name",Unified_Matrix!$1:$1,0)):INDEX(Unified_Matrix!$A:$ZZ,300,MATCH("Evolution_Name",Unified_Matrix!$1:$1,0)),"")))</f>
        <v/>
      </c>
      <c r="AF3" s="20">
        <f t="array" ref="AF3">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"&amp;AF$1,Unified_Matrix!$1:$1,0))&gt;0),INDEX(Unified_Matrix!$A:$ZZ,3,MATCH("Evolution_Name",Unified_Matrix!$1:$1,0)):INDEX(Unified_Matrix!$A:$ZZ,300,MATCH("Evolution_Name",Unified_Matrix!$1:$1,0)),"")))</f>
        <v/>
      </c>
      <c r="AG3" s="20">
        <f t="array" ref="AG3">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"&amp;AG$1,Unified_Matrix!$1:$1,0))&gt;0),INDEX(Unified_Matrix!$A:$ZZ,3,MATCH("Evolution_Name",Unified_Matrix!$1:$1,0)):INDEX(Unified_Matrix!$A:$ZZ,300,MATCH("Evolution_Name",Unified_Matrix!$1:$1,0)),"")))</f>
        <v/>
      </c>
      <c r="AH3" s="20">
        <f t="array" ref="AH3">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"&amp;AH$1,Unified_Matrix!$1:$1,0))&gt;0),INDEX(Unified_Matrix!$A:$ZZ,3,MATCH("Evolution_Name",Unified_Matrix!$1:$1,0)):INDEX(Unified_Matrix!$A:$ZZ,300,MATCH("Evolution_Name",Unified_Matrix!$1:$1,0)),"")))</f>
        <v/>
      </c>
      <c r="AI3" s="20">
        <f t="array" ref="AI3">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"&amp;AI$1,Unified_Matrix!$1:$1,0))&gt;0),INDEX(Unified_Matrix!$A:$ZZ,3,MATCH("Evolution_Name",Unified_Matrix!$1:$1,0)):INDEX(Unified_Matrix!$A:$ZZ,300,MATCH("Evolution_Name",Unified_Matrix!$1:$1,0)),"")))</f>
        <v/>
      </c>
      <c r="AJ3" s="20">
        <f t="array" ref="AJ3">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"&amp;AJ$1,Unified_Matrix!$1:$1,0))&gt;0),INDEX(Unified_Matrix!$A:$ZZ,3,MATCH("Evolution_Name",Unified_Matrix!$1:$1,0)):INDEX(Unified_Matrix!$A:$ZZ,300,MATCH("Evolution_Name",Unified_Matrix!$1:$1,0)),"")))</f>
        <v/>
      </c>
      <c r="AK3" s="20">
        <f t="array" ref="AK3">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"&amp;AK$1,Unified_Matrix!$1:$1,0))&gt;0),INDEX(Unified_Matrix!$A:$ZZ,3,MATCH("Evolution_Name",Unified_Matrix!$1:$1,0)):INDEX(Unified_Matrix!$A:$ZZ,300,MATCH("Evolution_Name",Unified_Matrix!$1:$1,0)),"")))</f>
        <v/>
      </c>
      <c r="AL3" s="20">
        <f t="array" ref="AL3">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"&amp;AL$1,Unified_Matrix!$1:$1,0))&gt;0),INDEX(Unified_Matrix!$A:$ZZ,3,MATCH("Evolution_Name",Unified_Matrix!$1:$1,0)):INDEX(Unified_Matrix!$A:$ZZ,300,MATCH("Evolution_Name",Unified_Matrix!$1:$1,0)),"")))</f>
        <v/>
      </c>
      <c r="AM3" s="20">
        <f t="array" ref="AM3">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"&amp;AM$1,Unified_Matrix!$1:$1,0))&gt;0),INDEX(Unified_Matrix!$A:$ZZ,3,MATCH("Evolution_Name",Unified_Matrix!$1:$1,0)):INDEX(Unified_Matrix!$A:$ZZ,300,MATCH("Evolution_Name",Unified_Matrix!$1:$1,0)),"")))</f>
        <v/>
      </c>
      <c r="AN3" s="20">
        <f t="array" ref="AN3">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"&amp;AN$1,Unified_Matrix!$1:$1,0))&gt;0),INDEX(Unified_Matrix!$A:$ZZ,3,MATCH("Evolution_Name",Unified_Matrix!$1:$1,0)):INDEX(Unified_Matrix!$A:$ZZ,300,MATCH("Evolution_Name",Unified_Matrix!$1:$1,0)),"")))</f>
        <v/>
      </c>
      <c r="AO3" s="20">
        <f t="array" ref="AO3">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"&amp;AO$1,Unified_Matrix!$1:$1,0))&gt;0),INDEX(Unified_Matrix!$A:$ZZ,3,MATCH("Evolution_Name",Unified_Matrix!$1:$1,0)):INDEX(Unified_Matrix!$A:$ZZ,300,MATCH("Evolution_Name",Unified_Matrix!$1:$1,0)),"")))</f>
        <v/>
      </c>
      <c r="AP3" s="20">
        <f t="array" ref="AP3">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"&amp;AP$1,Unified_Matrix!$1:$1,0))&gt;0),INDEX(Unified_Matrix!$A:$ZZ,3,MATCH("Evolution_Name",Unified_Matrix!$1:$1,0)):INDEX(Unified_Matrix!$A:$ZZ,300,MATCH("Evolution_Name",Unified_Matrix!$1:$1,0)),"")))</f>
        <v/>
      </c>
      <c r="AQ3" s="20">
        <f t="array" ref="AQ3">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"&amp;AQ$1,Unified_Matrix!$1:$1,0))&gt;0),INDEX(Unified_Matrix!$A:$ZZ,3,MATCH("Evolution_Name",Unified_Matrix!$1:$1,0)):INDEX(Unified_Matrix!$A:$ZZ,300,MATCH("Evolution_Name",Unified_Matrix!$1:$1,0)),"")))</f>
        <v/>
      </c>
      <c r="AR3" s="20">
        <f t="array" ref="AR3">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"&amp;AR$1,Unified_Matrix!$1:$1,0))&gt;0),INDEX(Unified_Matrix!$A:$ZZ,3,MATCH("Evolution_Name",Unified_Matrix!$1:$1,0)):INDEX(Unified_Matrix!$A:$ZZ,300,MATCH("Evolution_Name",Unified_Matrix!$1:$1,0)),"")))</f>
        <v/>
      </c>
      <c r="AS3" s="20">
        <f t="array" ref="AS3">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"&amp;AS$1,Unified_Matrix!$1:$1,0))&gt;0),INDEX(Unified_Matrix!$A:$ZZ,3,MATCH("Evolution_Name",Unified_Matrix!$1:$1,0)):INDEX(Unified_Matrix!$A:$ZZ,300,MATCH("Evolution_Name",Unified_Matrix!$1:$1,0)),"")))</f>
        <v/>
      </c>
      <c r="AT3" s="20">
        <f t="array" ref="AT3">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"&amp;AT$1,Unified_Matrix!$1:$1,0))&gt;0),INDEX(Unified_Matrix!$A:$ZZ,3,MATCH("Evolution_Name",Unified_Matrix!$1:$1,0)):INDEX(Unified_Matrix!$A:$ZZ,300,MATCH("Evolution_Name",Unified_Matrix!$1:$1,0)),"")))</f>
        <v/>
      </c>
    </row>
    <row r="4">
      <c r="H4" s="17" t="inlineStr">
        <is>
          <t>2위</t>
        </is>
      </c>
      <c r="I4" s="18" t="inlineStr">
        <is>
          <t>MAX</t>
        </is>
      </c>
      <c r="J4" s="19">
        <f>_xlfn.MAXIFS(INDEX(Unified_Matrix!$A:$ZZ,3,MATCH("Max "&amp;J$1,Unified_Matrix!$1:$1,0)):INDEX(Unified_Matrix!$A:$ZZ,300,MATCH("Max "&amp;J$1,Unified_Matrix!$1:$1,0)),INDEX(Unified_Matrix!$A:$ZZ,3,MATCH("Max "&amp;J$1,Unified_Matrix!$1:$1,0)):INDEX(Unified_Matrix!$A:$ZZ,300,MATCH("Max "&amp;J$1,Unified_Matrix!$1:$1,0)),"&lt;"&amp;J2,INDEX(Unified_Matrix!$A:$ZZ,3,MATCH("Max "&amp;J$1,Unified_Matrix!$1:$1,0)):INDEX(Unified_Matrix!$A:$ZZ,300,MATCH("Max "&amp;J$1,Unified_Matrix!$1:$1,0)),"&gt;0")</f>
        <v/>
      </c>
      <c r="K4" s="19">
        <f>_xlfn.MAXIFS(INDEX(Unified_Matrix!$A:$ZZ,3,MATCH("Max "&amp;K$1,Unified_Matrix!$1:$1,0)):INDEX(Unified_Matrix!$A:$ZZ,300,MATCH("Max "&amp;K$1,Unified_Matrix!$1:$1,0)),INDEX(Unified_Matrix!$A:$ZZ,3,MATCH("Max "&amp;K$1,Unified_Matrix!$1:$1,0)):INDEX(Unified_Matrix!$A:$ZZ,300,MATCH("Max "&amp;K$1,Unified_Matrix!$1:$1,0)),"&lt;"&amp;K2,INDEX(Unified_Matrix!$A:$ZZ,3,MATCH("Max "&amp;K$1,Unified_Matrix!$1:$1,0)):INDEX(Unified_Matrix!$A:$ZZ,300,MATCH("Max "&amp;K$1,Unified_Matrix!$1:$1,0)),"&gt;0")</f>
        <v/>
      </c>
      <c r="L4" s="19">
        <f>_xlfn.MAXIFS(INDEX(Unified_Matrix!$A:$ZZ,3,MATCH("Max "&amp;L$1,Unified_Matrix!$1:$1,0)):INDEX(Unified_Matrix!$A:$ZZ,300,MATCH("Max "&amp;L$1,Unified_Matrix!$1:$1,0)),INDEX(Unified_Matrix!$A:$ZZ,3,MATCH("Max "&amp;L$1,Unified_Matrix!$1:$1,0)):INDEX(Unified_Matrix!$A:$ZZ,300,MATCH("Max "&amp;L$1,Unified_Matrix!$1:$1,0)),"&lt;"&amp;L2,INDEX(Unified_Matrix!$A:$ZZ,3,MATCH("Max "&amp;L$1,Unified_Matrix!$1:$1,0)):INDEX(Unified_Matrix!$A:$ZZ,300,MATCH("Max "&amp;L$1,Unified_Matrix!$1:$1,0)),"&gt;0")</f>
        <v/>
      </c>
      <c r="M4" s="19">
        <f>_xlfn.MAXIFS(INDEX(Unified_Matrix!$A:$ZZ,3,MATCH("Max "&amp;M$1,Unified_Matrix!$1:$1,0)):INDEX(Unified_Matrix!$A:$ZZ,300,MATCH("Max "&amp;M$1,Unified_Matrix!$1:$1,0)),INDEX(Unified_Matrix!$A:$ZZ,3,MATCH("Max "&amp;M$1,Unified_Matrix!$1:$1,0)):INDEX(Unified_Matrix!$A:$ZZ,300,MATCH("Max "&amp;M$1,Unified_Matrix!$1:$1,0)),"&lt;"&amp;M2,INDEX(Unified_Matrix!$A:$ZZ,3,MATCH("Max "&amp;M$1,Unified_Matrix!$1:$1,0)):INDEX(Unified_Matrix!$A:$ZZ,300,MATCH("Max "&amp;M$1,Unified_Matrix!$1:$1,0)),"&gt;0")</f>
        <v/>
      </c>
      <c r="N4" s="19">
        <f>_xlfn.MAXIFS(INDEX(Unified_Matrix!$A:$ZZ,3,MATCH("Max "&amp;N$1,Unified_Matrix!$1:$1,0)):INDEX(Unified_Matrix!$A:$ZZ,300,MATCH("Max "&amp;N$1,Unified_Matrix!$1:$1,0)),INDEX(Unified_Matrix!$A:$ZZ,3,MATCH("Max "&amp;N$1,Unified_Matrix!$1:$1,0)):INDEX(Unified_Matrix!$A:$ZZ,300,MATCH("Max "&amp;N$1,Unified_Matrix!$1:$1,0)),"&lt;"&amp;N2,INDEX(Unified_Matrix!$A:$ZZ,3,MATCH("Max "&amp;N$1,Unified_Matrix!$1:$1,0)):INDEX(Unified_Matrix!$A:$ZZ,300,MATCH("Max "&amp;N$1,Unified_Matrix!$1:$1,0)),"&gt;0")</f>
        <v/>
      </c>
      <c r="O4" s="19">
        <f>_xlfn.MAXIFS(INDEX(Unified_Matrix!$A:$ZZ,3,MATCH("Max "&amp;O$1,Unified_Matrix!$1:$1,0)):INDEX(Unified_Matrix!$A:$ZZ,300,MATCH("Max "&amp;O$1,Unified_Matrix!$1:$1,0)),INDEX(Unified_Matrix!$A:$ZZ,3,MATCH("Max "&amp;O$1,Unified_Matrix!$1:$1,0)):INDEX(Unified_Matrix!$A:$ZZ,300,MATCH("Max "&amp;O$1,Unified_Matrix!$1:$1,0)),"&lt;"&amp;O2,INDEX(Unified_Matrix!$A:$ZZ,3,MATCH("Max "&amp;O$1,Unified_Matrix!$1:$1,0)):INDEX(Unified_Matrix!$A:$ZZ,300,MATCH("Max "&amp;O$1,Unified_Matrix!$1:$1,0)),"&gt;0")</f>
        <v/>
      </c>
      <c r="P4" s="19">
        <f>_xlfn.MAXIFS(INDEX(Unified_Matrix!$A:$ZZ,3,MATCH("Max "&amp;P$1,Unified_Matrix!$1:$1,0)):INDEX(Unified_Matrix!$A:$ZZ,300,MATCH("Max "&amp;P$1,Unified_Matrix!$1:$1,0)),INDEX(Unified_Matrix!$A:$ZZ,3,MATCH("Max "&amp;P$1,Unified_Matrix!$1:$1,0)):INDEX(Unified_Matrix!$A:$ZZ,300,MATCH("Max "&amp;P$1,Unified_Matrix!$1:$1,0)),"&lt;"&amp;P2,INDEX(Unified_Matrix!$A:$ZZ,3,MATCH("Max "&amp;P$1,Unified_Matrix!$1:$1,0)):INDEX(Unified_Matrix!$A:$ZZ,300,MATCH("Max "&amp;P$1,Unified_Matrix!$1:$1,0)),"&gt;0")</f>
        <v/>
      </c>
      <c r="Q4" s="19">
        <f>_xlfn.MAXIFS(INDEX(Unified_Matrix!$A:$ZZ,3,MATCH("Max "&amp;Q$1,Unified_Matrix!$1:$1,0)):INDEX(Unified_Matrix!$A:$ZZ,300,MATCH("Max "&amp;Q$1,Unified_Matrix!$1:$1,0)),INDEX(Unified_Matrix!$A:$ZZ,3,MATCH("Max "&amp;Q$1,Unified_Matrix!$1:$1,0)):INDEX(Unified_Matrix!$A:$ZZ,300,MATCH("Max "&amp;Q$1,Unified_Matrix!$1:$1,0)),"&lt;"&amp;Q2,INDEX(Unified_Matrix!$A:$ZZ,3,MATCH("Max "&amp;Q$1,Unified_Matrix!$1:$1,0)):INDEX(Unified_Matrix!$A:$ZZ,300,MATCH("Max "&amp;Q$1,Unified_Matrix!$1:$1,0)),"&gt;0")</f>
        <v/>
      </c>
      <c r="R4" s="19">
        <f>_xlfn.MAXIFS(INDEX(Unified_Matrix!$A:$ZZ,3,MATCH("Max "&amp;R$1,Unified_Matrix!$1:$1,0)):INDEX(Unified_Matrix!$A:$ZZ,300,MATCH("Max "&amp;R$1,Unified_Matrix!$1:$1,0)),INDEX(Unified_Matrix!$A:$ZZ,3,MATCH("Max "&amp;R$1,Unified_Matrix!$1:$1,0)):INDEX(Unified_Matrix!$A:$ZZ,300,MATCH("Max "&amp;R$1,Unified_Matrix!$1:$1,0)),"&lt;"&amp;R2,INDEX(Unified_Matrix!$A:$ZZ,3,MATCH("Max "&amp;R$1,Unified_Matrix!$1:$1,0)):INDEX(Unified_Matrix!$A:$ZZ,300,MATCH("Max "&amp;R$1,Unified_Matrix!$1:$1,0)),"&gt;0")</f>
        <v/>
      </c>
      <c r="S4" s="19">
        <f>_xlfn.MAXIFS(INDEX(Unified_Matrix!$A:$ZZ,3,MATCH("Max "&amp;S$1,Unified_Matrix!$1:$1,0)):INDEX(Unified_Matrix!$A:$ZZ,300,MATCH("Max "&amp;S$1,Unified_Matrix!$1:$1,0)),INDEX(Unified_Matrix!$A:$ZZ,3,MATCH("Max "&amp;S$1,Unified_Matrix!$1:$1,0)):INDEX(Unified_Matrix!$A:$ZZ,300,MATCH("Max "&amp;S$1,Unified_Matrix!$1:$1,0)),"&lt;"&amp;S2,INDEX(Unified_Matrix!$A:$ZZ,3,MATCH("Max "&amp;S$1,Unified_Matrix!$1:$1,0)):INDEX(Unified_Matrix!$A:$ZZ,300,MATCH("Max "&amp;S$1,Unified_Matrix!$1:$1,0)),"&gt;0")</f>
        <v/>
      </c>
      <c r="T4" s="19">
        <f>_xlfn.MAXIFS(INDEX(Unified_Matrix!$A:$ZZ,3,MATCH("Max "&amp;T$1,Unified_Matrix!$1:$1,0)):INDEX(Unified_Matrix!$A:$ZZ,300,MATCH("Max "&amp;T$1,Unified_Matrix!$1:$1,0)),INDEX(Unified_Matrix!$A:$ZZ,3,MATCH("Max "&amp;T$1,Unified_Matrix!$1:$1,0)):INDEX(Unified_Matrix!$A:$ZZ,300,MATCH("Max "&amp;T$1,Unified_Matrix!$1:$1,0)),"&lt;"&amp;T2,INDEX(Unified_Matrix!$A:$ZZ,3,MATCH("Max "&amp;T$1,Unified_Matrix!$1:$1,0)):INDEX(Unified_Matrix!$A:$ZZ,300,MATCH("Max "&amp;T$1,Unified_Matrix!$1:$1,0)),"&gt;0")</f>
        <v/>
      </c>
      <c r="U4" s="19">
        <f>_xlfn.MAXIFS(INDEX(Unified_Matrix!$A:$ZZ,3,MATCH("Max "&amp;U$1,Unified_Matrix!$1:$1,0)):INDEX(Unified_Matrix!$A:$ZZ,300,MATCH("Max "&amp;U$1,Unified_Matrix!$1:$1,0)),INDEX(Unified_Matrix!$A:$ZZ,3,MATCH("Max "&amp;U$1,Unified_Matrix!$1:$1,0)):INDEX(Unified_Matrix!$A:$ZZ,300,MATCH("Max "&amp;U$1,Unified_Matrix!$1:$1,0)),"&lt;"&amp;U2,INDEX(Unified_Matrix!$A:$ZZ,3,MATCH("Max "&amp;U$1,Unified_Matrix!$1:$1,0)):INDEX(Unified_Matrix!$A:$ZZ,300,MATCH("Max "&amp;U$1,Unified_Matrix!$1:$1,0)),"&gt;0")</f>
        <v/>
      </c>
      <c r="V4" s="19">
        <f>_xlfn.MAXIFS(INDEX(Unified_Matrix!$A:$ZZ,3,MATCH("Max "&amp;V$1,Unified_Matrix!$1:$1,0)):INDEX(Unified_Matrix!$A:$ZZ,300,MATCH("Max "&amp;V$1,Unified_Matrix!$1:$1,0)),INDEX(Unified_Matrix!$A:$ZZ,3,MATCH("Max "&amp;V$1,Unified_Matrix!$1:$1,0)):INDEX(Unified_Matrix!$A:$ZZ,300,MATCH("Max "&amp;V$1,Unified_Matrix!$1:$1,0)),"&lt;"&amp;V2,INDEX(Unified_Matrix!$A:$ZZ,3,MATCH("Max "&amp;V$1,Unified_Matrix!$1:$1,0)):INDEX(Unified_Matrix!$A:$ZZ,300,MATCH("Max "&amp;V$1,Unified_Matrix!$1:$1,0)),"&gt;0")</f>
        <v/>
      </c>
      <c r="W4" s="19">
        <f>_xlfn.MAXIFS(INDEX(Unified_Matrix!$A:$ZZ,3,MATCH("Max "&amp;W$1,Unified_Matrix!$1:$1,0)):INDEX(Unified_Matrix!$A:$ZZ,300,MATCH("Max "&amp;W$1,Unified_Matrix!$1:$1,0)),INDEX(Unified_Matrix!$A:$ZZ,3,MATCH("Max "&amp;W$1,Unified_Matrix!$1:$1,0)):INDEX(Unified_Matrix!$A:$ZZ,300,MATCH("Max "&amp;W$1,Unified_Matrix!$1:$1,0)),"&lt;"&amp;W2,INDEX(Unified_Matrix!$A:$ZZ,3,MATCH("Max "&amp;W$1,Unified_Matrix!$1:$1,0)):INDEX(Unified_Matrix!$A:$ZZ,300,MATCH("Max "&amp;W$1,Unified_Matrix!$1:$1,0)),"&gt;0")</f>
        <v/>
      </c>
      <c r="X4" s="19">
        <f>_xlfn.MAXIFS(INDEX(Unified_Matrix!$A:$ZZ,3,MATCH("Max "&amp;X$1,Unified_Matrix!$1:$1,0)):INDEX(Unified_Matrix!$A:$ZZ,300,MATCH("Max "&amp;X$1,Unified_Matrix!$1:$1,0)),INDEX(Unified_Matrix!$A:$ZZ,3,MATCH("Max "&amp;X$1,Unified_Matrix!$1:$1,0)):INDEX(Unified_Matrix!$A:$ZZ,300,MATCH("Max "&amp;X$1,Unified_Matrix!$1:$1,0)),"&lt;"&amp;X2,INDEX(Unified_Matrix!$A:$ZZ,3,MATCH("Max "&amp;X$1,Unified_Matrix!$1:$1,0)):INDEX(Unified_Matrix!$A:$ZZ,300,MATCH("Max "&amp;X$1,Unified_Matrix!$1:$1,0)),"&gt;0")</f>
        <v/>
      </c>
      <c r="Y4" s="19">
        <f>_xlfn.MAXIFS(INDEX(Unified_Matrix!$A:$ZZ,3,MATCH("Max "&amp;Y$1,Unified_Matrix!$1:$1,0)):INDEX(Unified_Matrix!$A:$ZZ,300,MATCH("Max "&amp;Y$1,Unified_Matrix!$1:$1,0)),INDEX(Unified_Matrix!$A:$ZZ,3,MATCH("Max "&amp;Y$1,Unified_Matrix!$1:$1,0)):INDEX(Unified_Matrix!$A:$ZZ,300,MATCH("Max "&amp;Y$1,Unified_Matrix!$1:$1,0)),"&lt;"&amp;Y2,INDEX(Unified_Matrix!$A:$ZZ,3,MATCH("Max "&amp;Y$1,Unified_Matrix!$1:$1,0)):INDEX(Unified_Matrix!$A:$ZZ,300,MATCH("Max "&amp;Y$1,Unified_Matrix!$1:$1,0)),"&gt;0")</f>
        <v/>
      </c>
      <c r="Z4" s="19">
        <f>_xlfn.MAXIFS(INDEX(Unified_Matrix!$A:$ZZ,3,MATCH("Max "&amp;Z$1,Unified_Matrix!$1:$1,0)):INDEX(Unified_Matrix!$A:$ZZ,300,MATCH("Max "&amp;Z$1,Unified_Matrix!$1:$1,0)),INDEX(Unified_Matrix!$A:$ZZ,3,MATCH("Max "&amp;Z$1,Unified_Matrix!$1:$1,0)):INDEX(Unified_Matrix!$A:$ZZ,300,MATCH("Max "&amp;Z$1,Unified_Matrix!$1:$1,0)),"&lt;"&amp;Z2,INDEX(Unified_Matrix!$A:$ZZ,3,MATCH("Max "&amp;Z$1,Unified_Matrix!$1:$1,0)):INDEX(Unified_Matrix!$A:$ZZ,300,MATCH("Max "&amp;Z$1,Unified_Matrix!$1:$1,0)),"&gt;0")</f>
        <v/>
      </c>
      <c r="AA4" s="19">
        <f>_xlfn.MAXIFS(INDEX(Unified_Matrix!$A:$ZZ,3,MATCH("Max "&amp;AA$1,Unified_Matrix!$1:$1,0)):INDEX(Unified_Matrix!$A:$ZZ,300,MATCH("Max "&amp;AA$1,Unified_Matrix!$1:$1,0)),INDEX(Unified_Matrix!$A:$ZZ,3,MATCH("Max "&amp;AA$1,Unified_Matrix!$1:$1,0)):INDEX(Unified_Matrix!$A:$ZZ,300,MATCH("Max "&amp;AA$1,Unified_Matrix!$1:$1,0)),"&lt;"&amp;AA2,INDEX(Unified_Matrix!$A:$ZZ,3,MATCH("Max "&amp;AA$1,Unified_Matrix!$1:$1,0)):INDEX(Unified_Matrix!$A:$ZZ,300,MATCH("Max "&amp;AA$1,Unified_Matrix!$1:$1,0)),"&gt;0")</f>
        <v/>
      </c>
      <c r="AB4" s="19">
        <f>_xlfn.MAXIFS(INDEX(Unified_Matrix!$A:$ZZ,3,MATCH("Max "&amp;AB$1,Unified_Matrix!$1:$1,0)):INDEX(Unified_Matrix!$A:$ZZ,300,MATCH("Max "&amp;AB$1,Unified_Matrix!$1:$1,0)),INDEX(Unified_Matrix!$A:$ZZ,3,MATCH("Max "&amp;AB$1,Unified_Matrix!$1:$1,0)):INDEX(Unified_Matrix!$A:$ZZ,300,MATCH("Max "&amp;AB$1,Unified_Matrix!$1:$1,0)),"&lt;"&amp;AB2,INDEX(Unified_Matrix!$A:$ZZ,3,MATCH("Max "&amp;AB$1,Unified_Matrix!$1:$1,0)):INDEX(Unified_Matrix!$A:$ZZ,300,MATCH("Max "&amp;AB$1,Unified_Matrix!$1:$1,0)),"&gt;0")</f>
        <v/>
      </c>
      <c r="AC4" s="19">
        <f>_xlfn.MAXIFS(INDEX(Unified_Matrix!$A:$ZZ,3,MATCH("Max "&amp;AC$1,Unified_Matrix!$1:$1,0)):INDEX(Unified_Matrix!$A:$ZZ,300,MATCH("Max "&amp;AC$1,Unified_Matrix!$1:$1,0)),INDEX(Unified_Matrix!$A:$ZZ,3,MATCH("Max "&amp;AC$1,Unified_Matrix!$1:$1,0)):INDEX(Unified_Matrix!$A:$ZZ,300,MATCH("Max "&amp;AC$1,Unified_Matrix!$1:$1,0)),"&lt;"&amp;AC2,INDEX(Unified_Matrix!$A:$ZZ,3,MATCH("Max "&amp;AC$1,Unified_Matrix!$1:$1,0)):INDEX(Unified_Matrix!$A:$ZZ,300,MATCH("Max "&amp;AC$1,Unified_Matrix!$1:$1,0)),"&gt;0")</f>
        <v/>
      </c>
      <c r="AD4" s="19">
        <f>_xlfn.MAXIFS(INDEX(Unified_Matrix!$A:$ZZ,3,MATCH("Max "&amp;AD$1,Unified_Matrix!$1:$1,0)):INDEX(Unified_Matrix!$A:$ZZ,300,MATCH("Max "&amp;AD$1,Unified_Matrix!$1:$1,0)),INDEX(Unified_Matrix!$A:$ZZ,3,MATCH("Max "&amp;AD$1,Unified_Matrix!$1:$1,0)):INDEX(Unified_Matrix!$A:$ZZ,300,MATCH("Max "&amp;AD$1,Unified_Matrix!$1:$1,0)),"&lt;"&amp;AD2,INDEX(Unified_Matrix!$A:$ZZ,3,MATCH("Max "&amp;AD$1,Unified_Matrix!$1:$1,0)):INDEX(Unified_Matrix!$A:$ZZ,300,MATCH("Max "&amp;AD$1,Unified_Matrix!$1:$1,0)),"&gt;0")</f>
        <v/>
      </c>
      <c r="AE4" s="19">
        <f>_xlfn.MAXIFS(INDEX(Unified_Matrix!$A:$ZZ,3,MATCH("Max "&amp;AE$1,Unified_Matrix!$1:$1,0)):INDEX(Unified_Matrix!$A:$ZZ,300,MATCH("Max "&amp;AE$1,Unified_Matrix!$1:$1,0)),INDEX(Unified_Matrix!$A:$ZZ,3,MATCH("Max "&amp;AE$1,Unified_Matrix!$1:$1,0)):INDEX(Unified_Matrix!$A:$ZZ,300,MATCH("Max "&amp;AE$1,Unified_Matrix!$1:$1,0)),"&lt;"&amp;AE2,INDEX(Unified_Matrix!$A:$ZZ,3,MATCH("Max "&amp;AE$1,Unified_Matrix!$1:$1,0)):INDEX(Unified_Matrix!$A:$ZZ,300,MATCH("Max "&amp;AE$1,Unified_Matrix!$1:$1,0)),"&gt;0")</f>
        <v/>
      </c>
      <c r="AF4" s="19">
        <f>_xlfn.MAXIFS(INDEX(Unified_Matrix!$A:$ZZ,3,MATCH("Max "&amp;AF$1,Unified_Matrix!$1:$1,0)):INDEX(Unified_Matrix!$A:$ZZ,300,MATCH("Max "&amp;AF$1,Unified_Matrix!$1:$1,0)),INDEX(Unified_Matrix!$A:$ZZ,3,MATCH("Max "&amp;AF$1,Unified_Matrix!$1:$1,0)):INDEX(Unified_Matrix!$A:$ZZ,300,MATCH("Max "&amp;AF$1,Unified_Matrix!$1:$1,0)),"&lt;"&amp;AF2,INDEX(Unified_Matrix!$A:$ZZ,3,MATCH("Max "&amp;AF$1,Unified_Matrix!$1:$1,0)):INDEX(Unified_Matrix!$A:$ZZ,300,MATCH("Max "&amp;AF$1,Unified_Matrix!$1:$1,0)),"&gt;0")</f>
        <v/>
      </c>
      <c r="AG4" s="19">
        <f>_xlfn.MAXIFS(INDEX(Unified_Matrix!$A:$ZZ,3,MATCH("Max "&amp;AG$1,Unified_Matrix!$1:$1,0)):INDEX(Unified_Matrix!$A:$ZZ,300,MATCH("Max "&amp;AG$1,Unified_Matrix!$1:$1,0)),INDEX(Unified_Matrix!$A:$ZZ,3,MATCH("Max "&amp;AG$1,Unified_Matrix!$1:$1,0)):INDEX(Unified_Matrix!$A:$ZZ,300,MATCH("Max "&amp;AG$1,Unified_Matrix!$1:$1,0)),"&lt;"&amp;AG2,INDEX(Unified_Matrix!$A:$ZZ,3,MATCH("Max "&amp;AG$1,Unified_Matrix!$1:$1,0)):INDEX(Unified_Matrix!$A:$ZZ,300,MATCH("Max "&amp;AG$1,Unified_Matrix!$1:$1,0)),"&gt;0")</f>
        <v/>
      </c>
      <c r="AH4" s="19">
        <f>_xlfn.MAXIFS(INDEX(Unified_Matrix!$A:$ZZ,3,MATCH("Max "&amp;AH$1,Unified_Matrix!$1:$1,0)):INDEX(Unified_Matrix!$A:$ZZ,300,MATCH("Max "&amp;AH$1,Unified_Matrix!$1:$1,0)),INDEX(Unified_Matrix!$A:$ZZ,3,MATCH("Max "&amp;AH$1,Unified_Matrix!$1:$1,0)):INDEX(Unified_Matrix!$A:$ZZ,300,MATCH("Max "&amp;AH$1,Unified_Matrix!$1:$1,0)),"&lt;"&amp;AH2,INDEX(Unified_Matrix!$A:$ZZ,3,MATCH("Max "&amp;AH$1,Unified_Matrix!$1:$1,0)):INDEX(Unified_Matrix!$A:$ZZ,300,MATCH("Max "&amp;AH$1,Unified_Matrix!$1:$1,0)),"&gt;0")</f>
        <v/>
      </c>
      <c r="AI4" s="19">
        <f>_xlfn.MAXIFS(INDEX(Unified_Matrix!$A:$ZZ,3,MATCH("Max "&amp;AI$1,Unified_Matrix!$1:$1,0)):INDEX(Unified_Matrix!$A:$ZZ,300,MATCH("Max "&amp;AI$1,Unified_Matrix!$1:$1,0)),INDEX(Unified_Matrix!$A:$ZZ,3,MATCH("Max "&amp;AI$1,Unified_Matrix!$1:$1,0)):INDEX(Unified_Matrix!$A:$ZZ,300,MATCH("Max "&amp;AI$1,Unified_Matrix!$1:$1,0)),"&lt;"&amp;AI2,INDEX(Unified_Matrix!$A:$ZZ,3,MATCH("Max "&amp;AI$1,Unified_Matrix!$1:$1,0)):INDEX(Unified_Matrix!$A:$ZZ,300,MATCH("Max "&amp;AI$1,Unified_Matrix!$1:$1,0)),"&gt;0")</f>
        <v/>
      </c>
      <c r="AJ4" s="19">
        <f>_xlfn.MAXIFS(INDEX(Unified_Matrix!$A:$ZZ,3,MATCH("Max "&amp;AJ$1,Unified_Matrix!$1:$1,0)):INDEX(Unified_Matrix!$A:$ZZ,300,MATCH("Max "&amp;AJ$1,Unified_Matrix!$1:$1,0)),INDEX(Unified_Matrix!$A:$ZZ,3,MATCH("Max "&amp;AJ$1,Unified_Matrix!$1:$1,0)):INDEX(Unified_Matrix!$A:$ZZ,300,MATCH("Max "&amp;AJ$1,Unified_Matrix!$1:$1,0)),"&lt;"&amp;AJ2,INDEX(Unified_Matrix!$A:$ZZ,3,MATCH("Max "&amp;AJ$1,Unified_Matrix!$1:$1,0)):INDEX(Unified_Matrix!$A:$ZZ,300,MATCH("Max "&amp;AJ$1,Unified_Matrix!$1:$1,0)),"&gt;0")</f>
        <v/>
      </c>
      <c r="AK4" s="19">
        <f>_xlfn.MAXIFS(INDEX(Unified_Matrix!$A:$ZZ,3,MATCH("Max "&amp;AK$1,Unified_Matrix!$1:$1,0)):INDEX(Unified_Matrix!$A:$ZZ,300,MATCH("Max "&amp;AK$1,Unified_Matrix!$1:$1,0)),INDEX(Unified_Matrix!$A:$ZZ,3,MATCH("Max "&amp;AK$1,Unified_Matrix!$1:$1,0)):INDEX(Unified_Matrix!$A:$ZZ,300,MATCH("Max "&amp;AK$1,Unified_Matrix!$1:$1,0)),"&lt;"&amp;AK2,INDEX(Unified_Matrix!$A:$ZZ,3,MATCH("Max "&amp;AK$1,Unified_Matrix!$1:$1,0)):INDEX(Unified_Matrix!$A:$ZZ,300,MATCH("Max "&amp;AK$1,Unified_Matrix!$1:$1,0)),"&gt;0")</f>
        <v/>
      </c>
      <c r="AL4" s="19">
        <f>_xlfn.MAXIFS(INDEX(Unified_Matrix!$A:$ZZ,3,MATCH("Max "&amp;AL$1,Unified_Matrix!$1:$1,0)):INDEX(Unified_Matrix!$A:$ZZ,300,MATCH("Max "&amp;AL$1,Unified_Matrix!$1:$1,0)),INDEX(Unified_Matrix!$A:$ZZ,3,MATCH("Max "&amp;AL$1,Unified_Matrix!$1:$1,0)):INDEX(Unified_Matrix!$A:$ZZ,300,MATCH("Max "&amp;AL$1,Unified_Matrix!$1:$1,0)),"&lt;"&amp;AL2,INDEX(Unified_Matrix!$A:$ZZ,3,MATCH("Max "&amp;AL$1,Unified_Matrix!$1:$1,0)):INDEX(Unified_Matrix!$A:$ZZ,300,MATCH("Max "&amp;AL$1,Unified_Matrix!$1:$1,0)),"&gt;0")</f>
        <v/>
      </c>
      <c r="AM4" s="19">
        <f>_xlfn.MAXIFS(INDEX(Unified_Matrix!$A:$ZZ,3,MATCH("Max "&amp;AM$1,Unified_Matrix!$1:$1,0)):INDEX(Unified_Matrix!$A:$ZZ,300,MATCH("Max "&amp;AM$1,Unified_Matrix!$1:$1,0)),INDEX(Unified_Matrix!$A:$ZZ,3,MATCH("Max "&amp;AM$1,Unified_Matrix!$1:$1,0)):INDEX(Unified_Matrix!$A:$ZZ,300,MATCH("Max "&amp;AM$1,Unified_Matrix!$1:$1,0)),"&lt;"&amp;AM2,INDEX(Unified_Matrix!$A:$ZZ,3,MATCH("Max "&amp;AM$1,Unified_Matrix!$1:$1,0)):INDEX(Unified_Matrix!$A:$ZZ,300,MATCH("Max "&amp;AM$1,Unified_Matrix!$1:$1,0)),"&gt;0")</f>
        <v/>
      </c>
      <c r="AN4" s="19">
        <f>_xlfn.MAXIFS(INDEX(Unified_Matrix!$A:$ZZ,3,MATCH("Max "&amp;AN$1,Unified_Matrix!$1:$1,0)):INDEX(Unified_Matrix!$A:$ZZ,300,MATCH("Max "&amp;AN$1,Unified_Matrix!$1:$1,0)),INDEX(Unified_Matrix!$A:$ZZ,3,MATCH("Max "&amp;AN$1,Unified_Matrix!$1:$1,0)):INDEX(Unified_Matrix!$A:$ZZ,300,MATCH("Max "&amp;AN$1,Unified_Matrix!$1:$1,0)),"&lt;"&amp;AN2,INDEX(Unified_Matrix!$A:$ZZ,3,MATCH("Max "&amp;AN$1,Unified_Matrix!$1:$1,0)):INDEX(Unified_Matrix!$A:$ZZ,300,MATCH("Max "&amp;AN$1,Unified_Matrix!$1:$1,0)),"&gt;0")</f>
        <v/>
      </c>
      <c r="AO4" s="19">
        <f>_xlfn.MAXIFS(INDEX(Unified_Matrix!$A:$ZZ,3,MATCH("Max "&amp;AO$1,Unified_Matrix!$1:$1,0)):INDEX(Unified_Matrix!$A:$ZZ,300,MATCH("Max "&amp;AO$1,Unified_Matrix!$1:$1,0)),INDEX(Unified_Matrix!$A:$ZZ,3,MATCH("Max "&amp;AO$1,Unified_Matrix!$1:$1,0)):INDEX(Unified_Matrix!$A:$ZZ,300,MATCH("Max "&amp;AO$1,Unified_Matrix!$1:$1,0)),"&lt;"&amp;AO2,INDEX(Unified_Matrix!$A:$ZZ,3,MATCH("Max "&amp;AO$1,Unified_Matrix!$1:$1,0)):INDEX(Unified_Matrix!$A:$ZZ,300,MATCH("Max "&amp;AO$1,Unified_Matrix!$1:$1,0)),"&gt;0")</f>
        <v/>
      </c>
      <c r="AP4" s="19">
        <f>_xlfn.MAXIFS(INDEX(Unified_Matrix!$A:$ZZ,3,MATCH("Max "&amp;AP$1,Unified_Matrix!$1:$1,0)):INDEX(Unified_Matrix!$A:$ZZ,300,MATCH("Max "&amp;AP$1,Unified_Matrix!$1:$1,0)),INDEX(Unified_Matrix!$A:$ZZ,3,MATCH("Max "&amp;AP$1,Unified_Matrix!$1:$1,0)):INDEX(Unified_Matrix!$A:$ZZ,300,MATCH("Max "&amp;AP$1,Unified_Matrix!$1:$1,0)),"&lt;"&amp;AP2,INDEX(Unified_Matrix!$A:$ZZ,3,MATCH("Max "&amp;AP$1,Unified_Matrix!$1:$1,0)):INDEX(Unified_Matrix!$A:$ZZ,300,MATCH("Max "&amp;AP$1,Unified_Matrix!$1:$1,0)),"&gt;0")</f>
        <v/>
      </c>
      <c r="AQ4" s="19">
        <f>_xlfn.MAXIFS(INDEX(Unified_Matrix!$A:$ZZ,3,MATCH("Max "&amp;AQ$1,Unified_Matrix!$1:$1,0)):INDEX(Unified_Matrix!$A:$ZZ,300,MATCH("Max "&amp;AQ$1,Unified_Matrix!$1:$1,0)),INDEX(Unified_Matrix!$A:$ZZ,3,MATCH("Max "&amp;AQ$1,Unified_Matrix!$1:$1,0)):INDEX(Unified_Matrix!$A:$ZZ,300,MATCH("Max "&amp;AQ$1,Unified_Matrix!$1:$1,0)),"&lt;"&amp;AQ2,INDEX(Unified_Matrix!$A:$ZZ,3,MATCH("Max "&amp;AQ$1,Unified_Matrix!$1:$1,0)):INDEX(Unified_Matrix!$A:$ZZ,300,MATCH("Max "&amp;AQ$1,Unified_Matrix!$1:$1,0)),"&gt;0")</f>
        <v/>
      </c>
      <c r="AR4" s="19">
        <f>_xlfn.MAXIFS(INDEX(Unified_Matrix!$A:$ZZ,3,MATCH("Max "&amp;AR$1,Unified_Matrix!$1:$1,0)):INDEX(Unified_Matrix!$A:$ZZ,300,MATCH("Max "&amp;AR$1,Unified_Matrix!$1:$1,0)),INDEX(Unified_Matrix!$A:$ZZ,3,MATCH("Max "&amp;AR$1,Unified_Matrix!$1:$1,0)):INDEX(Unified_Matrix!$A:$ZZ,300,MATCH("Max "&amp;AR$1,Unified_Matrix!$1:$1,0)),"&lt;"&amp;AR2,INDEX(Unified_Matrix!$A:$ZZ,3,MATCH("Max "&amp;AR$1,Unified_Matrix!$1:$1,0)):INDEX(Unified_Matrix!$A:$ZZ,300,MATCH("Max "&amp;AR$1,Unified_Matrix!$1:$1,0)),"&gt;0")</f>
        <v/>
      </c>
      <c r="AS4" s="19">
        <f>_xlfn.MAXIFS(INDEX(Unified_Matrix!$A:$ZZ,3,MATCH("Max "&amp;AS$1,Unified_Matrix!$1:$1,0)):INDEX(Unified_Matrix!$A:$ZZ,300,MATCH("Max "&amp;AS$1,Unified_Matrix!$1:$1,0)),INDEX(Unified_Matrix!$A:$ZZ,3,MATCH("Max "&amp;AS$1,Unified_Matrix!$1:$1,0)):INDEX(Unified_Matrix!$A:$ZZ,300,MATCH("Max "&amp;AS$1,Unified_Matrix!$1:$1,0)),"&lt;"&amp;AS2,INDEX(Unified_Matrix!$A:$ZZ,3,MATCH("Max "&amp;AS$1,Unified_Matrix!$1:$1,0)):INDEX(Unified_Matrix!$A:$ZZ,300,MATCH("Max "&amp;AS$1,Unified_Matrix!$1:$1,0)),"&gt;0")</f>
        <v/>
      </c>
      <c r="AT4" s="19">
        <f>_xlfn.MAXIFS(INDEX(Unified_Matrix!$A:$ZZ,3,MATCH("Max "&amp;AT$1,Unified_Matrix!$1:$1,0)):INDEX(Unified_Matrix!$A:$ZZ,300,MATCH("Max "&amp;AT$1,Unified_Matrix!$1:$1,0)),INDEX(Unified_Matrix!$A:$ZZ,3,MATCH("Max "&amp;AT$1,Unified_Matrix!$1:$1,0)):INDEX(Unified_Matrix!$A:$ZZ,300,MATCH("Max "&amp;AT$1,Unified_Matrix!$1:$1,0)),"&lt;"&amp;AT2,INDEX(Unified_Matrix!$A:$ZZ,3,MATCH("Max "&amp;AT$1,Unified_Matrix!$1:$1,0)):INDEX(Unified_Matrix!$A:$ZZ,300,MATCH("Max "&amp;AT$1,Unified_Matrix!$1:$1,0)),"&gt;0")</f>
        <v/>
      </c>
    </row>
    <row r="5" ht="97.5" customHeight="1">
      <c r="H5" s="38" t="n"/>
      <c r="I5" s="18" t="inlineStr">
        <is>
          <t>진화명</t>
        </is>
      </c>
      <c r="J5" s="20">
        <f t="array" ref="J5">IF(J4=0,"",_xlfn.TEXTJOIN(CHAR(10),TRUE,IF((INDEX(Unified_Matrix!$A:$ZZ,3,MATCH("Max "&amp;J$1,Unified_Matrix!$1:$1,0)):INDEX(Unified_Matrix!$A:$ZZ,300,MATCH("Max "&amp;J$1,Unified_Matrix!$1:$1,0))=J4)*(INDEX(Unified_Matrix!$A:$ZZ,3,MATCH("Max "&amp;J$1,Unified_Matrix!$1:$1,0)):INDEX(Unified_Matrix!$A:$ZZ,300,MATCH("Max "&amp;J$1,Unified_Matrix!$1:$1,0))&gt;0),INDEX(Unified_Matrix!$A:$ZZ,3,MATCH("Evolution_Name",Unified_Matrix!$1:$1,0)):INDEX(Unified_Matrix!$A:$ZZ,300,MATCH("Evolution_Name",Unified_Matrix!$1:$1,0)),"")))</f>
        <v/>
      </c>
      <c r="K5" s="20">
        <f t="array" ref="K5">IF(K4=0,"",_xlfn.TEXTJOIN(CHAR(10),TRUE,IF((INDEX(Unified_Matrix!$A:$ZZ,3,MATCH("Max "&amp;K$1,Unified_Matrix!$1:$1,0)):INDEX(Unified_Matrix!$A:$ZZ,300,MATCH("Max "&amp;K$1,Unified_Matrix!$1:$1,0))=K4)*(INDEX(Unified_Matrix!$A:$ZZ,3,MATCH("Max "&amp;K$1,Unified_Matrix!$1:$1,0)):INDEX(Unified_Matrix!$A:$ZZ,300,MATCH("Max "&amp;K$1,Unified_Matrix!$1:$1,0))&gt;0),INDEX(Unified_Matrix!$A:$ZZ,3,MATCH("Evolution_Name",Unified_Matrix!$1:$1,0)):INDEX(Unified_Matrix!$A:$ZZ,300,MATCH("Evolution_Name",Unified_Matrix!$1:$1,0)),"")))</f>
        <v/>
      </c>
      <c r="L5" s="20">
        <f t="array" ref="L5">IF(L4=0,"",_xlfn.TEXTJOIN(CHAR(10),TRUE,IF((INDEX(Unified_Matrix!$A:$ZZ,3,MATCH("Max "&amp;L$1,Unified_Matrix!$1:$1,0)):INDEX(Unified_Matrix!$A:$ZZ,300,MATCH("Max "&amp;L$1,Unified_Matrix!$1:$1,0))=L4)*(INDEX(Unified_Matrix!$A:$ZZ,3,MATCH("Max "&amp;L$1,Unified_Matrix!$1:$1,0)):INDEX(Unified_Matrix!$A:$ZZ,300,MATCH("Max "&amp;L$1,Unified_Matrix!$1:$1,0))&gt;0),INDEX(Unified_Matrix!$A:$ZZ,3,MATCH("Evolution_Name",Unified_Matrix!$1:$1,0)):INDEX(Unified_Matrix!$A:$ZZ,300,MATCH("Evolution_Name",Unified_Matrix!$1:$1,0)),"")))</f>
        <v/>
      </c>
      <c r="M5" s="20">
        <f t="array" ref="M5">IF(M4=0,"",_xlfn.TEXTJOIN(CHAR(10),TRUE,IF((INDEX(Unified_Matrix!$A:$ZZ,3,MATCH("Max "&amp;M$1,Unified_Matrix!$1:$1,0)):INDEX(Unified_Matrix!$A:$ZZ,300,MATCH("Max "&amp;M$1,Unified_Matrix!$1:$1,0))=M4)*(INDEX(Unified_Matrix!$A:$ZZ,3,MATCH("Max "&amp;M$1,Unified_Matrix!$1:$1,0)):INDEX(Unified_Matrix!$A:$ZZ,300,MATCH("Max "&amp;M$1,Unified_Matrix!$1:$1,0))&gt;0),INDEX(Unified_Matrix!$A:$ZZ,3,MATCH("Evolution_Name",Unified_Matrix!$1:$1,0)):INDEX(Unified_Matrix!$A:$ZZ,300,MATCH("Evolution_Name",Unified_Matrix!$1:$1,0)),"")))</f>
        <v/>
      </c>
      <c r="N5" s="20">
        <f t="array" ref="N5">IF(N4=0,"",_xlfn.TEXTJOIN(CHAR(10),TRUE,IF((INDEX(Unified_Matrix!$A:$ZZ,3,MATCH("Max "&amp;N$1,Unified_Matrix!$1:$1,0)):INDEX(Unified_Matrix!$A:$ZZ,300,MATCH("Max "&amp;N$1,Unified_Matrix!$1:$1,0))=N4)*(INDEX(Unified_Matrix!$A:$ZZ,3,MATCH("Max "&amp;N$1,Unified_Matrix!$1:$1,0)):INDEX(Unified_Matrix!$A:$ZZ,300,MATCH("Max "&amp;N$1,Unified_Matrix!$1:$1,0))&gt;0),INDEX(Unified_Matrix!$A:$ZZ,3,MATCH("Evolution_Name",Unified_Matrix!$1:$1,0)):INDEX(Unified_Matrix!$A:$ZZ,300,MATCH("Evolution_Name",Unified_Matrix!$1:$1,0)),"")))</f>
        <v/>
      </c>
      <c r="O5" s="20">
        <f t="array" ref="O5">IF(O4=0,"",_xlfn.TEXTJOIN(CHAR(10),TRUE,IF((INDEX(Unified_Matrix!$A:$ZZ,3,MATCH("Max "&amp;O$1,Unified_Matrix!$1:$1,0)):INDEX(Unified_Matrix!$A:$ZZ,300,MATCH("Max "&amp;O$1,Unified_Matrix!$1:$1,0))=O4)*(INDEX(Unified_Matrix!$A:$ZZ,3,MATCH("Max "&amp;O$1,Unified_Matrix!$1:$1,0)):INDEX(Unified_Matrix!$A:$ZZ,300,MATCH("Max "&amp;O$1,Unified_Matrix!$1:$1,0))&gt;0),INDEX(Unified_Matrix!$A:$ZZ,3,MATCH("Evolution_Name",Unified_Matrix!$1:$1,0)):INDEX(Unified_Matrix!$A:$ZZ,300,MATCH("Evolution_Name",Unified_Matrix!$1:$1,0)),"")))</f>
        <v/>
      </c>
      <c r="P5" s="20">
        <f t="array" ref="P5">IF(P4=0,"",_xlfn.TEXTJOIN(CHAR(10),TRUE,IF((INDEX(Unified_Matrix!$A:$ZZ,3,MATCH("Max "&amp;P$1,Unified_Matrix!$1:$1,0)):INDEX(Unified_Matrix!$A:$ZZ,300,MATCH("Max "&amp;P$1,Unified_Matrix!$1:$1,0))=P4)*(INDEX(Unified_Matrix!$A:$ZZ,3,MATCH("Max "&amp;P$1,Unified_Matrix!$1:$1,0)):INDEX(Unified_Matrix!$A:$ZZ,300,MATCH("Max "&amp;P$1,Unified_Matrix!$1:$1,0))&gt;0),INDEX(Unified_Matrix!$A:$ZZ,3,MATCH("Evolution_Name",Unified_Matrix!$1:$1,0)):INDEX(Unified_Matrix!$A:$ZZ,300,MATCH("Evolution_Name",Unified_Matrix!$1:$1,0)),"")))</f>
        <v/>
      </c>
      <c r="Q5" s="20">
        <f t="array" ref="Q5">IF(Q4=0,"",_xlfn.TEXTJOIN(CHAR(10),TRUE,IF((INDEX(Unified_Matrix!$A:$ZZ,3,MATCH("Max "&amp;Q$1,Unified_Matrix!$1:$1,0)):INDEX(Unified_Matrix!$A:$ZZ,300,MATCH("Max "&amp;Q$1,Unified_Matrix!$1:$1,0))=Q4)*(INDEX(Unified_Matrix!$A:$ZZ,3,MATCH("Max "&amp;Q$1,Unified_Matrix!$1:$1,0)):INDEX(Unified_Matrix!$A:$ZZ,300,MATCH("Max "&amp;Q$1,Unified_Matrix!$1:$1,0))&gt;0),INDEX(Unified_Matrix!$A:$ZZ,3,MATCH("Evolution_Name",Unified_Matrix!$1:$1,0)):INDEX(Unified_Matrix!$A:$ZZ,300,MATCH("Evolution_Name",Unified_Matrix!$1:$1,0)),"")))</f>
        <v/>
      </c>
      <c r="R5" s="20">
        <f t="array" ref="R5">IF(R4=0,"",_xlfn.TEXTJOIN(CHAR(10),TRUE,IF((INDEX(Unified_Matrix!$A:$ZZ,3,MATCH("Max "&amp;R$1,Unified_Matrix!$1:$1,0)):INDEX(Unified_Matrix!$A:$ZZ,300,MATCH("Max "&amp;R$1,Unified_Matrix!$1:$1,0))=R4)*(INDEX(Unified_Matrix!$A:$ZZ,3,MATCH("Max "&amp;R$1,Unified_Matrix!$1:$1,0)):INDEX(Unified_Matrix!$A:$ZZ,300,MATCH("Max "&amp;R$1,Unified_Matrix!$1:$1,0))&gt;0),INDEX(Unified_Matrix!$A:$ZZ,3,MATCH("Evolution_Name",Unified_Matrix!$1:$1,0)):INDEX(Unified_Matrix!$A:$ZZ,300,MATCH("Evolution_Name",Unified_Matrix!$1:$1,0)),"")))</f>
        <v/>
      </c>
      <c r="S5" s="20">
        <f t="array" ref="S5">IF(S4=0,"",_xlfn.TEXTJOIN(CHAR(10),TRUE,IF((INDEX(Unified_Matrix!$A:$ZZ,3,MATCH("Max "&amp;S$1,Unified_Matrix!$1:$1,0)):INDEX(Unified_Matrix!$A:$ZZ,300,MATCH("Max "&amp;S$1,Unified_Matrix!$1:$1,0))=S4)*(INDEX(Unified_Matrix!$A:$ZZ,3,MATCH("Max "&amp;S$1,Unified_Matrix!$1:$1,0)):INDEX(Unified_Matrix!$A:$ZZ,300,MATCH("Max "&amp;S$1,Unified_Matrix!$1:$1,0))&gt;0),INDEX(Unified_Matrix!$A:$ZZ,3,MATCH("Evolution_Name",Unified_Matrix!$1:$1,0)):INDEX(Unified_Matrix!$A:$ZZ,300,MATCH("Evolution_Name",Unified_Matrix!$1:$1,0)),"")))</f>
        <v/>
      </c>
      <c r="T5" s="20">
        <f t="array" ref="T5">IF(T4=0,"",_xlfn.TEXTJOIN(CHAR(10),TRUE,IF((INDEX(Unified_Matrix!$A:$ZZ,3,MATCH("Max "&amp;T$1,Unified_Matrix!$1:$1,0)):INDEX(Unified_Matrix!$A:$ZZ,300,MATCH("Max "&amp;T$1,Unified_Matrix!$1:$1,0))=T4)*(INDEX(Unified_Matrix!$A:$ZZ,3,MATCH("Max "&amp;T$1,Unified_Matrix!$1:$1,0)):INDEX(Unified_Matrix!$A:$ZZ,300,MATCH("Max "&amp;T$1,Unified_Matrix!$1:$1,0))&gt;0),INDEX(Unified_Matrix!$A:$ZZ,3,MATCH("Evolution_Name",Unified_Matrix!$1:$1,0)):INDEX(Unified_Matrix!$A:$ZZ,300,MATCH("Evolution_Name",Unified_Matrix!$1:$1,0)),"")))</f>
        <v/>
      </c>
      <c r="U5" s="20">
        <f t="array" ref="U5">IF(U4=0,"",_xlfn.TEXTJOIN(CHAR(10),TRUE,IF((INDEX(Unified_Matrix!$A:$ZZ,3,MATCH("Max "&amp;U$1,Unified_Matrix!$1:$1,0)):INDEX(Unified_Matrix!$A:$ZZ,300,MATCH("Max "&amp;U$1,Unified_Matrix!$1:$1,0))=U4)*(INDEX(Unified_Matrix!$A:$ZZ,3,MATCH("Max "&amp;U$1,Unified_Matrix!$1:$1,0)):INDEX(Unified_Matrix!$A:$ZZ,300,MATCH("Max "&amp;U$1,Unified_Matrix!$1:$1,0))&gt;0),INDEX(Unified_Matrix!$A:$ZZ,3,MATCH("Evolution_Name",Unified_Matrix!$1:$1,0)):INDEX(Unified_Matrix!$A:$ZZ,300,MATCH("Evolution_Name",Unified_Matrix!$1:$1,0)),"")))</f>
        <v/>
      </c>
      <c r="V5" s="20">
        <f t="array" ref="V5">IF(V4=0,"",_xlfn.TEXTJOIN(CHAR(10),TRUE,IF((INDEX(Unified_Matrix!$A:$ZZ,3,MATCH("Max "&amp;V$1,Unified_Matrix!$1:$1,0)):INDEX(Unified_Matrix!$A:$ZZ,300,MATCH("Max "&amp;V$1,Unified_Matrix!$1:$1,0))=V4)*(INDEX(Unified_Matrix!$A:$ZZ,3,MATCH("Max "&amp;V$1,Unified_Matrix!$1:$1,0)):INDEX(Unified_Matrix!$A:$ZZ,300,MATCH("Max "&amp;V$1,Unified_Matrix!$1:$1,0))&gt;0),INDEX(Unified_Matrix!$A:$ZZ,3,MATCH("Evolution_Name",Unified_Matrix!$1:$1,0)):INDEX(Unified_Matrix!$A:$ZZ,300,MATCH("Evolution_Name",Unified_Matrix!$1:$1,0)),"")))</f>
        <v/>
      </c>
      <c r="W5" s="20">
        <f t="array" ref="W5">IF(W4=0,"",_xlfn.TEXTJOIN(CHAR(10),TRUE,IF((INDEX(Unified_Matrix!$A:$ZZ,3,MATCH("Max "&amp;W$1,Unified_Matrix!$1:$1,0)):INDEX(Unified_Matrix!$A:$ZZ,300,MATCH("Max "&amp;W$1,Unified_Matrix!$1:$1,0))=W4)*(INDEX(Unified_Matrix!$A:$ZZ,3,MATCH("Max "&amp;W$1,Unified_Matrix!$1:$1,0)):INDEX(Unified_Matrix!$A:$ZZ,300,MATCH("Max "&amp;W$1,Unified_Matrix!$1:$1,0))&gt;0),INDEX(Unified_Matrix!$A:$ZZ,3,MATCH("Evolution_Name",Unified_Matrix!$1:$1,0)):INDEX(Unified_Matrix!$A:$ZZ,300,MATCH("Evolution_Name",Unified_Matrix!$1:$1,0)),"")))</f>
        <v/>
      </c>
      <c r="X5" s="20">
        <f t="array" ref="X5">IF(X4=0,"",_xlfn.TEXTJOIN(CHAR(10),TRUE,IF((INDEX(Unified_Matrix!$A:$ZZ,3,MATCH("Max "&amp;X$1,Unified_Matrix!$1:$1,0)):INDEX(Unified_Matrix!$A:$ZZ,300,MATCH("Max "&amp;X$1,Unified_Matrix!$1:$1,0))=X4)*(INDEX(Unified_Matrix!$A:$ZZ,3,MATCH("Max "&amp;X$1,Unified_Matrix!$1:$1,0)):INDEX(Unified_Matrix!$A:$ZZ,300,MATCH("Max "&amp;X$1,Unified_Matrix!$1:$1,0))&gt;0),INDEX(Unified_Matrix!$A:$ZZ,3,MATCH("Evolution_Name",Unified_Matrix!$1:$1,0)):INDEX(Unified_Matrix!$A:$ZZ,300,MATCH("Evolution_Name",Unified_Matrix!$1:$1,0)),"")))</f>
        <v/>
      </c>
      <c r="Y5" s="20">
        <f t="array" ref="Y5">IF(Y4=0,"",_xlfn.TEXTJOIN(CHAR(10),TRUE,IF((INDEX(Unified_Matrix!$A:$ZZ,3,MATCH("Max "&amp;Y$1,Unified_Matrix!$1:$1,0)):INDEX(Unified_Matrix!$A:$ZZ,300,MATCH("Max "&amp;Y$1,Unified_Matrix!$1:$1,0))=Y4)*(INDEX(Unified_Matrix!$A:$ZZ,3,MATCH("Max "&amp;Y$1,Unified_Matrix!$1:$1,0)):INDEX(Unified_Matrix!$A:$ZZ,300,MATCH("Max "&amp;Y$1,Unified_Matrix!$1:$1,0))&gt;0),INDEX(Unified_Matrix!$A:$ZZ,3,MATCH("Evolution_Name",Unified_Matrix!$1:$1,0)):INDEX(Unified_Matrix!$A:$ZZ,300,MATCH("Evolution_Name",Unified_Matrix!$1:$1,0)),"")))</f>
        <v/>
      </c>
      <c r="Z5" s="20">
        <f t="array" ref="Z5">IF(Z4=0,"",_xlfn.TEXTJOIN(CHAR(10),TRUE,IF((INDEX(Unified_Matrix!$A:$ZZ,3,MATCH("Max "&amp;Z$1,Unified_Matrix!$1:$1,0)):INDEX(Unified_Matrix!$A:$ZZ,300,MATCH("Max "&amp;Z$1,Unified_Matrix!$1:$1,0))=Z4)*(INDEX(Unified_Matrix!$A:$ZZ,3,MATCH("Max "&amp;Z$1,Unified_Matrix!$1:$1,0)):INDEX(Unified_Matrix!$A:$ZZ,300,MATCH("Max "&amp;Z$1,Unified_Matrix!$1:$1,0))&gt;0),INDEX(Unified_Matrix!$A:$ZZ,3,MATCH("Evolution_Name",Unified_Matrix!$1:$1,0)):INDEX(Unified_Matrix!$A:$ZZ,300,MATCH("Evolution_Name",Unified_Matrix!$1:$1,0)),"")))</f>
        <v/>
      </c>
      <c r="AA5" s="20">
        <f t="array" ref="AA5">IF(AA4=0,"",_xlfn.TEXTJOIN(CHAR(10),TRUE,IF((INDEX(Unified_Matrix!$A:$ZZ,3,MATCH("Max "&amp;AA$1,Unified_Matrix!$1:$1,0)):INDEX(Unified_Matrix!$A:$ZZ,300,MATCH("Max "&amp;AA$1,Unified_Matrix!$1:$1,0))=AA4)*(INDEX(Unified_Matrix!$A:$ZZ,3,MATCH("Max "&amp;AA$1,Unified_Matrix!$1:$1,0)):INDEX(Unified_Matrix!$A:$ZZ,300,MATCH("Max "&amp;AA$1,Unified_Matrix!$1:$1,0))&gt;0),INDEX(Unified_Matrix!$A:$ZZ,3,MATCH("Evolution_Name",Unified_Matrix!$1:$1,0)):INDEX(Unified_Matrix!$A:$ZZ,300,MATCH("Evolution_Name",Unified_Matrix!$1:$1,0)),"")))</f>
        <v/>
      </c>
      <c r="AB5" s="20">
        <f t="array" ref="AB5">IF(AB4=0,"",_xlfn.TEXTJOIN(CHAR(10),TRUE,IF((INDEX(Unified_Matrix!$A:$ZZ,3,MATCH("Max "&amp;AB$1,Unified_Matrix!$1:$1,0)):INDEX(Unified_Matrix!$A:$ZZ,300,MATCH("Max "&amp;AB$1,Unified_Matrix!$1:$1,0))=AB4)*(INDEX(Unified_Matrix!$A:$ZZ,3,MATCH("Max "&amp;AB$1,Unified_Matrix!$1:$1,0)):INDEX(Unified_Matrix!$A:$ZZ,300,MATCH("Max "&amp;AB$1,Unified_Matrix!$1:$1,0))&gt;0),INDEX(Unified_Matrix!$A:$ZZ,3,MATCH("Evolution_Name",Unified_Matrix!$1:$1,0)):INDEX(Unified_Matrix!$A:$ZZ,300,MATCH("Evolution_Name",Unified_Matrix!$1:$1,0)),"")))</f>
        <v/>
      </c>
      <c r="AC5" s="20">
        <f t="array" ref="AC5">IF(AC4=0,"",_xlfn.TEXTJOIN(CHAR(10),TRUE,IF((INDEX(Unified_Matrix!$A:$ZZ,3,MATCH("Max "&amp;AC$1,Unified_Matrix!$1:$1,0)):INDEX(Unified_Matrix!$A:$ZZ,300,MATCH("Max "&amp;AC$1,Unified_Matrix!$1:$1,0))=AC4)*(INDEX(Unified_Matrix!$A:$ZZ,3,MATCH("Max "&amp;AC$1,Unified_Matrix!$1:$1,0)):INDEX(Unified_Matrix!$A:$ZZ,300,MATCH("Max "&amp;AC$1,Unified_Matrix!$1:$1,0))&gt;0),INDEX(Unified_Matrix!$A:$ZZ,3,MATCH("Evolution_Name",Unified_Matrix!$1:$1,0)):INDEX(Unified_Matrix!$A:$ZZ,300,MATCH("Evolution_Name",Unified_Matrix!$1:$1,0)),"")))</f>
        <v/>
      </c>
      <c r="AD5" s="20">
        <f t="array" ref="AD5">IF(AD4=0,"",_xlfn.TEXTJOIN(CHAR(10),TRUE,IF((INDEX(Unified_Matrix!$A:$ZZ,3,MATCH("Max "&amp;AD$1,Unified_Matrix!$1:$1,0)):INDEX(Unified_Matrix!$A:$ZZ,300,MATCH("Max "&amp;AD$1,Unified_Matrix!$1:$1,0))=AD4)*(INDEX(Unified_Matrix!$A:$ZZ,3,MATCH("Max "&amp;AD$1,Unified_Matrix!$1:$1,0)):INDEX(Unified_Matrix!$A:$ZZ,300,MATCH("Max "&amp;AD$1,Unified_Matrix!$1:$1,0))&gt;0),INDEX(Unified_Matrix!$A:$ZZ,3,MATCH("Evolution_Name",Unified_Matrix!$1:$1,0)):INDEX(Unified_Matrix!$A:$ZZ,300,MATCH("Evolution_Name",Unified_Matrix!$1:$1,0)),"")))</f>
        <v/>
      </c>
      <c r="AE5" s="20">
        <f t="array" ref="AE5">IF(AE4=0,"",_xlfn.TEXTJOIN(CHAR(10),TRUE,IF((INDEX(Unified_Matrix!$A:$ZZ,3,MATCH("Max "&amp;AE$1,Unified_Matrix!$1:$1,0)):INDEX(Unified_Matrix!$A:$ZZ,300,MATCH("Max "&amp;AE$1,Unified_Matrix!$1:$1,0))=AE4)*(INDEX(Unified_Matrix!$A:$ZZ,3,MATCH("Max "&amp;AE$1,Unified_Matrix!$1:$1,0)):INDEX(Unified_Matrix!$A:$ZZ,300,MATCH("Max "&amp;AE$1,Unified_Matrix!$1:$1,0))&gt;0),INDEX(Unified_Matrix!$A:$ZZ,3,MATCH("Evolution_Name",Unified_Matrix!$1:$1,0)):INDEX(Unified_Matrix!$A:$ZZ,300,MATCH("Evolution_Name",Unified_Matrix!$1:$1,0)),"")))</f>
        <v/>
      </c>
      <c r="AF5" s="20">
        <f t="array" ref="AF5">IF(AF4=0,"",_xlfn.TEXTJOIN(CHAR(10),TRUE,IF((INDEX(Unified_Matrix!$A:$ZZ,3,MATCH("Max "&amp;AF$1,Unified_Matrix!$1:$1,0)):INDEX(Unified_Matrix!$A:$ZZ,300,MATCH("Max "&amp;AF$1,Unified_Matrix!$1:$1,0))=AF4)*(INDEX(Unified_Matrix!$A:$ZZ,3,MATCH("Max "&amp;AF$1,Unified_Matrix!$1:$1,0)):INDEX(Unified_Matrix!$A:$ZZ,300,MATCH("Max "&amp;AF$1,Unified_Matrix!$1:$1,0))&gt;0),INDEX(Unified_Matrix!$A:$ZZ,3,MATCH("Evolution_Name",Unified_Matrix!$1:$1,0)):INDEX(Unified_Matrix!$A:$ZZ,300,MATCH("Evolution_Name",Unified_Matrix!$1:$1,0)),"")))</f>
        <v/>
      </c>
      <c r="AG5" s="20">
        <f t="array" ref="AG5">IF(AG4=0,"",_xlfn.TEXTJOIN(CHAR(10),TRUE,IF((INDEX(Unified_Matrix!$A:$ZZ,3,MATCH("Max "&amp;AG$1,Unified_Matrix!$1:$1,0)):INDEX(Unified_Matrix!$A:$ZZ,300,MATCH("Max "&amp;AG$1,Unified_Matrix!$1:$1,0))=AG4)*(INDEX(Unified_Matrix!$A:$ZZ,3,MATCH("Max "&amp;AG$1,Unified_Matrix!$1:$1,0)):INDEX(Unified_Matrix!$A:$ZZ,300,MATCH("Max "&amp;AG$1,Unified_Matrix!$1:$1,0))&gt;0),INDEX(Unified_Matrix!$A:$ZZ,3,MATCH("Evolution_Name",Unified_Matrix!$1:$1,0)):INDEX(Unified_Matrix!$A:$ZZ,300,MATCH("Evolution_Name",Unified_Matrix!$1:$1,0)),"")))</f>
        <v/>
      </c>
      <c r="AH5" s="20">
        <f t="array" ref="AH5">IF(AH4=0,"",_xlfn.TEXTJOIN(CHAR(10),TRUE,IF((INDEX(Unified_Matrix!$A:$ZZ,3,MATCH("Max "&amp;AH$1,Unified_Matrix!$1:$1,0)):INDEX(Unified_Matrix!$A:$ZZ,300,MATCH("Max "&amp;AH$1,Unified_Matrix!$1:$1,0))=AH4)*(INDEX(Unified_Matrix!$A:$ZZ,3,MATCH("Max "&amp;AH$1,Unified_Matrix!$1:$1,0)):INDEX(Unified_Matrix!$A:$ZZ,300,MATCH("Max "&amp;AH$1,Unified_Matrix!$1:$1,0))&gt;0),INDEX(Unified_Matrix!$A:$ZZ,3,MATCH("Evolution_Name",Unified_Matrix!$1:$1,0)):INDEX(Unified_Matrix!$A:$ZZ,300,MATCH("Evolution_Name",Unified_Matrix!$1:$1,0)),"")))</f>
        <v/>
      </c>
      <c r="AI5" s="20">
        <f t="array" ref="AI5">IF(AI4=0,"",_xlfn.TEXTJOIN(CHAR(10),TRUE,IF((INDEX(Unified_Matrix!$A:$ZZ,3,MATCH("Max "&amp;AI$1,Unified_Matrix!$1:$1,0)):INDEX(Unified_Matrix!$A:$ZZ,300,MATCH("Max "&amp;AI$1,Unified_Matrix!$1:$1,0))=AI4)*(INDEX(Unified_Matrix!$A:$ZZ,3,MATCH("Max "&amp;AI$1,Unified_Matrix!$1:$1,0)):INDEX(Unified_Matrix!$A:$ZZ,300,MATCH("Max "&amp;AI$1,Unified_Matrix!$1:$1,0))&gt;0),INDEX(Unified_Matrix!$A:$ZZ,3,MATCH("Evolution_Name",Unified_Matrix!$1:$1,0)):INDEX(Unified_Matrix!$A:$ZZ,300,MATCH("Evolution_Name",Unified_Matrix!$1:$1,0)),"")))</f>
        <v/>
      </c>
      <c r="AJ5" s="20">
        <f t="array" ref="AJ5">IF(AJ4=0,"",_xlfn.TEXTJOIN(CHAR(10),TRUE,IF((INDEX(Unified_Matrix!$A:$ZZ,3,MATCH("Max "&amp;AJ$1,Unified_Matrix!$1:$1,0)):INDEX(Unified_Matrix!$A:$ZZ,300,MATCH("Max "&amp;AJ$1,Unified_Matrix!$1:$1,0))=AJ4)*(INDEX(Unified_Matrix!$A:$ZZ,3,MATCH("Max "&amp;AJ$1,Unified_Matrix!$1:$1,0)):INDEX(Unified_Matrix!$A:$ZZ,300,MATCH("Max "&amp;AJ$1,Unified_Matrix!$1:$1,0))&gt;0),INDEX(Unified_Matrix!$A:$ZZ,3,MATCH("Evolution_Name",Unified_Matrix!$1:$1,0)):INDEX(Unified_Matrix!$A:$ZZ,300,MATCH("Evolution_Name",Unified_Matrix!$1:$1,0)),"")))</f>
        <v/>
      </c>
      <c r="AK5" s="20">
        <f t="array" ref="AK5">IF(AK4=0,"",_xlfn.TEXTJOIN(CHAR(10),TRUE,IF((INDEX(Unified_Matrix!$A:$ZZ,3,MATCH("Max "&amp;AK$1,Unified_Matrix!$1:$1,0)):INDEX(Unified_Matrix!$A:$ZZ,300,MATCH("Max "&amp;AK$1,Unified_Matrix!$1:$1,0))=AK4)*(INDEX(Unified_Matrix!$A:$ZZ,3,MATCH("Max "&amp;AK$1,Unified_Matrix!$1:$1,0)):INDEX(Unified_Matrix!$A:$ZZ,300,MATCH("Max "&amp;AK$1,Unified_Matrix!$1:$1,0))&gt;0),INDEX(Unified_Matrix!$A:$ZZ,3,MATCH("Evolution_Name",Unified_Matrix!$1:$1,0)):INDEX(Unified_Matrix!$A:$ZZ,300,MATCH("Evolution_Name",Unified_Matrix!$1:$1,0)),"")))</f>
        <v/>
      </c>
      <c r="AL5" s="20">
        <f t="array" ref="AL5">IF(AL4=0,"",_xlfn.TEXTJOIN(CHAR(10),TRUE,IF((INDEX(Unified_Matrix!$A:$ZZ,3,MATCH("Max "&amp;AL$1,Unified_Matrix!$1:$1,0)):INDEX(Unified_Matrix!$A:$ZZ,300,MATCH("Max "&amp;AL$1,Unified_Matrix!$1:$1,0))=AL4)*(INDEX(Unified_Matrix!$A:$ZZ,3,MATCH("Max "&amp;AL$1,Unified_Matrix!$1:$1,0)):INDEX(Unified_Matrix!$A:$ZZ,300,MATCH("Max "&amp;AL$1,Unified_Matrix!$1:$1,0))&gt;0),INDEX(Unified_Matrix!$A:$ZZ,3,MATCH("Evolution_Name",Unified_Matrix!$1:$1,0)):INDEX(Unified_Matrix!$A:$ZZ,300,MATCH("Evolution_Name",Unified_Matrix!$1:$1,0)),"")))</f>
        <v/>
      </c>
      <c r="AM5" s="20">
        <f t="array" ref="AM5">IF(AM4=0,"",_xlfn.TEXTJOIN(CHAR(10),TRUE,IF((INDEX(Unified_Matrix!$A:$ZZ,3,MATCH("Max "&amp;AM$1,Unified_Matrix!$1:$1,0)):INDEX(Unified_Matrix!$A:$ZZ,300,MATCH("Max "&amp;AM$1,Unified_Matrix!$1:$1,0))=AM4)*(INDEX(Unified_Matrix!$A:$ZZ,3,MATCH("Max "&amp;AM$1,Unified_Matrix!$1:$1,0)):INDEX(Unified_Matrix!$A:$ZZ,300,MATCH("Max "&amp;AM$1,Unified_Matrix!$1:$1,0))&gt;0),INDEX(Unified_Matrix!$A:$ZZ,3,MATCH("Evolution_Name",Unified_Matrix!$1:$1,0)):INDEX(Unified_Matrix!$A:$ZZ,300,MATCH("Evolution_Name",Unified_Matrix!$1:$1,0)),"")))</f>
        <v/>
      </c>
      <c r="AN5" s="20">
        <f t="array" ref="AN5">IF(AN4=0,"",_xlfn.TEXTJOIN(CHAR(10),TRUE,IF((INDEX(Unified_Matrix!$A:$ZZ,3,MATCH("Max "&amp;AN$1,Unified_Matrix!$1:$1,0)):INDEX(Unified_Matrix!$A:$ZZ,300,MATCH("Max "&amp;AN$1,Unified_Matrix!$1:$1,0))=AN4)*(INDEX(Unified_Matrix!$A:$ZZ,3,MATCH("Max "&amp;AN$1,Unified_Matrix!$1:$1,0)):INDEX(Unified_Matrix!$A:$ZZ,300,MATCH("Max "&amp;AN$1,Unified_Matrix!$1:$1,0))&gt;0),INDEX(Unified_Matrix!$A:$ZZ,3,MATCH("Evolution_Name",Unified_Matrix!$1:$1,0)):INDEX(Unified_Matrix!$A:$ZZ,300,MATCH("Evolution_Name",Unified_Matrix!$1:$1,0)),"")))</f>
        <v/>
      </c>
      <c r="AO5" s="20">
        <f t="array" ref="AO5">IF(AO4=0,"",_xlfn.TEXTJOIN(CHAR(10),TRUE,IF((INDEX(Unified_Matrix!$A:$ZZ,3,MATCH("Max "&amp;AO$1,Unified_Matrix!$1:$1,0)):INDEX(Unified_Matrix!$A:$ZZ,300,MATCH("Max "&amp;AO$1,Unified_Matrix!$1:$1,0))=AO4)*(INDEX(Unified_Matrix!$A:$ZZ,3,MATCH("Max "&amp;AO$1,Unified_Matrix!$1:$1,0)):INDEX(Unified_Matrix!$A:$ZZ,300,MATCH("Max "&amp;AO$1,Unified_Matrix!$1:$1,0))&gt;0),INDEX(Unified_Matrix!$A:$ZZ,3,MATCH("Evolution_Name",Unified_Matrix!$1:$1,0)):INDEX(Unified_Matrix!$A:$ZZ,300,MATCH("Evolution_Name",Unified_Matrix!$1:$1,0)),"")))</f>
        <v/>
      </c>
      <c r="AP5" s="20">
        <f t="array" ref="AP5">IF(AP4=0,"",_xlfn.TEXTJOIN(CHAR(10),TRUE,IF((INDEX(Unified_Matrix!$A:$ZZ,3,MATCH("Max "&amp;AP$1,Unified_Matrix!$1:$1,0)):INDEX(Unified_Matrix!$A:$ZZ,300,MATCH("Max "&amp;AP$1,Unified_Matrix!$1:$1,0))=AP4)*(INDEX(Unified_Matrix!$A:$ZZ,3,MATCH("Max "&amp;AP$1,Unified_Matrix!$1:$1,0)):INDEX(Unified_Matrix!$A:$ZZ,300,MATCH("Max "&amp;AP$1,Unified_Matrix!$1:$1,0))&gt;0),INDEX(Unified_Matrix!$A:$ZZ,3,MATCH("Evolution_Name",Unified_Matrix!$1:$1,0)):INDEX(Unified_Matrix!$A:$ZZ,300,MATCH("Evolution_Name",Unified_Matrix!$1:$1,0)),"")))</f>
        <v/>
      </c>
      <c r="AQ5" s="20">
        <f t="array" ref="AQ5">IF(AQ4=0,"",_xlfn.TEXTJOIN(CHAR(10),TRUE,IF((INDEX(Unified_Matrix!$A:$ZZ,3,MATCH("Max "&amp;AQ$1,Unified_Matrix!$1:$1,0)):INDEX(Unified_Matrix!$A:$ZZ,300,MATCH("Max "&amp;AQ$1,Unified_Matrix!$1:$1,0))=AQ4)*(INDEX(Unified_Matrix!$A:$ZZ,3,MATCH("Max "&amp;AQ$1,Unified_Matrix!$1:$1,0)):INDEX(Unified_Matrix!$A:$ZZ,300,MATCH("Max "&amp;AQ$1,Unified_Matrix!$1:$1,0))&gt;0),INDEX(Unified_Matrix!$A:$ZZ,3,MATCH("Evolution_Name",Unified_Matrix!$1:$1,0)):INDEX(Unified_Matrix!$A:$ZZ,300,MATCH("Evolution_Name",Unified_Matrix!$1:$1,0)),"")))</f>
        <v/>
      </c>
      <c r="AR5" s="20">
        <f t="array" ref="AR5">IF(AR4=0,"",_xlfn.TEXTJOIN(CHAR(10),TRUE,IF((INDEX(Unified_Matrix!$A:$ZZ,3,MATCH("Max "&amp;AR$1,Unified_Matrix!$1:$1,0)):INDEX(Unified_Matrix!$A:$ZZ,300,MATCH("Max "&amp;AR$1,Unified_Matrix!$1:$1,0))=AR4)*(INDEX(Unified_Matrix!$A:$ZZ,3,MATCH("Max "&amp;AR$1,Unified_Matrix!$1:$1,0)):INDEX(Unified_Matrix!$A:$ZZ,300,MATCH("Max "&amp;AR$1,Unified_Matrix!$1:$1,0))&gt;0),INDEX(Unified_Matrix!$A:$ZZ,3,MATCH("Evolution_Name",Unified_Matrix!$1:$1,0)):INDEX(Unified_Matrix!$A:$ZZ,300,MATCH("Evolution_Name",Unified_Matrix!$1:$1,0)),"")))</f>
        <v/>
      </c>
      <c r="AS5" s="20">
        <f t="array" ref="AS5">IF(AS4=0,"",_xlfn.TEXTJOIN(CHAR(10),TRUE,IF((INDEX(Unified_Matrix!$A:$ZZ,3,MATCH("Max "&amp;AS$1,Unified_Matrix!$1:$1,0)):INDEX(Unified_Matrix!$A:$ZZ,300,MATCH("Max "&amp;AS$1,Unified_Matrix!$1:$1,0))=AS4)*(INDEX(Unified_Matrix!$A:$ZZ,3,MATCH("Max "&amp;AS$1,Unified_Matrix!$1:$1,0)):INDEX(Unified_Matrix!$A:$ZZ,300,MATCH("Max "&amp;AS$1,Unified_Matrix!$1:$1,0))&gt;0),INDEX(Unified_Matrix!$A:$ZZ,3,MATCH("Evolution_Name",Unified_Matrix!$1:$1,0)):INDEX(Unified_Matrix!$A:$ZZ,300,MATCH("Evolution_Name",Unified_Matrix!$1:$1,0)),"")))</f>
        <v/>
      </c>
      <c r="AT5" s="20">
        <f t="array" ref="AT5">IF(AT4=0,"",_xlfn.TEXTJOIN(CHAR(10),TRUE,IF((INDEX(Unified_Matrix!$A:$ZZ,3,MATCH("Max "&amp;AT$1,Unified_Matrix!$1:$1,0)):INDEX(Unified_Matrix!$A:$ZZ,300,MATCH("Max "&amp;AT$1,Unified_Matrix!$1:$1,0))=AT4)*(INDEX(Unified_Matrix!$A:$ZZ,3,MATCH("Max "&amp;AT$1,Unified_Matrix!$1:$1,0)):INDEX(Unified_Matrix!$A:$ZZ,300,MATCH("Max "&amp;AT$1,Unified_Matrix!$1:$1,0))&gt;0),INDEX(Unified_Matrix!$A:$ZZ,3,MATCH("Evolution_Name",Unified_Matrix!$1:$1,0)):INDEX(Unified_Matrix!$A:$ZZ,300,MATCH("Evolution_Name",Unified_Matrix!$1:$1,0)),"")))</f>
        <v/>
      </c>
    </row>
    <row r="6">
      <c r="H6" s="17" t="inlineStr">
        <is>
          <t>3위</t>
        </is>
      </c>
      <c r="I6" s="18" t="inlineStr">
        <is>
          <t>MAX</t>
        </is>
      </c>
      <c r="J6" s="20">
        <f>_xlfn.MAXIFS(INDEX(Unified_Matrix!$A:$ZZ,3,MATCH("Max "&amp;J$1,Unified_Matrix!$1:$1,0)):INDEX(Unified_Matrix!$A:$ZZ,300,MATCH("Max "&amp;J$1,Unified_Matrix!$1:$1,0)),INDEX(Unified_Matrix!$A:$ZZ,3,MATCH("Max "&amp;J$1,Unified_Matrix!$1:$1,0)):INDEX(Unified_Matrix!$A:$ZZ,300,MATCH("Max "&amp;J$1,Unified_Matrix!$1:$1,0)),"&lt;"&amp;J4,INDEX(Unified_Matrix!$A:$ZZ,3,MATCH("Max "&amp;J$1,Unified_Matrix!$1:$1,0)):INDEX(Unified_Matrix!$A:$ZZ,300,MATCH("Max "&amp;J$1,Unified_Matrix!$1:$1,0)),"&gt;0")</f>
        <v/>
      </c>
      <c r="K6" s="20">
        <f>_xlfn.MAXIFS(INDEX(Unified_Matrix!$A:$ZZ,3,MATCH("Max "&amp;K$1,Unified_Matrix!$1:$1,0)):INDEX(Unified_Matrix!$A:$ZZ,300,MATCH("Max "&amp;K$1,Unified_Matrix!$1:$1,0)),INDEX(Unified_Matrix!$A:$ZZ,3,MATCH("Max "&amp;K$1,Unified_Matrix!$1:$1,0)):INDEX(Unified_Matrix!$A:$ZZ,300,MATCH("Max "&amp;K$1,Unified_Matrix!$1:$1,0)),"&lt;"&amp;K4,INDEX(Unified_Matrix!$A:$ZZ,3,MATCH("Max "&amp;K$1,Unified_Matrix!$1:$1,0)):INDEX(Unified_Matrix!$A:$ZZ,300,MATCH("Max "&amp;K$1,Unified_Matrix!$1:$1,0)),"&gt;0")</f>
        <v/>
      </c>
      <c r="L6" s="20">
        <f>_xlfn.MAXIFS(INDEX(Unified_Matrix!$A:$ZZ,3,MATCH("Max "&amp;L$1,Unified_Matrix!$1:$1,0)):INDEX(Unified_Matrix!$A:$ZZ,300,MATCH("Max "&amp;L$1,Unified_Matrix!$1:$1,0)),INDEX(Unified_Matrix!$A:$ZZ,3,MATCH("Max "&amp;L$1,Unified_Matrix!$1:$1,0)):INDEX(Unified_Matrix!$A:$ZZ,300,MATCH("Max "&amp;L$1,Unified_Matrix!$1:$1,0)),"&lt;"&amp;L4,INDEX(Unified_Matrix!$A:$ZZ,3,MATCH("Max "&amp;L$1,Unified_Matrix!$1:$1,0)):INDEX(Unified_Matrix!$A:$ZZ,300,MATCH("Max "&amp;L$1,Unified_Matrix!$1:$1,0)),"&gt;0")</f>
        <v/>
      </c>
      <c r="M6" s="20">
        <f>_xlfn.MAXIFS(INDEX(Unified_Matrix!$A:$ZZ,3,MATCH("Max "&amp;M$1,Unified_Matrix!$1:$1,0)):INDEX(Unified_Matrix!$A:$ZZ,300,MATCH("Max "&amp;M$1,Unified_Matrix!$1:$1,0)),INDEX(Unified_Matrix!$A:$ZZ,3,MATCH("Max "&amp;M$1,Unified_Matrix!$1:$1,0)):INDEX(Unified_Matrix!$A:$ZZ,300,MATCH("Max "&amp;M$1,Unified_Matrix!$1:$1,0)),"&lt;"&amp;M4,INDEX(Unified_Matrix!$A:$ZZ,3,MATCH("Max "&amp;M$1,Unified_Matrix!$1:$1,0)):INDEX(Unified_Matrix!$A:$ZZ,300,MATCH("Max "&amp;M$1,Unified_Matrix!$1:$1,0)),"&gt;0")</f>
        <v/>
      </c>
      <c r="N6" s="20">
        <f>_xlfn.MAXIFS(INDEX(Unified_Matrix!$A:$ZZ,3,MATCH("Max "&amp;N$1,Unified_Matrix!$1:$1,0)):INDEX(Unified_Matrix!$A:$ZZ,300,MATCH("Max "&amp;N$1,Unified_Matrix!$1:$1,0)),INDEX(Unified_Matrix!$A:$ZZ,3,MATCH("Max "&amp;N$1,Unified_Matrix!$1:$1,0)):INDEX(Unified_Matrix!$A:$ZZ,300,MATCH("Max "&amp;N$1,Unified_Matrix!$1:$1,0)),"&lt;"&amp;N4,INDEX(Unified_Matrix!$A:$ZZ,3,MATCH("Max "&amp;N$1,Unified_Matrix!$1:$1,0)):INDEX(Unified_Matrix!$A:$ZZ,300,MATCH("Max "&amp;N$1,Unified_Matrix!$1:$1,0)),"&gt;0")</f>
        <v/>
      </c>
      <c r="O6" s="20">
        <f>_xlfn.MAXIFS(INDEX(Unified_Matrix!$A:$ZZ,3,MATCH("Max "&amp;O$1,Unified_Matrix!$1:$1,0)):INDEX(Unified_Matrix!$A:$ZZ,300,MATCH("Max "&amp;O$1,Unified_Matrix!$1:$1,0)),INDEX(Unified_Matrix!$A:$ZZ,3,MATCH("Max "&amp;O$1,Unified_Matrix!$1:$1,0)):INDEX(Unified_Matrix!$A:$ZZ,300,MATCH("Max "&amp;O$1,Unified_Matrix!$1:$1,0)),"&lt;"&amp;O4,INDEX(Unified_Matrix!$A:$ZZ,3,MATCH("Max "&amp;O$1,Unified_Matrix!$1:$1,0)):INDEX(Unified_Matrix!$A:$ZZ,300,MATCH("Max "&amp;O$1,Unified_Matrix!$1:$1,0)),"&gt;0")</f>
        <v/>
      </c>
      <c r="P6" s="20">
        <f>_xlfn.MAXIFS(INDEX(Unified_Matrix!$A:$ZZ,3,MATCH("Max "&amp;P$1,Unified_Matrix!$1:$1,0)):INDEX(Unified_Matrix!$A:$ZZ,300,MATCH("Max "&amp;P$1,Unified_Matrix!$1:$1,0)),INDEX(Unified_Matrix!$A:$ZZ,3,MATCH("Max "&amp;P$1,Unified_Matrix!$1:$1,0)):INDEX(Unified_Matrix!$A:$ZZ,300,MATCH("Max "&amp;P$1,Unified_Matrix!$1:$1,0)),"&lt;"&amp;P4,INDEX(Unified_Matrix!$A:$ZZ,3,MATCH("Max "&amp;P$1,Unified_Matrix!$1:$1,0)):INDEX(Unified_Matrix!$A:$ZZ,300,MATCH("Max "&amp;P$1,Unified_Matrix!$1:$1,0)),"&gt;0")</f>
        <v/>
      </c>
      <c r="Q6" s="20">
        <f>_xlfn.MAXIFS(INDEX(Unified_Matrix!$A:$ZZ,3,MATCH("Max "&amp;Q$1,Unified_Matrix!$1:$1,0)):INDEX(Unified_Matrix!$A:$ZZ,300,MATCH("Max "&amp;Q$1,Unified_Matrix!$1:$1,0)),INDEX(Unified_Matrix!$A:$ZZ,3,MATCH("Max "&amp;Q$1,Unified_Matrix!$1:$1,0)):INDEX(Unified_Matrix!$A:$ZZ,300,MATCH("Max "&amp;Q$1,Unified_Matrix!$1:$1,0)),"&lt;"&amp;Q4,INDEX(Unified_Matrix!$A:$ZZ,3,MATCH("Max "&amp;Q$1,Unified_Matrix!$1:$1,0)):INDEX(Unified_Matrix!$A:$ZZ,300,MATCH("Max "&amp;Q$1,Unified_Matrix!$1:$1,0)),"&gt;0")</f>
        <v/>
      </c>
      <c r="R6" s="20">
        <f>_xlfn.MAXIFS(INDEX(Unified_Matrix!$A:$ZZ,3,MATCH("Max "&amp;R$1,Unified_Matrix!$1:$1,0)):INDEX(Unified_Matrix!$A:$ZZ,300,MATCH("Max "&amp;R$1,Unified_Matrix!$1:$1,0)),INDEX(Unified_Matrix!$A:$ZZ,3,MATCH("Max "&amp;R$1,Unified_Matrix!$1:$1,0)):INDEX(Unified_Matrix!$A:$ZZ,300,MATCH("Max "&amp;R$1,Unified_Matrix!$1:$1,0)),"&lt;"&amp;R4,INDEX(Unified_Matrix!$A:$ZZ,3,MATCH("Max "&amp;R$1,Unified_Matrix!$1:$1,0)):INDEX(Unified_Matrix!$A:$ZZ,300,MATCH("Max "&amp;R$1,Unified_Matrix!$1:$1,0)),"&gt;0")</f>
        <v/>
      </c>
      <c r="S6" s="20">
        <f>_xlfn.MAXIFS(INDEX(Unified_Matrix!$A:$ZZ,3,MATCH("Max "&amp;S$1,Unified_Matrix!$1:$1,0)):INDEX(Unified_Matrix!$A:$ZZ,300,MATCH("Max "&amp;S$1,Unified_Matrix!$1:$1,0)),INDEX(Unified_Matrix!$A:$ZZ,3,MATCH("Max "&amp;S$1,Unified_Matrix!$1:$1,0)):INDEX(Unified_Matrix!$A:$ZZ,300,MATCH("Max "&amp;S$1,Unified_Matrix!$1:$1,0)),"&lt;"&amp;S4,INDEX(Unified_Matrix!$A:$ZZ,3,MATCH("Max "&amp;S$1,Unified_Matrix!$1:$1,0)):INDEX(Unified_Matrix!$A:$ZZ,300,MATCH("Max "&amp;S$1,Unified_Matrix!$1:$1,0)),"&gt;0")</f>
        <v/>
      </c>
      <c r="T6" s="20">
        <f>_xlfn.MAXIFS(INDEX(Unified_Matrix!$A:$ZZ,3,MATCH("Max "&amp;T$1,Unified_Matrix!$1:$1,0)):INDEX(Unified_Matrix!$A:$ZZ,300,MATCH("Max "&amp;T$1,Unified_Matrix!$1:$1,0)),INDEX(Unified_Matrix!$A:$ZZ,3,MATCH("Max "&amp;T$1,Unified_Matrix!$1:$1,0)):INDEX(Unified_Matrix!$A:$ZZ,300,MATCH("Max "&amp;T$1,Unified_Matrix!$1:$1,0)),"&lt;"&amp;T4,INDEX(Unified_Matrix!$A:$ZZ,3,MATCH("Max "&amp;T$1,Unified_Matrix!$1:$1,0)):INDEX(Unified_Matrix!$A:$ZZ,300,MATCH("Max "&amp;T$1,Unified_Matrix!$1:$1,0)),"&gt;0")</f>
        <v/>
      </c>
      <c r="U6" s="20">
        <f>_xlfn.MAXIFS(INDEX(Unified_Matrix!$A:$ZZ,3,MATCH("Max "&amp;U$1,Unified_Matrix!$1:$1,0)):INDEX(Unified_Matrix!$A:$ZZ,300,MATCH("Max "&amp;U$1,Unified_Matrix!$1:$1,0)),INDEX(Unified_Matrix!$A:$ZZ,3,MATCH("Max "&amp;U$1,Unified_Matrix!$1:$1,0)):INDEX(Unified_Matrix!$A:$ZZ,300,MATCH("Max "&amp;U$1,Unified_Matrix!$1:$1,0)),"&lt;"&amp;U4,INDEX(Unified_Matrix!$A:$ZZ,3,MATCH("Max "&amp;U$1,Unified_Matrix!$1:$1,0)):INDEX(Unified_Matrix!$A:$ZZ,300,MATCH("Max "&amp;U$1,Unified_Matrix!$1:$1,0)),"&gt;0")</f>
        <v/>
      </c>
      <c r="V6" s="20">
        <f>_xlfn.MAXIFS(INDEX(Unified_Matrix!$A:$ZZ,3,MATCH("Max "&amp;V$1,Unified_Matrix!$1:$1,0)):INDEX(Unified_Matrix!$A:$ZZ,300,MATCH("Max "&amp;V$1,Unified_Matrix!$1:$1,0)),INDEX(Unified_Matrix!$A:$ZZ,3,MATCH("Max "&amp;V$1,Unified_Matrix!$1:$1,0)):INDEX(Unified_Matrix!$A:$ZZ,300,MATCH("Max "&amp;V$1,Unified_Matrix!$1:$1,0)),"&lt;"&amp;V4,INDEX(Unified_Matrix!$A:$ZZ,3,MATCH("Max "&amp;V$1,Unified_Matrix!$1:$1,0)):INDEX(Unified_Matrix!$A:$ZZ,300,MATCH("Max "&amp;V$1,Unified_Matrix!$1:$1,0)),"&gt;0")</f>
        <v/>
      </c>
      <c r="W6" s="20">
        <f>_xlfn.MAXIFS(INDEX(Unified_Matrix!$A:$ZZ,3,MATCH("Max "&amp;W$1,Unified_Matrix!$1:$1,0)):INDEX(Unified_Matrix!$A:$ZZ,300,MATCH("Max "&amp;W$1,Unified_Matrix!$1:$1,0)),INDEX(Unified_Matrix!$A:$ZZ,3,MATCH("Max "&amp;W$1,Unified_Matrix!$1:$1,0)):INDEX(Unified_Matrix!$A:$ZZ,300,MATCH("Max "&amp;W$1,Unified_Matrix!$1:$1,0)),"&lt;"&amp;W4,INDEX(Unified_Matrix!$A:$ZZ,3,MATCH("Max "&amp;W$1,Unified_Matrix!$1:$1,0)):INDEX(Unified_Matrix!$A:$ZZ,300,MATCH("Max "&amp;W$1,Unified_Matrix!$1:$1,0)),"&gt;0")</f>
        <v/>
      </c>
      <c r="X6" s="20">
        <f>_xlfn.MAXIFS(INDEX(Unified_Matrix!$A:$ZZ,3,MATCH("Max "&amp;X$1,Unified_Matrix!$1:$1,0)):INDEX(Unified_Matrix!$A:$ZZ,300,MATCH("Max "&amp;X$1,Unified_Matrix!$1:$1,0)),INDEX(Unified_Matrix!$A:$ZZ,3,MATCH("Max "&amp;X$1,Unified_Matrix!$1:$1,0)):INDEX(Unified_Matrix!$A:$ZZ,300,MATCH("Max "&amp;X$1,Unified_Matrix!$1:$1,0)),"&lt;"&amp;X4,INDEX(Unified_Matrix!$A:$ZZ,3,MATCH("Max "&amp;X$1,Unified_Matrix!$1:$1,0)):INDEX(Unified_Matrix!$A:$ZZ,300,MATCH("Max "&amp;X$1,Unified_Matrix!$1:$1,0)),"&gt;0")</f>
        <v/>
      </c>
      <c r="Y6" s="20">
        <f>_xlfn.MAXIFS(INDEX(Unified_Matrix!$A:$ZZ,3,MATCH("Max "&amp;Y$1,Unified_Matrix!$1:$1,0)):INDEX(Unified_Matrix!$A:$ZZ,300,MATCH("Max "&amp;Y$1,Unified_Matrix!$1:$1,0)),INDEX(Unified_Matrix!$A:$ZZ,3,MATCH("Max "&amp;Y$1,Unified_Matrix!$1:$1,0)):INDEX(Unified_Matrix!$A:$ZZ,300,MATCH("Max "&amp;Y$1,Unified_Matrix!$1:$1,0)),"&lt;"&amp;Y4,INDEX(Unified_Matrix!$A:$ZZ,3,MATCH("Max "&amp;Y$1,Unified_Matrix!$1:$1,0)):INDEX(Unified_Matrix!$A:$ZZ,300,MATCH("Max "&amp;Y$1,Unified_Matrix!$1:$1,0)),"&gt;0")</f>
        <v/>
      </c>
      <c r="Z6" s="20">
        <f>_xlfn.MAXIFS(INDEX(Unified_Matrix!$A:$ZZ,3,MATCH("Max "&amp;Z$1,Unified_Matrix!$1:$1,0)):INDEX(Unified_Matrix!$A:$ZZ,300,MATCH("Max "&amp;Z$1,Unified_Matrix!$1:$1,0)),INDEX(Unified_Matrix!$A:$ZZ,3,MATCH("Max "&amp;Z$1,Unified_Matrix!$1:$1,0)):INDEX(Unified_Matrix!$A:$ZZ,300,MATCH("Max "&amp;Z$1,Unified_Matrix!$1:$1,0)),"&lt;"&amp;Z4,INDEX(Unified_Matrix!$A:$ZZ,3,MATCH("Max "&amp;Z$1,Unified_Matrix!$1:$1,0)):INDEX(Unified_Matrix!$A:$ZZ,300,MATCH("Max "&amp;Z$1,Unified_Matrix!$1:$1,0)),"&gt;0")</f>
        <v/>
      </c>
      <c r="AA6" s="20">
        <f>_xlfn.MAXIFS(INDEX(Unified_Matrix!$A:$ZZ,3,MATCH("Max "&amp;AA$1,Unified_Matrix!$1:$1,0)):INDEX(Unified_Matrix!$A:$ZZ,300,MATCH("Max "&amp;AA$1,Unified_Matrix!$1:$1,0)),INDEX(Unified_Matrix!$A:$ZZ,3,MATCH("Max "&amp;AA$1,Unified_Matrix!$1:$1,0)):INDEX(Unified_Matrix!$A:$ZZ,300,MATCH("Max "&amp;AA$1,Unified_Matrix!$1:$1,0)),"&lt;"&amp;AA4,INDEX(Unified_Matrix!$A:$ZZ,3,MATCH("Max "&amp;AA$1,Unified_Matrix!$1:$1,0)):INDEX(Unified_Matrix!$A:$ZZ,300,MATCH("Max "&amp;AA$1,Unified_Matrix!$1:$1,0)),"&gt;0")</f>
        <v/>
      </c>
      <c r="AB6" s="20">
        <f>_xlfn.MAXIFS(INDEX(Unified_Matrix!$A:$ZZ,3,MATCH("Max "&amp;AB$1,Unified_Matrix!$1:$1,0)):INDEX(Unified_Matrix!$A:$ZZ,300,MATCH("Max "&amp;AB$1,Unified_Matrix!$1:$1,0)),INDEX(Unified_Matrix!$A:$ZZ,3,MATCH("Max "&amp;AB$1,Unified_Matrix!$1:$1,0)):INDEX(Unified_Matrix!$A:$ZZ,300,MATCH("Max "&amp;AB$1,Unified_Matrix!$1:$1,0)),"&lt;"&amp;AB4,INDEX(Unified_Matrix!$A:$ZZ,3,MATCH("Max "&amp;AB$1,Unified_Matrix!$1:$1,0)):INDEX(Unified_Matrix!$A:$ZZ,300,MATCH("Max "&amp;AB$1,Unified_Matrix!$1:$1,0)),"&gt;0")</f>
        <v/>
      </c>
      <c r="AC6" s="20">
        <f>_xlfn.MAXIFS(INDEX(Unified_Matrix!$A:$ZZ,3,MATCH("Max "&amp;AC$1,Unified_Matrix!$1:$1,0)):INDEX(Unified_Matrix!$A:$ZZ,300,MATCH("Max "&amp;AC$1,Unified_Matrix!$1:$1,0)),INDEX(Unified_Matrix!$A:$ZZ,3,MATCH("Max "&amp;AC$1,Unified_Matrix!$1:$1,0)):INDEX(Unified_Matrix!$A:$ZZ,300,MATCH("Max "&amp;AC$1,Unified_Matrix!$1:$1,0)),"&lt;"&amp;AC4,INDEX(Unified_Matrix!$A:$ZZ,3,MATCH("Max "&amp;AC$1,Unified_Matrix!$1:$1,0)):INDEX(Unified_Matrix!$A:$ZZ,300,MATCH("Max "&amp;AC$1,Unified_Matrix!$1:$1,0)),"&gt;0")</f>
        <v/>
      </c>
      <c r="AD6" s="20">
        <f>_xlfn.MAXIFS(INDEX(Unified_Matrix!$A:$ZZ,3,MATCH("Max "&amp;AD$1,Unified_Matrix!$1:$1,0)):INDEX(Unified_Matrix!$A:$ZZ,300,MATCH("Max "&amp;AD$1,Unified_Matrix!$1:$1,0)),INDEX(Unified_Matrix!$A:$ZZ,3,MATCH("Max "&amp;AD$1,Unified_Matrix!$1:$1,0)):INDEX(Unified_Matrix!$A:$ZZ,300,MATCH("Max "&amp;AD$1,Unified_Matrix!$1:$1,0)),"&lt;"&amp;AD4,INDEX(Unified_Matrix!$A:$ZZ,3,MATCH("Max "&amp;AD$1,Unified_Matrix!$1:$1,0)):INDEX(Unified_Matrix!$A:$ZZ,300,MATCH("Max "&amp;AD$1,Unified_Matrix!$1:$1,0)),"&gt;0")</f>
        <v/>
      </c>
      <c r="AE6" s="20">
        <f>_xlfn.MAXIFS(INDEX(Unified_Matrix!$A:$ZZ,3,MATCH("Max "&amp;AE$1,Unified_Matrix!$1:$1,0)):INDEX(Unified_Matrix!$A:$ZZ,300,MATCH("Max "&amp;AE$1,Unified_Matrix!$1:$1,0)),INDEX(Unified_Matrix!$A:$ZZ,3,MATCH("Max "&amp;AE$1,Unified_Matrix!$1:$1,0)):INDEX(Unified_Matrix!$A:$ZZ,300,MATCH("Max "&amp;AE$1,Unified_Matrix!$1:$1,0)),"&lt;"&amp;AE4,INDEX(Unified_Matrix!$A:$ZZ,3,MATCH("Max "&amp;AE$1,Unified_Matrix!$1:$1,0)):INDEX(Unified_Matrix!$A:$ZZ,300,MATCH("Max "&amp;AE$1,Unified_Matrix!$1:$1,0)),"&gt;0")</f>
        <v/>
      </c>
      <c r="AF6" s="20">
        <f>_xlfn.MAXIFS(INDEX(Unified_Matrix!$A:$ZZ,3,MATCH("Max "&amp;AF$1,Unified_Matrix!$1:$1,0)):INDEX(Unified_Matrix!$A:$ZZ,300,MATCH("Max "&amp;AF$1,Unified_Matrix!$1:$1,0)),INDEX(Unified_Matrix!$A:$ZZ,3,MATCH("Max "&amp;AF$1,Unified_Matrix!$1:$1,0)):INDEX(Unified_Matrix!$A:$ZZ,300,MATCH("Max "&amp;AF$1,Unified_Matrix!$1:$1,0)),"&lt;"&amp;AF4,INDEX(Unified_Matrix!$A:$ZZ,3,MATCH("Max "&amp;AF$1,Unified_Matrix!$1:$1,0)):INDEX(Unified_Matrix!$A:$ZZ,300,MATCH("Max "&amp;AF$1,Unified_Matrix!$1:$1,0)),"&gt;0")</f>
        <v/>
      </c>
      <c r="AG6" s="20">
        <f>_xlfn.MAXIFS(INDEX(Unified_Matrix!$A:$ZZ,3,MATCH("Max "&amp;AG$1,Unified_Matrix!$1:$1,0)):INDEX(Unified_Matrix!$A:$ZZ,300,MATCH("Max "&amp;AG$1,Unified_Matrix!$1:$1,0)),INDEX(Unified_Matrix!$A:$ZZ,3,MATCH("Max "&amp;AG$1,Unified_Matrix!$1:$1,0)):INDEX(Unified_Matrix!$A:$ZZ,300,MATCH("Max "&amp;AG$1,Unified_Matrix!$1:$1,0)),"&lt;"&amp;AG4,INDEX(Unified_Matrix!$A:$ZZ,3,MATCH("Max "&amp;AG$1,Unified_Matrix!$1:$1,0)):INDEX(Unified_Matrix!$A:$ZZ,300,MATCH("Max "&amp;AG$1,Unified_Matrix!$1:$1,0)),"&gt;0")</f>
        <v/>
      </c>
      <c r="AH6" s="20">
        <f>_xlfn.MAXIFS(INDEX(Unified_Matrix!$A:$ZZ,3,MATCH("Max "&amp;AH$1,Unified_Matrix!$1:$1,0)):INDEX(Unified_Matrix!$A:$ZZ,300,MATCH("Max "&amp;AH$1,Unified_Matrix!$1:$1,0)),INDEX(Unified_Matrix!$A:$ZZ,3,MATCH("Max "&amp;AH$1,Unified_Matrix!$1:$1,0)):INDEX(Unified_Matrix!$A:$ZZ,300,MATCH("Max "&amp;AH$1,Unified_Matrix!$1:$1,0)),"&lt;"&amp;AH4,INDEX(Unified_Matrix!$A:$ZZ,3,MATCH("Max "&amp;AH$1,Unified_Matrix!$1:$1,0)):INDEX(Unified_Matrix!$A:$ZZ,300,MATCH("Max "&amp;AH$1,Unified_Matrix!$1:$1,0)),"&gt;0")</f>
        <v/>
      </c>
      <c r="AI6" s="20">
        <f>_xlfn.MAXIFS(INDEX(Unified_Matrix!$A:$ZZ,3,MATCH("Max "&amp;AI$1,Unified_Matrix!$1:$1,0)):INDEX(Unified_Matrix!$A:$ZZ,300,MATCH("Max "&amp;AI$1,Unified_Matrix!$1:$1,0)),INDEX(Unified_Matrix!$A:$ZZ,3,MATCH("Max "&amp;AI$1,Unified_Matrix!$1:$1,0)):INDEX(Unified_Matrix!$A:$ZZ,300,MATCH("Max "&amp;AI$1,Unified_Matrix!$1:$1,0)),"&lt;"&amp;AI4,INDEX(Unified_Matrix!$A:$ZZ,3,MATCH("Max "&amp;AI$1,Unified_Matrix!$1:$1,0)):INDEX(Unified_Matrix!$A:$ZZ,300,MATCH("Max "&amp;AI$1,Unified_Matrix!$1:$1,0)),"&gt;0")</f>
        <v/>
      </c>
      <c r="AJ6" s="20">
        <f>_xlfn.MAXIFS(INDEX(Unified_Matrix!$A:$ZZ,3,MATCH("Max "&amp;AJ$1,Unified_Matrix!$1:$1,0)):INDEX(Unified_Matrix!$A:$ZZ,300,MATCH("Max "&amp;AJ$1,Unified_Matrix!$1:$1,0)),INDEX(Unified_Matrix!$A:$ZZ,3,MATCH("Max "&amp;AJ$1,Unified_Matrix!$1:$1,0)):INDEX(Unified_Matrix!$A:$ZZ,300,MATCH("Max "&amp;AJ$1,Unified_Matrix!$1:$1,0)),"&lt;"&amp;AJ4,INDEX(Unified_Matrix!$A:$ZZ,3,MATCH("Max "&amp;AJ$1,Unified_Matrix!$1:$1,0)):INDEX(Unified_Matrix!$A:$ZZ,300,MATCH("Max "&amp;AJ$1,Unified_Matrix!$1:$1,0)),"&gt;0")</f>
        <v/>
      </c>
      <c r="AK6" s="20">
        <f>_xlfn.MAXIFS(INDEX(Unified_Matrix!$A:$ZZ,3,MATCH("Max "&amp;AK$1,Unified_Matrix!$1:$1,0)):INDEX(Unified_Matrix!$A:$ZZ,300,MATCH("Max "&amp;AK$1,Unified_Matrix!$1:$1,0)),INDEX(Unified_Matrix!$A:$ZZ,3,MATCH("Max "&amp;AK$1,Unified_Matrix!$1:$1,0)):INDEX(Unified_Matrix!$A:$ZZ,300,MATCH("Max "&amp;AK$1,Unified_Matrix!$1:$1,0)),"&lt;"&amp;AK4,INDEX(Unified_Matrix!$A:$ZZ,3,MATCH("Max "&amp;AK$1,Unified_Matrix!$1:$1,0)):INDEX(Unified_Matrix!$A:$ZZ,300,MATCH("Max "&amp;AK$1,Unified_Matrix!$1:$1,0)),"&gt;0")</f>
        <v/>
      </c>
      <c r="AL6" s="20">
        <f>_xlfn.MAXIFS(INDEX(Unified_Matrix!$A:$ZZ,3,MATCH("Max "&amp;AL$1,Unified_Matrix!$1:$1,0)):INDEX(Unified_Matrix!$A:$ZZ,300,MATCH("Max "&amp;AL$1,Unified_Matrix!$1:$1,0)),INDEX(Unified_Matrix!$A:$ZZ,3,MATCH("Max "&amp;AL$1,Unified_Matrix!$1:$1,0)):INDEX(Unified_Matrix!$A:$ZZ,300,MATCH("Max "&amp;AL$1,Unified_Matrix!$1:$1,0)),"&lt;"&amp;AL4,INDEX(Unified_Matrix!$A:$ZZ,3,MATCH("Max "&amp;AL$1,Unified_Matrix!$1:$1,0)):INDEX(Unified_Matrix!$A:$ZZ,300,MATCH("Max "&amp;AL$1,Unified_Matrix!$1:$1,0)),"&gt;0")</f>
        <v/>
      </c>
      <c r="AM6" s="20">
        <f>_xlfn.MAXIFS(INDEX(Unified_Matrix!$A:$ZZ,3,MATCH("Max "&amp;AM$1,Unified_Matrix!$1:$1,0)):INDEX(Unified_Matrix!$A:$ZZ,300,MATCH("Max "&amp;AM$1,Unified_Matrix!$1:$1,0)),INDEX(Unified_Matrix!$A:$ZZ,3,MATCH("Max "&amp;AM$1,Unified_Matrix!$1:$1,0)):INDEX(Unified_Matrix!$A:$ZZ,300,MATCH("Max "&amp;AM$1,Unified_Matrix!$1:$1,0)),"&lt;"&amp;AM4,INDEX(Unified_Matrix!$A:$ZZ,3,MATCH("Max "&amp;AM$1,Unified_Matrix!$1:$1,0)):INDEX(Unified_Matrix!$A:$ZZ,300,MATCH("Max "&amp;AM$1,Unified_Matrix!$1:$1,0)),"&gt;0")</f>
        <v/>
      </c>
      <c r="AN6" s="20">
        <f>_xlfn.MAXIFS(INDEX(Unified_Matrix!$A:$ZZ,3,MATCH("Max "&amp;AN$1,Unified_Matrix!$1:$1,0)):INDEX(Unified_Matrix!$A:$ZZ,300,MATCH("Max "&amp;AN$1,Unified_Matrix!$1:$1,0)),INDEX(Unified_Matrix!$A:$ZZ,3,MATCH("Max "&amp;AN$1,Unified_Matrix!$1:$1,0)):INDEX(Unified_Matrix!$A:$ZZ,300,MATCH("Max "&amp;AN$1,Unified_Matrix!$1:$1,0)),"&lt;"&amp;AN4,INDEX(Unified_Matrix!$A:$ZZ,3,MATCH("Max "&amp;AN$1,Unified_Matrix!$1:$1,0)):INDEX(Unified_Matrix!$A:$ZZ,300,MATCH("Max "&amp;AN$1,Unified_Matrix!$1:$1,0)),"&gt;0")</f>
        <v/>
      </c>
      <c r="AO6" s="20">
        <f>_xlfn.MAXIFS(INDEX(Unified_Matrix!$A:$ZZ,3,MATCH("Max "&amp;AO$1,Unified_Matrix!$1:$1,0)):INDEX(Unified_Matrix!$A:$ZZ,300,MATCH("Max "&amp;AO$1,Unified_Matrix!$1:$1,0)),INDEX(Unified_Matrix!$A:$ZZ,3,MATCH("Max "&amp;AO$1,Unified_Matrix!$1:$1,0)):INDEX(Unified_Matrix!$A:$ZZ,300,MATCH("Max "&amp;AO$1,Unified_Matrix!$1:$1,0)),"&lt;"&amp;AO4,INDEX(Unified_Matrix!$A:$ZZ,3,MATCH("Max "&amp;AO$1,Unified_Matrix!$1:$1,0)):INDEX(Unified_Matrix!$A:$ZZ,300,MATCH("Max "&amp;AO$1,Unified_Matrix!$1:$1,0)),"&gt;0")</f>
        <v/>
      </c>
      <c r="AP6" s="20">
        <f>_xlfn.MAXIFS(INDEX(Unified_Matrix!$A:$ZZ,3,MATCH("Max "&amp;AP$1,Unified_Matrix!$1:$1,0)):INDEX(Unified_Matrix!$A:$ZZ,300,MATCH("Max "&amp;AP$1,Unified_Matrix!$1:$1,0)),INDEX(Unified_Matrix!$A:$ZZ,3,MATCH("Max "&amp;AP$1,Unified_Matrix!$1:$1,0)):INDEX(Unified_Matrix!$A:$ZZ,300,MATCH("Max "&amp;AP$1,Unified_Matrix!$1:$1,0)),"&lt;"&amp;AP4,INDEX(Unified_Matrix!$A:$ZZ,3,MATCH("Max "&amp;AP$1,Unified_Matrix!$1:$1,0)):INDEX(Unified_Matrix!$A:$ZZ,300,MATCH("Max "&amp;AP$1,Unified_Matrix!$1:$1,0)),"&gt;0")</f>
        <v/>
      </c>
      <c r="AQ6" s="20">
        <f>_xlfn.MAXIFS(INDEX(Unified_Matrix!$A:$ZZ,3,MATCH("Max "&amp;AQ$1,Unified_Matrix!$1:$1,0)):INDEX(Unified_Matrix!$A:$ZZ,300,MATCH("Max "&amp;AQ$1,Unified_Matrix!$1:$1,0)),INDEX(Unified_Matrix!$A:$ZZ,3,MATCH("Max "&amp;AQ$1,Unified_Matrix!$1:$1,0)):INDEX(Unified_Matrix!$A:$ZZ,300,MATCH("Max "&amp;AQ$1,Unified_Matrix!$1:$1,0)),"&lt;"&amp;AQ4,INDEX(Unified_Matrix!$A:$ZZ,3,MATCH("Max "&amp;AQ$1,Unified_Matrix!$1:$1,0)):INDEX(Unified_Matrix!$A:$ZZ,300,MATCH("Max "&amp;AQ$1,Unified_Matrix!$1:$1,0)),"&gt;0")</f>
        <v/>
      </c>
      <c r="AR6" s="20">
        <f>_xlfn.MAXIFS(INDEX(Unified_Matrix!$A:$ZZ,3,MATCH("Max "&amp;AR$1,Unified_Matrix!$1:$1,0)):INDEX(Unified_Matrix!$A:$ZZ,300,MATCH("Max "&amp;AR$1,Unified_Matrix!$1:$1,0)),INDEX(Unified_Matrix!$A:$ZZ,3,MATCH("Max "&amp;AR$1,Unified_Matrix!$1:$1,0)):INDEX(Unified_Matrix!$A:$ZZ,300,MATCH("Max "&amp;AR$1,Unified_Matrix!$1:$1,0)),"&lt;"&amp;AR4,INDEX(Unified_Matrix!$A:$ZZ,3,MATCH("Max "&amp;AR$1,Unified_Matrix!$1:$1,0)):INDEX(Unified_Matrix!$A:$ZZ,300,MATCH("Max "&amp;AR$1,Unified_Matrix!$1:$1,0)),"&gt;0")</f>
        <v/>
      </c>
      <c r="AS6" s="20">
        <f>_xlfn.MAXIFS(INDEX(Unified_Matrix!$A:$ZZ,3,MATCH("Max "&amp;AS$1,Unified_Matrix!$1:$1,0)):INDEX(Unified_Matrix!$A:$ZZ,300,MATCH("Max "&amp;AS$1,Unified_Matrix!$1:$1,0)),INDEX(Unified_Matrix!$A:$ZZ,3,MATCH("Max "&amp;AS$1,Unified_Matrix!$1:$1,0)):INDEX(Unified_Matrix!$A:$ZZ,300,MATCH("Max "&amp;AS$1,Unified_Matrix!$1:$1,0)),"&lt;"&amp;AS4,INDEX(Unified_Matrix!$A:$ZZ,3,MATCH("Max "&amp;AS$1,Unified_Matrix!$1:$1,0)):INDEX(Unified_Matrix!$A:$ZZ,300,MATCH("Max "&amp;AS$1,Unified_Matrix!$1:$1,0)),"&gt;0")</f>
        <v/>
      </c>
      <c r="AT6" s="20">
        <f>_xlfn.MAXIFS(INDEX(Unified_Matrix!$A:$ZZ,3,MATCH("Max "&amp;AT$1,Unified_Matrix!$1:$1,0)):INDEX(Unified_Matrix!$A:$ZZ,300,MATCH("Max "&amp;AT$1,Unified_Matrix!$1:$1,0)),INDEX(Unified_Matrix!$A:$ZZ,3,MATCH("Max "&amp;AT$1,Unified_Matrix!$1:$1,0)):INDEX(Unified_Matrix!$A:$ZZ,300,MATCH("Max "&amp;AT$1,Unified_Matrix!$1:$1,0)),"&lt;"&amp;AT4,INDEX(Unified_Matrix!$A:$ZZ,3,MATCH("Max "&amp;AT$1,Unified_Matrix!$1:$1,0)):INDEX(Unified_Matrix!$A:$ZZ,300,MATCH("Max "&amp;AT$1,Unified_Matrix!$1:$1,0)),"&gt;0")</f>
        <v/>
      </c>
    </row>
    <row r="7" ht="156" customHeight="1">
      <c r="H7" s="38" t="n"/>
      <c r="I7" s="18" t="inlineStr">
        <is>
          <t>진화명</t>
        </is>
      </c>
      <c r="J7" s="20">
        <f t="array" ref="J7">IF(J6=0,"",_xlfn.TEXTJOIN(CHAR(10),TRUE,IF((INDEX(Unified_Matrix!$A:$ZZ,3,MATCH("Max "&amp;J$1,Unified_Matrix!$1:$1,0)):INDEX(Unified_Matrix!$A:$ZZ,300,MATCH("Max "&amp;J$1,Unified_Matrix!$1:$1,0))=J6)*(INDEX(Unified_Matrix!$A:$ZZ,3,MATCH("Max "&amp;J$1,Unified_Matrix!$1:$1,0)):INDEX(Unified_Matrix!$A:$ZZ,300,MATCH("Max "&amp;J$1,Unified_Matrix!$1:$1,0))&gt;0),INDEX(Unified_Matrix!$A:$ZZ,3,MATCH("Evolution_Name",Unified_Matrix!$1:$1,0)):INDEX(Unified_Matrix!$A:$ZZ,300,MATCH("Evolution_Name",Unified_Matrix!$1:$1,0)),"")))</f>
        <v/>
      </c>
      <c r="K7" s="20">
        <f t="array" ref="K7">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"&amp;K$1,Unified_Matrix!$1:$1,0))&gt;0),INDEX(Unified_Matrix!$A:$ZZ,3,MATCH("Evolution_Name",Unified_Matrix!$1:$1,0)):INDEX(Unified_Matrix!$A:$ZZ,300,MATCH("Evolution_Name",Unified_Matrix!$1:$1,0)),"")))</f>
        <v/>
      </c>
      <c r="L7" s="20">
        <f t="array" ref="L7">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"&amp;L$1,Unified_Matrix!$1:$1,0))&gt;0),INDEX(Unified_Matrix!$A:$ZZ,3,MATCH("Evolution_Name",Unified_Matrix!$1:$1,0)):INDEX(Unified_Matrix!$A:$ZZ,300,MATCH("Evolution_Name",Unified_Matrix!$1:$1,0)),"")))</f>
        <v/>
      </c>
      <c r="M7" s="20">
        <f t="array" ref="M7">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"&amp;M$1,Unified_Matrix!$1:$1,0))&gt;0),INDEX(Unified_Matrix!$A:$ZZ,3,MATCH("Evolution_Name",Unified_Matrix!$1:$1,0)):INDEX(Unified_Matrix!$A:$ZZ,300,MATCH("Evolution_Name",Unified_Matrix!$1:$1,0)),"")))</f>
        <v/>
      </c>
      <c r="N7" s="20">
        <f t="array" ref="N7">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"&amp;N$1,Unified_Matrix!$1:$1,0))&gt;0),INDEX(Unified_Matrix!$A:$ZZ,3,MATCH("Evolution_Name",Unified_Matrix!$1:$1,0)):INDEX(Unified_Matrix!$A:$ZZ,300,MATCH("Evolution_Name",Unified_Matrix!$1:$1,0)),"")))</f>
        <v/>
      </c>
      <c r="O7" s="20">
        <f t="array" ref="O7">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"&amp;O$1,Unified_Matrix!$1:$1,0))&gt;0),INDEX(Unified_Matrix!$A:$ZZ,3,MATCH("Evolution_Name",Unified_Matrix!$1:$1,0)):INDEX(Unified_Matrix!$A:$ZZ,300,MATCH("Evolution_Name",Unified_Matrix!$1:$1,0)),"")))</f>
        <v/>
      </c>
      <c r="P7" s="20">
        <f t="array" ref="P7">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"&amp;P$1,Unified_Matrix!$1:$1,0))&gt;0),INDEX(Unified_Matrix!$A:$ZZ,3,MATCH("Evolution_Name",Unified_Matrix!$1:$1,0)):INDEX(Unified_Matrix!$A:$ZZ,300,MATCH("Evolution_Name",Unified_Matrix!$1:$1,0)),"")))</f>
        <v/>
      </c>
      <c r="Q7" s="20">
        <f t="array" ref="Q7">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"&amp;Q$1,Unified_Matrix!$1:$1,0))&gt;0),INDEX(Unified_Matrix!$A:$ZZ,3,MATCH("Evolution_Name",Unified_Matrix!$1:$1,0)):INDEX(Unified_Matrix!$A:$ZZ,300,MATCH("Evolution_Name",Unified_Matrix!$1:$1,0)),"")))</f>
        <v/>
      </c>
      <c r="R7" s="20">
        <f t="array" ref="R7">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"&amp;R$1,Unified_Matrix!$1:$1,0))&gt;0),INDEX(Unified_Matrix!$A:$ZZ,3,MATCH("Evolution_Name",Unified_Matrix!$1:$1,0)):INDEX(Unified_Matrix!$A:$ZZ,300,MATCH("Evolution_Name",Unified_Matrix!$1:$1,0)),"")))</f>
        <v/>
      </c>
      <c r="S7" s="20">
        <f t="array" ref="S7">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"&amp;S$1,Unified_Matrix!$1:$1,0))&gt;0),INDEX(Unified_Matrix!$A:$ZZ,3,MATCH("Evolution_Name",Unified_Matrix!$1:$1,0)):INDEX(Unified_Matrix!$A:$ZZ,300,MATCH("Evolution_Name",Unified_Matrix!$1:$1,0)),"")))</f>
        <v/>
      </c>
      <c r="T7" s="20">
        <f t="array" ref="T7">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"&amp;T$1,Unified_Matrix!$1:$1,0))&gt;0),INDEX(Unified_Matrix!$A:$ZZ,3,MATCH("Evolution_Name",Unified_Matrix!$1:$1,0)):INDEX(Unified_Matrix!$A:$ZZ,300,MATCH("Evolution_Name",Unified_Matrix!$1:$1,0)),"")))</f>
        <v/>
      </c>
      <c r="U7" s="20">
        <f t="array" ref="U7">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"&amp;U$1,Unified_Matrix!$1:$1,0))&gt;0),INDEX(Unified_Matrix!$A:$ZZ,3,MATCH("Evolution_Name",Unified_Matrix!$1:$1,0)):INDEX(Unified_Matrix!$A:$ZZ,300,MATCH("Evolution_Name",Unified_Matrix!$1:$1,0)),"")))</f>
        <v/>
      </c>
      <c r="V7" s="20">
        <f t="array" ref="V7">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"&amp;V$1,Unified_Matrix!$1:$1,0))&gt;0),INDEX(Unified_Matrix!$A:$ZZ,3,MATCH("Evolution_Name",Unified_Matrix!$1:$1,0)):INDEX(Unified_Matrix!$A:$ZZ,300,MATCH("Evolution_Name",Unified_Matrix!$1:$1,0)),"")))</f>
        <v/>
      </c>
      <c r="W7" s="20">
        <f t="array" ref="W7">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"&amp;W$1,Unified_Matrix!$1:$1,0))&gt;0),INDEX(Unified_Matrix!$A:$ZZ,3,MATCH("Evolution_Name",Unified_Matrix!$1:$1,0)):INDEX(Unified_Matrix!$A:$ZZ,300,MATCH("Evolution_Name",Unified_Matrix!$1:$1,0)),"")))</f>
        <v/>
      </c>
      <c r="X7" s="20">
        <f t="array" ref="X7">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"&amp;X$1,Unified_Matrix!$1:$1,0))&gt;0),INDEX(Unified_Matrix!$A:$ZZ,3,MATCH("Evolution_Name",Unified_Matrix!$1:$1,0)):INDEX(Unified_Matrix!$A:$ZZ,300,MATCH("Evolution_Name",Unified_Matrix!$1:$1,0)),"")))</f>
        <v/>
      </c>
      <c r="Y7" s="20">
        <f t="array" ref="Y7">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"&amp;Y$1,Unified_Matrix!$1:$1,0))&gt;0),INDEX(Unified_Matrix!$A:$ZZ,3,MATCH("Evolution_Name",Unified_Matrix!$1:$1,0)):INDEX(Unified_Matrix!$A:$ZZ,300,MATCH("Evolution_Name",Unified_Matrix!$1:$1,0)),"")))</f>
        <v/>
      </c>
      <c r="Z7" s="20">
        <f t="array" ref="Z7">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"&amp;Z$1,Unified_Matrix!$1:$1,0))&gt;0),INDEX(Unified_Matrix!$A:$ZZ,3,MATCH("Evolution_Name",Unified_Matrix!$1:$1,0)):INDEX(Unified_Matrix!$A:$ZZ,300,MATCH("Evolution_Name",Unified_Matrix!$1:$1,0)),"")))</f>
        <v/>
      </c>
      <c r="AA7" s="20">
        <f t="array" ref="AA7">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"&amp;AA$1,Unified_Matrix!$1:$1,0))&gt;0),INDEX(Unified_Matrix!$A:$ZZ,3,MATCH("Evolution_Name",Unified_Matrix!$1:$1,0)):INDEX(Unified_Matrix!$A:$ZZ,300,MATCH("Evolution_Name",Unified_Matrix!$1:$1,0)),"")))</f>
        <v/>
      </c>
      <c r="AB7" s="20">
        <f t="array" ref="AB7">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"&amp;AB$1,Unified_Matrix!$1:$1,0))&gt;0),INDEX(Unified_Matrix!$A:$ZZ,3,MATCH("Evolution_Name",Unified_Matrix!$1:$1,0)):INDEX(Unified_Matrix!$A:$ZZ,300,MATCH("Evolution_Name",Unified_Matrix!$1:$1,0)),"")))</f>
        <v/>
      </c>
      <c r="AC7" s="20">
        <f t="array" ref="AC7">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"&amp;AC$1,Unified_Matrix!$1:$1,0))&gt;0),INDEX(Unified_Matrix!$A:$ZZ,3,MATCH("Evolution_Name",Unified_Matrix!$1:$1,0)):INDEX(Unified_Matrix!$A:$ZZ,300,MATCH("Evolution_Name",Unified_Matrix!$1:$1,0)),"")))</f>
        <v/>
      </c>
      <c r="AD7" s="20">
        <f t="array" ref="AD7">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"&amp;AD$1,Unified_Matrix!$1:$1,0))&gt;0),INDEX(Unified_Matrix!$A:$ZZ,3,MATCH("Evolution_Name",Unified_Matrix!$1:$1,0)):INDEX(Unified_Matrix!$A:$ZZ,300,MATCH("Evolution_Name",Unified_Matrix!$1:$1,0)),"")))</f>
        <v/>
      </c>
      <c r="AE7" s="20">
        <f t="array" ref="AE7">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"&amp;AE$1,Unified_Matrix!$1:$1,0))&gt;0),INDEX(Unified_Matrix!$A:$ZZ,3,MATCH("Evolution_Name",Unified_Matrix!$1:$1,0)):INDEX(Unified_Matrix!$A:$ZZ,300,MATCH("Evolution_Name",Unified_Matrix!$1:$1,0)),"")))</f>
        <v/>
      </c>
      <c r="AF7" s="20">
        <f t="array" ref="AF7">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"&amp;AF$1,Unified_Matrix!$1:$1,0))&gt;0),INDEX(Unified_Matrix!$A:$ZZ,3,MATCH("Evolution_Name",Unified_Matrix!$1:$1,0)):INDEX(Unified_Matrix!$A:$ZZ,300,MATCH("Evolution_Name",Unified_Matrix!$1:$1,0)),"")))</f>
        <v/>
      </c>
      <c r="AG7" s="20">
        <f t="array" ref="AG7">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"&amp;AG$1,Unified_Matrix!$1:$1,0))&gt;0),INDEX(Unified_Matrix!$A:$ZZ,3,MATCH("Evolution_Name",Unified_Matrix!$1:$1,0)):INDEX(Unified_Matrix!$A:$ZZ,300,MATCH("Evolution_Name",Unified_Matrix!$1:$1,0)),"")))</f>
        <v/>
      </c>
      <c r="AH7" s="20">
        <f t="array" ref="AH7">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"&amp;AH$1,Unified_Matrix!$1:$1,0))&gt;0),INDEX(Unified_Matrix!$A:$ZZ,3,MATCH("Evolution_Name",Unified_Matrix!$1:$1,0)):INDEX(Unified_Matrix!$A:$ZZ,300,MATCH("Evolution_Name",Unified_Matrix!$1:$1,0)),"")))</f>
        <v/>
      </c>
      <c r="AI7" s="20">
        <f t="array" ref="AI7">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"&amp;AI$1,Unified_Matrix!$1:$1,0))&gt;0),INDEX(Unified_Matrix!$A:$ZZ,3,MATCH("Evolution_Name",Unified_Matrix!$1:$1,0)):INDEX(Unified_Matrix!$A:$ZZ,300,MATCH("Evolution_Name",Unified_Matrix!$1:$1,0)),"")))</f>
        <v/>
      </c>
      <c r="AJ7" s="20">
        <f t="array" ref="AJ7">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"&amp;AJ$1,Unified_Matrix!$1:$1,0))&gt;0),INDEX(Unified_Matrix!$A:$ZZ,3,MATCH("Evolution_Name",Unified_Matrix!$1:$1,0)):INDEX(Unified_Matrix!$A:$ZZ,300,MATCH("Evolution_Name",Unified_Matrix!$1:$1,0)),"")))</f>
        <v/>
      </c>
      <c r="AK7" s="20">
        <f t="array" ref="AK7">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"&amp;AK$1,Unified_Matrix!$1:$1,0))&gt;0),INDEX(Unified_Matrix!$A:$ZZ,3,MATCH("Evolution_Name",Unified_Matrix!$1:$1,0)):INDEX(Unified_Matrix!$A:$ZZ,300,MATCH("Evolution_Name",Unified_Matrix!$1:$1,0)),"")))</f>
        <v/>
      </c>
      <c r="AL7" s="20">
        <f t="array" ref="AL7">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"&amp;AL$1,Unified_Matrix!$1:$1,0))&gt;0),INDEX(Unified_Matrix!$A:$ZZ,3,MATCH("Evolution_Name",Unified_Matrix!$1:$1,0)):INDEX(Unified_Matrix!$A:$ZZ,300,MATCH("Evolution_Name",Unified_Matrix!$1:$1,0)),"")))</f>
        <v/>
      </c>
      <c r="AM7" s="20">
        <f t="array" ref="AM7">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"&amp;AM$1,Unified_Matrix!$1:$1,0))&gt;0),INDEX(Unified_Matrix!$A:$ZZ,3,MATCH("Evolution_Name",Unified_Matrix!$1:$1,0)):INDEX(Unified_Matrix!$A:$ZZ,300,MATCH("Evolution_Name",Unified_Matrix!$1:$1,0)),"")))</f>
        <v/>
      </c>
      <c r="AN7" s="20">
        <f t="array" ref="AN7">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"&amp;AN$1,Unified_Matrix!$1:$1,0))&gt;0),INDEX(Unified_Matrix!$A:$ZZ,3,MATCH("Evolution_Name",Unified_Matrix!$1:$1,0)):INDEX(Unified_Matrix!$A:$ZZ,300,MATCH("Evolution_Name",Unified_Matrix!$1:$1,0)),"")))</f>
        <v/>
      </c>
      <c r="AO7" s="20">
        <f t="array" ref="AO7">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"&amp;AO$1,Unified_Matrix!$1:$1,0))&gt;0),INDEX(Unified_Matrix!$A:$ZZ,3,MATCH("Evolution_Name",Unified_Matrix!$1:$1,0)):INDEX(Unified_Matrix!$A:$ZZ,300,MATCH("Evolution_Name",Unified_Matrix!$1:$1,0)),"")))</f>
        <v/>
      </c>
      <c r="AP7" s="20">
        <f t="array" ref="AP7">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"&amp;AP$1,Unified_Matrix!$1:$1,0))&gt;0),INDEX(Unified_Matrix!$A:$ZZ,3,MATCH("Evolution_Name",Unified_Matrix!$1:$1,0)):INDEX(Unified_Matrix!$A:$ZZ,300,MATCH("Evolution_Name",Unified_Matrix!$1:$1,0)),"")))</f>
        <v/>
      </c>
      <c r="AQ7" s="20">
        <f t="array" ref="AQ7">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"&amp;AQ$1,Unified_Matrix!$1:$1,0))&gt;0),INDEX(Unified_Matrix!$A:$ZZ,3,MATCH("Evolution_Name",Unified_Matrix!$1:$1,0)):INDEX(Unified_Matrix!$A:$ZZ,300,MATCH("Evolution_Name",Unified_Matrix!$1:$1,0)),"")))</f>
        <v/>
      </c>
      <c r="AR7" s="20">
        <f t="array" ref="AR7">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"&amp;AR$1,Unified_Matrix!$1:$1,0))&gt;0),INDEX(Unified_Matrix!$A:$ZZ,3,MATCH("Evolution_Name",Unified_Matrix!$1:$1,0)):INDEX(Unified_Matrix!$A:$ZZ,300,MATCH("Evolution_Name",Unified_Matrix!$1:$1,0)),"")))</f>
        <v/>
      </c>
      <c r="AS7" s="20">
        <f t="array" ref="AS7">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"&amp;AS$1,Unified_Matrix!$1:$1,0))&gt;0),INDEX(Unified_Matrix!$A:$ZZ,3,MATCH("Evolution_Name",Unified_Matrix!$1:$1,0)):INDEX(Unified_Matrix!$A:$ZZ,300,MATCH("Evolution_Name",Unified_Matrix!$1:$1,0)),"")))</f>
        <v/>
      </c>
      <c r="AT7" s="20">
        <f t="array" ref="AT7">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"&amp;AT$1,Unified_Matrix!$1:$1,0))&gt;0),INDEX(Unified_Matrix!$A:$ZZ,3,MATCH("Evolution_Name",Unified_Matrix!$1:$1,0)):INDEX(Unified_Matrix!$A:$ZZ,300,MATCH("Evolution_Name",Unified_Matrix!$1:$1,0)),"")))</f>
        <v/>
      </c>
    </row>
    <row r="8">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row>
    <row r="9">
      <c r="H9" s="6" t="n"/>
      <c r="J9" s="8" t="inlineStr">
        <is>
          <t>Balance</t>
        </is>
      </c>
      <c r="K9" s="6" t="n"/>
      <c r="L9" s="6" t="n"/>
      <c r="M9" s="6" t="n"/>
      <c r="N9" s="6" t="n"/>
      <c r="O9" s="6" t="n"/>
      <c r="P9" s="6" t="n"/>
      <c r="Q9" s="6" t="n"/>
    </row>
    <row r="10" hidden="1" ht="33" customFormat="1" customHeight="1" s="7">
      <c r="H10" s="9" t="inlineStr">
        <is>
          <t>MAX수치
순위</t>
        </is>
      </c>
      <c r="I10" s="10" t="inlineStr">
        <is>
          <t>번호</t>
        </is>
      </c>
      <c r="J10" s="10" t="inlineStr">
        <is>
          <t>상한선</t>
        </is>
      </c>
      <c r="K10" s="10" t="inlineStr">
        <is>
          <t>진화명</t>
        </is>
      </c>
      <c r="L10" s="10" t="inlineStr">
        <is>
          <t>플러스 수치</t>
        </is>
      </c>
      <c r="M10" s="11" t="inlineStr">
        <is>
          <t>+OVR</t>
        </is>
      </c>
      <c r="N10" s="10" t="inlineStr">
        <is>
          <t>MAX OVR</t>
        </is>
      </c>
      <c r="O10" s="10" t="inlineStr">
        <is>
          <t>포지션 제한</t>
        </is>
      </c>
      <c r="P10" s="10" t="inlineStr">
        <is>
          <t>OVR 제한</t>
        </is>
      </c>
      <c r="Q10" s="10" t="inlineStr">
        <is>
          <t>기타 요구조건</t>
        </is>
      </c>
    </row>
    <row r="11" hidden="1" ht="24" customHeight="1">
      <c r="H11" s="39" t="inlineStr">
        <is>
          <t>1위</t>
        </is>
      </c>
      <c r="I11" s="12" t="n">
        <v>1</v>
      </c>
      <c r="J11" s="13">
        <f>_xlfn.MAXIFS(INDIRECT("Evo[Max "&amp;$J$9&amp;"]"),INDIRECT("Evo[Max "&amp;$J$9&amp;"]"),"&gt;0")</f>
        <v/>
      </c>
      <c r="K11" s="14">
        <f t="array" ref="K11">IFERROR(INDEX(Evo[Evolution_Name],_xlfn.AGGREGATE(15,6,(ROW(Evo[Evolution_Name])-MIN(ROW(Evo[Evolution_Name]))+1)/((INDIRECT("Evo[Max "&amp;$J$9&amp;"]")=$J11)*(INDIRECT("Evo[Max "&amp;$J$9&amp;"]")&gt;0)),$I11)),"")</f>
        <v/>
      </c>
      <c r="L11" s="13">
        <f t="array" ref="L11">IFERROR(INDEX(INDIRECT("Evo[+ "&amp;$J$9&amp;"]"),_xlfn.AGGREGATE(15,6,(ROW(Evo[Evolution_Name])-MIN(ROW(Evo[Evolution_Name]))+1)/((INDIRECT("Evo[Max "&amp;$J$9&amp;"]")=$J11)*(INDIRECT("Evo[Max "&amp;$J$9&amp;"]")&gt;0)),$I11)),"")</f>
        <v/>
      </c>
      <c r="M11" s="13">
        <f t="array" ref="M11">IFERROR(INDEX(INDIRECT("Evo[+ OVR]"),_xlfn.AGGREGATE(15,6,(ROW(Evo[Evolution_Name])-MIN(ROW(Evo[Evolution_Name]))+1)/((INDIRECT("Evo[Max "&amp;$J$9&amp;"]")=$J11)*(INDIRECT("Evo[Max "&amp;$J$9&amp;"]")&gt;0)),$I11)),"")</f>
        <v/>
      </c>
      <c r="N11" s="13">
        <f t="array" ref="N11">IFERROR(INDEX(INDIRECT("Evo[Max OVR]"),_xlfn.AGGREGATE(15,6,(ROW(Evo[Evolution_Name])-MIN(ROW(Evo[Evolution_Name]))+1)/((INDIRECT("Evo[Max "&amp;$J$9&amp;"]")=$J11)*(INDIRECT("Evo[Max "&amp;$J$9&amp;"]")&gt;0)),$I11)),"")</f>
        <v/>
      </c>
      <c r="O11" s="13">
        <f t="array" ref="O11">IFERROR(INDEX(INDIRECT("Evo[Req_Position]"),_xlfn.AGGREGATE(15,6,(ROW(Evo[Evolution_Name])-MIN(ROW(Evo[Evolution_Name]))+1)/((INDIRECT("Evo[Max "&amp;$J$9&amp;"]")=$J11)*(INDIRECT("Evo[Max "&amp;$J$9&amp;"]")&gt;0)),$I11)),"")</f>
        <v/>
      </c>
      <c r="P11" s="13">
        <f t="array" ref="P11">IFERROR(INDEX(INDIRECT("Evo[Req_OVR_Max]"),_xlfn.AGGREGATE(15,6,(ROW(Evo[Evolution_Name])-MIN(ROW(Evo[Evolution_Name]))+1)/((INDIRECT("Evo[Max "&amp;$J$9&amp;"]")=$J11)*(INDIRECT("Evo[Max "&amp;$J$9&amp;"]")&gt;0)),$I11)),"")</f>
        <v/>
      </c>
      <c r="Q11" s="13">
        <f t="array" ref="Q11">IFERROR(INDEX(INDIRECT("Evo[Req_Other]"),_xlfn.AGGREGATE(15,6,(ROW(Evo[Evolution_Name])-MIN(ROW(Evo[Evolution_Name]))+1)/((INDIRECT("Evo[Max "&amp;$J$9&amp;"]")=$J11)*(INDIRECT("Evo[Max "&amp;$J$9&amp;"]")&gt;0)),$I11)),"")</f>
        <v/>
      </c>
    </row>
    <row r="12" hidden="1" ht="36" customHeight="1">
      <c r="H12" s="40" t="n"/>
      <c r="I12" s="12" t="n">
        <v>2</v>
      </c>
      <c r="J12" s="13">
        <f>_xlfn.MAXIFS(INDIRECT("Evo[Max "&amp;$J$9&amp;"]"),INDIRECT("Evo[Max "&amp;$J$9&amp;"]"),"&gt;0")</f>
        <v/>
      </c>
      <c r="K12" s="14">
        <f t="array" ref="K12">IFERROR(INDEX(Evo[Evolution_Name],_xlfn.AGGREGATE(15,6,(ROW(Evo[Evolution_Name])-MIN(ROW(Evo[Evolution_Name]))+1)/((INDIRECT("Evo[Max "&amp;$J$9&amp;"]")=$J12)*(INDIRECT("Evo[Max "&amp;$J$9&amp;"]")&gt;0)),$I12)),"")</f>
        <v/>
      </c>
      <c r="L12" s="13">
        <f t="array" ref="L12">IFERROR(INDEX(INDIRECT("Evo[+ "&amp;$J$9&amp;"]"),_xlfn.AGGREGATE(15,6,(ROW(Evo[Evolution_Name])-MIN(ROW(Evo[Evolution_Name]))+1)/((INDIRECT("Evo[Max "&amp;$J$9&amp;"]")=$J12)*(INDIRECT("Evo[Max "&amp;$J$9&amp;"]")&gt;0)),$I12)),"")</f>
        <v/>
      </c>
      <c r="M12" s="13">
        <f t="array" ref="M12">IFERROR(INDEX(INDIRECT("Evo[+ OVR]"),_xlfn.AGGREGATE(15,6,(ROW(Evo[Evolution_Name])-MIN(ROW(Evo[Evolution_Name]))+1)/((INDIRECT("Evo[Max "&amp;$J$9&amp;"]")=$J12)*(INDIRECT("Evo[Max "&amp;$J$9&amp;"]")&gt;0)),$I12)),"")</f>
        <v/>
      </c>
      <c r="N12" s="13">
        <f t="array" ref="N12">IFERROR(INDEX(INDIRECT("Evo[Max OVR]"),_xlfn.AGGREGATE(15,6,(ROW(Evo[Evolution_Name])-MIN(ROW(Evo[Evolution_Name]))+1)/((INDIRECT("Evo[Max "&amp;$J$9&amp;"]")=$J12)*(INDIRECT("Evo[Max "&amp;$J$9&amp;"]")&gt;0)),$I12)),"")</f>
        <v/>
      </c>
      <c r="O12" s="13">
        <f t="array" ref="O12">IFERROR(INDEX(INDIRECT("Evo[Req_Position]"),_xlfn.AGGREGATE(15,6,(ROW(Evo[Evolution_Name])-MIN(ROW(Evo[Evolution_Name]))+1)/((INDIRECT("Evo[Max "&amp;$J$9&amp;"]")=$J12)*(INDIRECT("Evo[Max "&amp;$J$9&amp;"]")&gt;0)),$I12)),"")</f>
        <v/>
      </c>
      <c r="P12" s="13">
        <f t="array" ref="P12">IFERROR(INDEX(INDIRECT("Evo[Req_OVR_Max]"),_xlfn.AGGREGATE(15,6,(ROW(Evo[Evolution_Name])-MIN(ROW(Evo[Evolution_Name]))+1)/((INDIRECT("Evo[Max "&amp;$J$9&amp;"]")=$J12)*(INDIRECT("Evo[Max "&amp;$J$9&amp;"]")&gt;0)),$I12)),"")</f>
        <v/>
      </c>
      <c r="Q12" s="13">
        <f t="array" ref="Q12">IFERROR(INDEX(INDIRECT("Evo[Req_Other]"),_xlfn.AGGREGATE(15,6,(ROW(Evo[Evolution_Name])-MIN(ROW(Evo[Evolution_Name]))+1)/((INDIRECT("Evo[Max "&amp;$J$9&amp;"]")=$J12)*(INDIRECT("Evo[Max "&amp;$J$9&amp;"]")&gt;0)),$I12)),"")</f>
        <v/>
      </c>
    </row>
    <row r="13" hidden="1">
      <c r="H13" s="40" t="n"/>
      <c r="I13" s="12" t="n">
        <v>3</v>
      </c>
      <c r="J13" s="13">
        <f>_xlfn.MAXIFS(INDIRECT("Evo[Max "&amp;$J$9&amp;"]"),INDIRECT("Evo[Max "&amp;$J$9&amp;"]"),"&gt;0")</f>
        <v/>
      </c>
      <c r="K13" s="14">
        <f t="array" ref="K13">IFERROR(INDEX(Evo[Evolution_Name],_xlfn.AGGREGATE(15,6,(ROW(Evo[Evolution_Name])-MIN(ROW(Evo[Evolution_Name]))+1)/((INDIRECT("Evo[Max "&amp;$J$9&amp;"]")=$J13)*(INDIRECT("Evo[Max "&amp;$J$9&amp;"]")&gt;0)),$I13)),"")</f>
        <v/>
      </c>
      <c r="L13" s="13">
        <f t="array" ref="L13">IFERROR(INDEX(INDIRECT("Evo[+ "&amp;$J$9&amp;"]"),_xlfn.AGGREGATE(15,6,(ROW(Evo[Evolution_Name])-MIN(ROW(Evo[Evolution_Name]))+1)/((INDIRECT("Evo[Max "&amp;$J$9&amp;"]")=$J13)*(INDIRECT("Evo[Max "&amp;$J$9&amp;"]")&gt;0)),$I13)),"")</f>
        <v/>
      </c>
      <c r="M13" s="13">
        <f t="array" ref="M13">IFERROR(INDEX(INDIRECT("Evo[+ OVR]"),_xlfn.AGGREGATE(15,6,(ROW(Evo[Evolution_Name])-MIN(ROW(Evo[Evolution_Name]))+1)/((INDIRECT("Evo[Max "&amp;$J$9&amp;"]")=$J13)*(INDIRECT("Evo[Max "&amp;$J$9&amp;"]")&gt;0)),$I13)),"")</f>
        <v/>
      </c>
      <c r="N13" s="13">
        <f t="array" ref="N13">IFERROR(INDEX(INDIRECT("Evo[Max OVR]"),_xlfn.AGGREGATE(15,6,(ROW(Evo[Evolution_Name])-MIN(ROW(Evo[Evolution_Name]))+1)/((INDIRECT("Evo[Max "&amp;$J$9&amp;"]")=$J13)*(INDIRECT("Evo[Max "&amp;$J$9&amp;"]")&gt;0)),$I13)),"")</f>
        <v/>
      </c>
      <c r="O13" s="13">
        <f t="array" ref="O13">IFERROR(INDEX(INDIRECT("Evo[Req_Position]"),_xlfn.AGGREGATE(15,6,(ROW(Evo[Evolution_Name])-MIN(ROW(Evo[Evolution_Name]))+1)/((INDIRECT("Evo[Max "&amp;$J$9&amp;"]")=$J13)*(INDIRECT("Evo[Max "&amp;$J$9&amp;"]")&gt;0)),$I13)),"")</f>
        <v/>
      </c>
      <c r="P13" s="13">
        <f t="array" ref="P13">IFERROR(INDEX(INDIRECT("Evo[Req_OVR_Max]"),_xlfn.AGGREGATE(15,6,(ROW(Evo[Evolution_Name])-MIN(ROW(Evo[Evolution_Name]))+1)/((INDIRECT("Evo[Max "&amp;$J$9&amp;"]")=$J13)*(INDIRECT("Evo[Max "&amp;$J$9&amp;"]")&gt;0)),$I13)),"")</f>
        <v/>
      </c>
      <c r="Q13" s="13">
        <f t="array" ref="Q13">IFERROR(INDEX(INDIRECT("Evo[Req_Other]"),_xlfn.AGGREGATE(15,6,(ROW(Evo[Evolution_Name])-MIN(ROW(Evo[Evolution_Name]))+1)/((INDIRECT("Evo[Max "&amp;$J$9&amp;"]")=$J13)*(INDIRECT("Evo[Max "&amp;$J$9&amp;"]")&gt;0)),$I13)),"")</f>
        <v/>
      </c>
    </row>
    <row r="14" hidden="1">
      <c r="H14" s="40" t="n"/>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H15" s="38" t="n"/>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6">
    <mergeCell ref="H11:H15"/>
    <mergeCell ref="H21:H25"/>
    <mergeCell ref="H4:H5"/>
    <mergeCell ref="H6:H7"/>
    <mergeCell ref="H16:H20"/>
    <mergeCell ref="H2:H3"/>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Reward</t>
        </is>
      </c>
      <c r="B2" t="inlineStr">
        <is>
          <t>Objective</t>
        </is>
      </c>
      <c r="C2" t="inlineStr">
        <is>
          <t>Turbo Strength - EA SPORTS FC 26</t>
        </is>
      </c>
      <c r="D2" t="inlineStr">
        <is>
          <t>https://www.fut.gg/evolutions/1975-turbo-strength/</t>
        </is>
      </c>
      <c r="G2" t="inlineStr">
        <is>
          <t>89</t>
        </is>
      </c>
      <c r="K2" t="inlineStr">
        <is>
          <t>World Tour Silver Stars</t>
        </is>
      </c>
      <c r="L2" t="inlineStr">
        <is>
          <t>World Tour Silver Stars</t>
        </is>
      </c>
      <c r="X2" t="n">
        <v>2</v>
      </c>
      <c r="Z2" t="n">
        <v>8</v>
      </c>
      <c r="AA2" t="n">
        <v>91</v>
      </c>
      <c r="AJ2" t="n">
        <v>6</v>
      </c>
      <c r="AK2" t="n">
        <v>92</v>
      </c>
      <c r="CW2" t="inlineStr">
        <is>
          <t>+1 OVR +4 PAC 91 +3 PHY 92 Level 1 Bahoya 89 LM PAC 98 SHO 84 PAS 86 DRI 89 DEF 63 PHY 75 CAM ST LW R 5 ★ 5 Bahoya 90 LM PAC 98 SHO 84 PAS 86 DRI 89 DEF 63 PHY 78 CAM ST LW R 5 ★ 5 UPGRADES +1 OVR +4 PAC 91 +3 PHY 92</t>
        </is>
      </c>
      <c r="CX2" t="inlineStr">
        <is>
          <t>Excluded Rarity World Tour Silver Stars Overall Max. 89 Details Submit by in 5 days Expiry in 5 days Coins Cost Free Points Cost Free</t>
        </is>
      </c>
      <c r="CY2" t="inlineStr">
        <is>
          <t>Excluded Rarity World Tour Silver Stars Overall Max. 89 Details Submit by in 5 days Expiry in 5 days Coins Cost Free Points Cost Free</t>
        </is>
      </c>
      <c r="CZ2" t="inlineStr">
        <is>
          <t>Turbo Strength</t>
        </is>
      </c>
      <c r="DA2"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5 days in 5 days 87% 13%</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2026-05-07T20:27:46Z</dcterms:modified>
  <cp:lastModifiedBy>영현 김</cp:lastModifiedBy>
</cp:coreProperties>
</file>